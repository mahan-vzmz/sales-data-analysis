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25c797cc6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d907eb75de4fab"/>
    <x:sheet xmlns:r="http://schemas.openxmlformats.org/officeDocument/2006/relationships" name="Cleaned_Data" sheetId="2" r:id="R30cbb31ee076425d"/>
    <x:sheet xmlns:r="http://schemas.openxmlformats.org/officeDocument/2006/relationships" name="Monthly_Sales" sheetId="3" r:id="R9e396003b1b94e2c"/>
    <x:sheet xmlns:r="http://schemas.openxmlformats.org/officeDocument/2006/relationships" name="Product_Analysis" sheetId="4" r:id="Rffd2055795484cf3"/>
    <x:sheet xmlns:r="http://schemas.openxmlformats.org/officeDocument/2006/relationships" name="Category_Analysis" sheetId="5" r:id="Re3e9ebfcce994972"/>
    <x:sheet xmlns:r="http://schemas.openxmlformats.org/officeDocument/2006/relationships" name="City_Analysis" sheetId="6" r:id="Ra54132c58f2c4ce1"/>
    <x:sheet xmlns:r="http://schemas.openxmlformats.org/officeDocument/2006/relationships" name="Payment_Analysis" sheetId="7" r:id="R2e78a2df522c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yyyy-mm-dd h:mm:ss"/>
    <x:numFmt numFmtId="165" formatCode="YYYY-MM-DD HH:MM:SS"/>
    <x:numFmt numFmtId="200" formatCode="yyyy-mm-dd"/>
    <x:numFmt numFmtId="201" formatCode="#,##0"/>
    <x:numFmt numFmtId="202" formatCode="&quot;$&quot;#,##0.00"/>
    <x:numFmt numFmtId="203" formatCode="0.0%"/>
    <x:numFmt numFmtId="204" formatCode="&quot;$&quot;#,##0"/>
    <x:numFmt numFmtId="205" formatCode="@"/>
  </x:numFmts>
  <x:fonts count="10">
    <x:font>
      <x:sz val="11"/>
      <x:color theme="1"/>
      <x:name val="Calibri"/>
    </x:font>
    <x:font>
      <x:b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0"/>
      <x:color rgb="FFFFFFFF"/>
      <x:name val="Aptos Display"/>
    </x:font>
    <x:font>
      <x:b/>
      <x:sz val="22"/>
      <x:color rgb="FFFFFFFF"/>
      <x:name val="Aptos Display"/>
    </x:font>
    <x:font>
      <x:sz val="10"/>
      <x:color rgb="FFE2E8F0"/>
      <x:name val="Aptos"/>
    </x:font>
    <x:font>
      <x:b/>
      <x:sz val="10"/>
      <x:color rgb="FFD1FAE5"/>
      <x:name val="Aptos"/>
    </x:font>
    <x:font>
      <x:b/>
      <x:sz val="20"/>
      <x:color rgb="FFFFFFFF"/>
      <x:name val="Aptos Display"/>
    </x:font>
    <x:font>
      <x:i/>
      <x:sz val="9"/>
      <x:color rgb="FF64748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2563EB"/>
      </x:patternFill>
    </x:fill>
    <x:fill>
      <x:patternFill patternType="solid">
        <x:fgColor rgb="FFE2E8F0"/>
      </x:patternFill>
    </x:fill>
  </x:fills>
  <x:borders count="38">
    <x:border/>
    <x:border>
      <x:left style="thin"/>
      <x:right style="thin"/>
      <x:top style="thin"/>
      <x:bottom style="thin"/>
    </x:border>
    <x:border>
      <x:left style="medium">
        <x:color rgb="FF0F766E"/>
      </x:left>
      <x:right style="thin"/>
      <x:top style="medium">
        <x:color rgb="FF0F766E"/>
      </x:top>
      <x:bottom style="medium">
        <x:color rgb="FF0F766E"/>
      </x:bottom>
    </x:border>
    <x:border>
      <x:left style="thin"/>
      <x:right style="thin"/>
      <x:top style="medium">
        <x:color rgb="FF0F766E"/>
      </x:top>
      <x:bottom style="medium">
        <x:color rgb="FF0F766E"/>
      </x:bottom>
    </x:border>
    <x:border>
      <x:left style="thin"/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2563EB"/>
      </x:left>
      <x:top style="medium">
        <x:color rgb="FF2563EB"/>
      </x:top>
      <x:bottom style="medium">
        <x:color rgb="FF2563EB"/>
      </x:bottom>
    </x:border>
    <x:border>
      <x:top style="medium">
        <x:color rgb="FF2563EB"/>
      </x:top>
      <x:bottom style="medium">
        <x:color rgb="FF2563EB"/>
      </x:bottom>
    </x:border>
    <x:border>
      <x:right style="medium">
        <x:color rgb="FF2563EB"/>
      </x:right>
      <x:top style="medium">
        <x:color rgb="FF2563EB"/>
      </x:top>
      <x:bottom style="medium">
        <x:color rgb="FF2563EB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</x:border>
    <x:border>
      <x:right style="medium">
        <x:color rgb="FF2563EB"/>
      </x:right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334155"/>
      </x:left>
      <x:top style="medium">
        <x:color rgb="FF334155"/>
      </x:top>
      <x:bottom style="medium">
        <x:color rgb="FF334155"/>
      </x:bottom>
    </x:border>
    <x:border>
      <x:top style="medium">
        <x:color rgb="FF334155"/>
      </x:top>
      <x:bottom style="medium">
        <x:color rgb="FF334155"/>
      </x:bottom>
    </x:border>
    <x:border>
      <x:right style="medium">
        <x:color rgb="FF334155"/>
      </x:right>
      <x:top style="medium">
        <x:color rgb="FF334155"/>
      </x:top>
      <x:bottom style="medium">
        <x:color rgb="FF334155"/>
      </x:bottom>
    </x:border>
    <x:border>
      <x:left style="medium">
        <x:color rgb="FF334155"/>
      </x:left>
      <x:top style="medium">
        <x:color rgb="FF334155"/>
      </x:top>
    </x:border>
    <x:border>
      <x:top style="medium">
        <x:color rgb="FF334155"/>
      </x:top>
    </x:border>
    <x:border>
      <x:right style="medium">
        <x:color rgb="FF334155"/>
      </x:right>
      <x:top style="medium">
        <x:color rgb="FF334155"/>
      </x:top>
    </x:border>
    <x:border>
      <x:left style="medium">
        <x:color rgb="FF334155"/>
      </x:left>
    </x:border>
    <x:border>
      <x:right style="medium">
        <x:color rgb="FF334155"/>
      </x:right>
    </x:border>
    <x:border>
      <x:left style="medium">
        <x:color rgb="FF334155"/>
      </x:left>
      <x:bottom style="medium">
        <x:color rgb="FF334155"/>
      </x:bottom>
    </x:border>
    <x:border>
      <x:bottom style="medium">
        <x:color rgb="FF334155"/>
      </x:bottom>
    </x:border>
    <x:border>
      <x:right style="medium">
        <x:color rgb="FF334155"/>
      </x:right>
      <x:bottom style="medium">
        <x:color rgb="FF334155"/>
      </x:bottom>
    </x:border>
  </x:borders>
  <x:cellStyleXfs count="1">
    <x:xf numFmtId="0" fontId="0" fillId="0" borderId="0"/>
  </x:cellStyleXfs>
  <x:cellXfs count="31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165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4" fillId="2" borderId="2" xfId="0" applyNumberFormat="1" applyFont="1" applyFill="1" applyBorder="1" applyAlignment="1">
      <x:alignment horizontal="center" vertical="top"/>
    </x:xf>
    <x:xf numFmtId="0" fontId="4" fillId="2" borderId="3" xfId="0" applyNumberFormat="1" applyFont="1" applyFill="1" applyBorder="1" applyAlignment="1">
      <x:alignment horizontal="center" vertical="top"/>
    </x:xf>
    <x:xf numFmtId="0" fontId="4" fillId="2" borderId="4" xfId="0" applyNumberFormat="1" applyFont="1" applyFill="1" applyBorder="1" applyAlignment="1">
      <x:alignment horizontal="center" vertical="top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5" xfId="0" applyNumberFormat="1" applyFont="1" applyFill="1" applyBorder="1" applyAlignment="1">
      <x:alignment horizontal="center"/>
    </x:xf>
    <x:xf numFmtId="0" fontId="7" fillId="2" borderId="6" xfId="0" applyNumberFormat="1" applyFont="1" applyFill="1" applyBorder="1" applyAlignment="1">
      <x:alignment horizontal="center"/>
    </x:xf>
    <x:xf numFmtId="0" fontId="7" fillId="2" borderId="7" xfId="0" applyNumberFormat="1" applyFont="1" applyFill="1" applyBorder="1" applyAlignment="1">
      <x:alignment horizontal="center"/>
    </x:xf>
    <x:xf numFmtId="0" fontId="7" fillId="2" borderId="5" xfId="0" applyNumberFormat="1" applyFont="1" applyFill="1" applyBorder="1" applyAlignment="1">
      <x:alignment horizontal="center" vertic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8" xfId="0" applyNumberFormat="1" applyFont="1" applyFill="1" applyBorder="1"/>
    <x:xf numFmtId="0" fontId="8" fillId="2" borderId="9" xfId="0" applyNumberFormat="1" applyFont="1" applyFill="1" applyBorder="1"/>
    <x:xf numFmtId="0" fontId="8" fillId="2" borderId="10" xfId="0" applyNumberFormat="1" applyFont="1" applyFill="1" applyBorder="1"/>
    <x:xf numFmtId="0" fontId="8" fillId="2" borderId="11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8" fillId="2" borderId="15" xfId="0" applyNumberFormat="1" applyFont="1" applyFill="1" applyBorder="1"/>
    <x:xf numFmtId="204" fontId="8" fillId="2" borderId="8" xfId="0" applyNumberFormat="1" applyFont="1" applyFill="1" applyBorder="1"/>
    <x:xf numFmtId="204" fontId="8" fillId="2" borderId="9" xfId="0" applyNumberFormat="1" applyFont="1" applyFill="1" applyBorder="1"/>
    <x:xf numFmtId="204" fontId="8" fillId="2" borderId="10" xfId="0" applyNumberFormat="1" applyFont="1" applyFill="1" applyBorder="1"/>
    <x:xf numFmtId="204" fontId="8" fillId="2" borderId="11" xfId="0" applyNumberFormat="1" applyFont="1" applyFill="1" applyBorder="1"/>
    <x:xf numFmtId="204" fontId="8" fillId="2" borderId="0" xfId="0" applyNumberFormat="1" applyFont="1" applyFill="1" applyBorder="1"/>
    <x:xf numFmtId="204" fontId="8" fillId="2" borderId="12" xfId="0" applyNumberFormat="1" applyFont="1" applyFill="1" applyBorder="1"/>
    <x:xf numFmtId="204" fontId="8" fillId="2" borderId="13" xfId="0" applyNumberFormat="1" applyFont="1" applyFill="1" applyBorder="1"/>
    <x:xf numFmtId="204" fontId="8" fillId="2" borderId="14" xfId="0" applyNumberFormat="1" applyFont="1" applyFill="1" applyBorder="1"/>
    <x:xf numFmtId="204" fontId="8" fillId="2" borderId="15" xfId="0" applyNumberFormat="1" applyFont="1" applyFill="1" applyBorder="1"/>
    <x:xf numFmtId="204" fontId="8" fillId="2" borderId="8" xfId="0" applyNumberFormat="1" applyFont="1" applyFill="1" applyBorder="1" applyAlignment="1">
      <x:alignment horizontal="center"/>
    </x:xf>
    <x:xf numFmtId="204" fontId="8" fillId="2" borderId="9" xfId="0" applyNumberFormat="1" applyFont="1" applyFill="1" applyBorder="1" applyAlignment="1">
      <x:alignment horizontal="center"/>
    </x:xf>
    <x:xf numFmtId="204" fontId="8" fillId="2" borderId="10" xfId="0" applyNumberFormat="1" applyFont="1" applyFill="1" applyBorder="1" applyAlignment="1">
      <x:alignment horizontal="center"/>
    </x:xf>
    <x:xf numFmtId="204" fontId="8" fillId="2" borderId="11" xfId="0" applyNumberFormat="1" applyFont="1" applyFill="1" applyBorder="1" applyAlignment="1">
      <x:alignment horizontal="center"/>
    </x:xf>
    <x:xf numFmtId="204" fontId="8" fillId="2" borderId="0" xfId="0" applyNumberFormat="1" applyFont="1" applyFill="1" applyBorder="1" applyAlignment="1">
      <x:alignment horizontal="center"/>
    </x:xf>
    <x:xf numFmtId="204" fontId="8" fillId="2" borderId="12" xfId="0" applyNumberFormat="1" applyFont="1" applyFill="1" applyBorder="1" applyAlignment="1">
      <x:alignment horizontal="center"/>
    </x:xf>
    <x:xf numFmtId="204" fontId="8" fillId="2" borderId="13" xfId="0" applyNumberFormat="1" applyFont="1" applyFill="1" applyBorder="1" applyAlignment="1">
      <x:alignment horizontal="center"/>
    </x:xf>
    <x:xf numFmtId="204" fontId="8" fillId="2" borderId="14" xfId="0" applyNumberFormat="1" applyFont="1" applyFill="1" applyBorder="1" applyAlignment="1">
      <x:alignment horizontal="center"/>
    </x:xf>
    <x:xf numFmtId="204" fontId="8" fillId="2" borderId="15" xfId="0" applyNumberFormat="1" applyFont="1" applyFill="1" applyBorder="1" applyAlignment="1">
      <x:alignment horizontal="center"/>
    </x:xf>
    <x:xf numFmtId="204" fontId="8" fillId="2" borderId="8" xfId="0" applyNumberFormat="1" applyFont="1" applyFill="1" applyBorder="1" applyAlignment="1">
      <x:alignment horizontal="center" vertical="center"/>
    </x:xf>
    <x:xf numFmtId="204" fontId="8" fillId="2" borderId="9" xfId="0" applyNumberFormat="1" applyFont="1" applyFill="1" applyBorder="1" applyAlignment="1">
      <x:alignment horizontal="center" vertical="center"/>
    </x:xf>
    <x:xf numFmtId="204" fontId="8" fillId="2" borderId="10" xfId="0" applyNumberFormat="1" applyFont="1" applyFill="1" applyBorder="1" applyAlignment="1">
      <x:alignment horizontal="center" vertical="center"/>
    </x:xf>
    <x:xf numFmtId="204" fontId="8" fillId="2" borderId="11" xfId="0" applyNumberFormat="1" applyFont="1" applyFill="1" applyBorder="1" applyAlignment="1">
      <x:alignment horizontal="center" vertical="center"/>
    </x:xf>
    <x:xf numFmtId="204" fontId="8" fillId="2" borderId="0" xfId="0" applyNumberFormat="1" applyFont="1" applyFill="1" applyBorder="1" applyAlignment="1">
      <x:alignment horizontal="center" vertical="center"/>
    </x:xf>
    <x:xf numFmtId="204" fontId="8" fillId="2" borderId="12" xfId="0" applyNumberFormat="1" applyFont="1" applyFill="1" applyBorder="1" applyAlignment="1">
      <x:alignment horizontal="center" vertical="center"/>
    </x:xf>
    <x:xf numFmtId="204" fontId="8" fillId="2" borderId="13" xfId="0" applyNumberFormat="1" applyFont="1" applyFill="1" applyBorder="1" applyAlignment="1">
      <x:alignment horizontal="center" vertical="center"/>
    </x:xf>
    <x:xf numFmtId="204" fontId="8" fillId="2" borderId="14" xfId="0" applyNumberFormat="1" applyFont="1" applyFill="1" applyBorder="1" applyAlignment="1">
      <x:alignment horizontal="center" vertical="center"/>
    </x:xf>
    <x:xf numFmtId="204" fontId="8" fillId="2" borderId="15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6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0" fontId="7" fillId="6" borderId="18" xfId="0" applyNumberFormat="1" applyFont="1" applyFill="1" applyBorder="1" applyAlignment="1">
      <x:alignment horizontal="center"/>
    </x:xf>
    <x:xf numFmtId="0" fontId="7" fillId="6" borderId="16" xfId="0" applyNumberFormat="1" applyFont="1" applyFill="1" applyBorder="1" applyAlignment="1">
      <x:alignment horizontal="center" vertical="center"/>
    </x:xf>
    <x:xf numFmtId="0" fontId="7" fillId="6" borderId="17" xfId="0" applyNumberFormat="1" applyFont="1" applyFill="1" applyBorder="1" applyAlignment="1">
      <x:alignment horizontal="center" vertical="center"/>
    </x:xf>
    <x:xf numFmtId="0" fontId="7" fillId="6" borderId="18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24" xfId="0" applyNumberFormat="1" applyFont="1" applyFill="1" applyBorder="1"/>
    <x:xf numFmtId="0" fontId="8" fillId="6" borderId="25" xfId="0" applyNumberFormat="1" applyFont="1" applyFill="1" applyBorder="1"/>
    <x:xf numFmtId="0" fontId="8" fillId="6" borderId="26" xfId="0" applyNumberFormat="1" applyFont="1" applyFill="1" applyBorder="1"/>
    <x:xf numFmtId="204" fontId="8" fillId="6" borderId="19" xfId="0" applyNumberFormat="1" applyFont="1" applyFill="1" applyBorder="1"/>
    <x:xf numFmtId="204" fontId="8" fillId="6" borderId="20" xfId="0" applyNumberFormat="1" applyFont="1" applyFill="1" applyBorder="1"/>
    <x:xf numFmtId="204" fontId="8" fillId="6" borderId="21" xfId="0" applyNumberFormat="1" applyFont="1" applyFill="1" applyBorder="1"/>
    <x:xf numFmtId="204" fontId="8" fillId="6" borderId="22" xfId="0" applyNumberFormat="1" applyFont="1" applyFill="1" applyBorder="1"/>
    <x:xf numFmtId="204" fontId="8" fillId="6" borderId="0" xfId="0" applyNumberFormat="1" applyFont="1" applyFill="1" applyBorder="1"/>
    <x:xf numFmtId="204" fontId="8" fillId="6" borderId="23" xfId="0" applyNumberFormat="1" applyFont="1" applyFill="1" applyBorder="1"/>
    <x:xf numFmtId="204" fontId="8" fillId="6" borderId="24" xfId="0" applyNumberFormat="1" applyFont="1" applyFill="1" applyBorder="1"/>
    <x:xf numFmtId="204" fontId="8" fillId="6" borderId="25" xfId="0" applyNumberFormat="1" applyFont="1" applyFill="1" applyBorder="1"/>
    <x:xf numFmtId="204" fontId="8" fillId="6" borderId="26" xfId="0" applyNumberFormat="1" applyFont="1" applyFill="1" applyBorder="1"/>
    <x:xf numFmtId="204" fontId="8" fillId="6" borderId="19" xfId="0" applyNumberFormat="1" applyFont="1" applyFill="1" applyBorder="1" applyAlignment="1">
      <x:alignment horizontal="center"/>
    </x:xf>
    <x:xf numFmtId="204" fontId="8" fillId="6" borderId="20" xfId="0" applyNumberFormat="1" applyFont="1" applyFill="1" applyBorder="1" applyAlignment="1">
      <x:alignment horizontal="center"/>
    </x:xf>
    <x:xf numFmtId="204" fontId="8" fillId="6" borderId="21" xfId="0" applyNumberFormat="1" applyFont="1" applyFill="1" applyBorder="1" applyAlignment="1">
      <x:alignment horizontal="center"/>
    </x:xf>
    <x:xf numFmtId="204" fontId="8" fillId="6" borderId="22" xfId="0" applyNumberFormat="1" applyFont="1" applyFill="1" applyBorder="1" applyAlignment="1">
      <x:alignment horizontal="center"/>
    </x:xf>
    <x:xf numFmtId="204" fontId="8" fillId="6" borderId="0" xfId="0" applyNumberFormat="1" applyFont="1" applyFill="1" applyBorder="1" applyAlignment="1">
      <x:alignment horizontal="center"/>
    </x:xf>
    <x:xf numFmtId="204" fontId="8" fillId="6" borderId="23" xfId="0" applyNumberFormat="1" applyFont="1" applyFill="1" applyBorder="1" applyAlignment="1">
      <x:alignment horizontal="center"/>
    </x:xf>
    <x:xf numFmtId="204" fontId="8" fillId="6" borderId="24" xfId="0" applyNumberFormat="1" applyFont="1" applyFill="1" applyBorder="1" applyAlignment="1">
      <x:alignment horizontal="center"/>
    </x:xf>
    <x:xf numFmtId="204" fontId="8" fillId="6" borderId="25" xfId="0" applyNumberFormat="1" applyFont="1" applyFill="1" applyBorder="1" applyAlignment="1">
      <x:alignment horizontal="center"/>
    </x:xf>
    <x:xf numFmtId="204" fontId="8" fillId="6" borderId="26" xfId="0" applyNumberFormat="1" applyFont="1" applyFill="1" applyBorder="1" applyAlignment="1">
      <x:alignment horizontal="center"/>
    </x:xf>
    <x:xf numFmtId="204" fontId="8" fillId="6" borderId="19" xfId="0" applyNumberFormat="1" applyFont="1" applyFill="1" applyBorder="1" applyAlignment="1">
      <x:alignment horizontal="center" vertical="center"/>
    </x:xf>
    <x:xf numFmtId="204" fontId="8" fillId="6" borderId="20" xfId="0" applyNumberFormat="1" applyFont="1" applyFill="1" applyBorder="1" applyAlignment="1">
      <x:alignment horizontal="center" vertical="center"/>
    </x:xf>
    <x:xf numFmtId="204" fontId="8" fillId="6" borderId="21" xfId="0" applyNumberFormat="1" applyFont="1" applyFill="1" applyBorder="1" applyAlignment="1">
      <x:alignment horizontal="center" vertical="center"/>
    </x:xf>
    <x:xf numFmtId="204" fontId="8" fillId="6" borderId="22" xfId="0" applyNumberFormat="1" applyFont="1" applyFill="1" applyBorder="1" applyAlignment="1">
      <x:alignment horizontal="center" vertical="center"/>
    </x:xf>
    <x:xf numFmtId="204" fontId="8" fillId="6" borderId="0" xfId="0" applyNumberFormat="1" applyFont="1" applyFill="1" applyBorder="1" applyAlignment="1">
      <x:alignment horizontal="center" vertical="center"/>
    </x:xf>
    <x:xf numFmtId="204" fontId="8" fillId="6" borderId="23" xfId="0" applyNumberFormat="1" applyFont="1" applyFill="1" applyBorder="1" applyAlignment="1">
      <x:alignment horizontal="center" vertical="center"/>
    </x:xf>
    <x:xf numFmtId="204" fontId="8" fillId="6" borderId="24" xfId="0" applyNumberFormat="1" applyFont="1" applyFill="1" applyBorder="1" applyAlignment="1">
      <x:alignment horizontal="center" vertical="center"/>
    </x:xf>
    <x:xf numFmtId="204" fontId="8" fillId="6" borderId="25" xfId="0" applyNumberFormat="1" applyFont="1" applyFill="1" applyBorder="1" applyAlignment="1">
      <x:alignment horizontal="center" vertical="center"/>
    </x:xf>
    <x:xf numFmtId="204" fontId="8" fillId="6" borderId="26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27" xfId="0" applyNumberFormat="1" applyFont="1" applyFill="1" applyBorder="1"/>
    <x:xf numFmtId="0" fontId="7" fillId="5" borderId="28" xfId="0" applyNumberFormat="1" applyFont="1" applyFill="1" applyBorder="1"/>
    <x:xf numFmtId="0" fontId="7" fillId="5" borderId="29" xfId="0" applyNumberFormat="1" applyFont="1" applyFill="1" applyBorder="1"/>
    <x:xf numFmtId="0" fontId="7" fillId="5" borderId="27" xfId="0" applyNumberFormat="1" applyFont="1" applyFill="1" applyBorder="1" applyAlignment="1">
      <x:alignment horizontal="center"/>
    </x:xf>
    <x:xf numFmtId="0" fontId="7" fillId="5" borderId="28" xfId="0" applyNumberFormat="1" applyFont="1" applyFill="1" applyBorder="1" applyAlignment="1">
      <x:alignment horizontal="center"/>
    </x:xf>
    <x:xf numFmtId="0" fontId="7" fillId="5" borderId="29" xfId="0" applyNumberFormat="1" applyFont="1" applyFill="1" applyBorder="1" applyAlignment="1">
      <x:alignment horizontal="center"/>
    </x:xf>
    <x:xf numFmtId="0" fontId="7" fillId="5" borderId="27" xfId="0" applyNumberFormat="1" applyFont="1" applyFill="1" applyBorder="1" applyAlignment="1">
      <x:alignment horizontal="center" vertical="center"/>
    </x:xf>
    <x:xf numFmtId="0" fontId="7" fillId="5" borderId="28" xfId="0" applyNumberFormat="1" applyFont="1" applyFill="1" applyBorder="1" applyAlignment="1">
      <x:alignment horizontal="center" vertical="center"/>
    </x:xf>
    <x:xf numFmtId="0" fontId="7" fillId="5" borderId="29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30" xfId="0" applyNumberFormat="1" applyFont="1" applyFill="1" applyBorder="1"/>
    <x:xf numFmtId="0" fontId="8" fillId="5" borderId="31" xfId="0" applyNumberFormat="1" applyFont="1" applyFill="1" applyBorder="1"/>
    <x:xf numFmtId="0" fontId="8" fillId="5" borderId="32" xfId="0" applyNumberFormat="1" applyFont="1" applyFill="1" applyBorder="1"/>
    <x:xf numFmtId="0" fontId="8" fillId="5" borderId="33" xfId="0" applyNumberFormat="1" applyFont="1" applyFill="1" applyBorder="1"/>
    <x:xf numFmtId="0" fontId="8" fillId="5" borderId="34" xfId="0" applyNumberFormat="1" applyFont="1" applyFill="1" applyBorder="1"/>
    <x:xf numFmtId="0" fontId="8" fillId="5" borderId="35" xfId="0" applyNumberFormat="1" applyFont="1" applyFill="1" applyBorder="1"/>
    <x:xf numFmtId="0" fontId="8" fillId="5" borderId="36" xfId="0" applyNumberFormat="1" applyFont="1" applyFill="1" applyBorder="1"/>
    <x:xf numFmtId="0" fontId="8" fillId="5" borderId="37" xfId="0" applyNumberFormat="1" applyFont="1" applyFill="1" applyBorder="1"/>
    <x:xf numFmtId="201" fontId="8" fillId="5" borderId="30" xfId="0" applyNumberFormat="1" applyFont="1" applyFill="1" applyBorder="1"/>
    <x:xf numFmtId="201" fontId="8" fillId="5" borderId="31" xfId="0" applyNumberFormat="1" applyFont="1" applyFill="1" applyBorder="1"/>
    <x:xf numFmtId="201" fontId="8" fillId="5" borderId="32" xfId="0" applyNumberFormat="1" applyFont="1" applyFill="1" applyBorder="1"/>
    <x:xf numFmtId="201" fontId="8" fillId="5" borderId="33" xfId="0" applyNumberFormat="1" applyFont="1" applyFill="1" applyBorder="1"/>
    <x:xf numFmtId="201" fontId="8" fillId="5" borderId="0" xfId="0" applyNumberFormat="1" applyFont="1" applyFill="1" applyBorder="1"/>
    <x:xf numFmtId="201" fontId="8" fillId="5" borderId="34" xfId="0" applyNumberFormat="1" applyFont="1" applyFill="1" applyBorder="1"/>
    <x:xf numFmtId="201" fontId="8" fillId="5" borderId="35" xfId="0" applyNumberFormat="1" applyFont="1" applyFill="1" applyBorder="1"/>
    <x:xf numFmtId="201" fontId="8" fillId="5" borderId="36" xfId="0" applyNumberFormat="1" applyFont="1" applyFill="1" applyBorder="1"/>
    <x:xf numFmtId="201" fontId="8" fillId="5" borderId="37" xfId="0" applyNumberFormat="1" applyFont="1" applyFill="1" applyBorder="1"/>
    <x:xf numFmtId="201" fontId="8" fillId="5" borderId="30" xfId="0" applyNumberFormat="1" applyFont="1" applyFill="1" applyBorder="1" applyAlignment="1">
      <x:alignment horizontal="center"/>
    </x:xf>
    <x:xf numFmtId="201" fontId="8" fillId="5" borderId="31" xfId="0" applyNumberFormat="1" applyFont="1" applyFill="1" applyBorder="1" applyAlignment="1">
      <x:alignment horizontal="center"/>
    </x:xf>
    <x:xf numFmtId="201" fontId="8" fillId="5" borderId="32" xfId="0" applyNumberFormat="1" applyFont="1" applyFill="1" applyBorder="1" applyAlignment="1">
      <x:alignment horizontal="center"/>
    </x:xf>
    <x:xf numFmtId="201" fontId="8" fillId="5" borderId="33" xfId="0" applyNumberFormat="1" applyFont="1" applyFill="1" applyBorder="1" applyAlignment="1">
      <x:alignment horizontal="center"/>
    </x:xf>
    <x:xf numFmtId="201" fontId="8" fillId="5" borderId="0" xfId="0" applyNumberFormat="1" applyFont="1" applyFill="1" applyBorder="1" applyAlignment="1">
      <x:alignment horizontal="center"/>
    </x:xf>
    <x:xf numFmtId="201" fontId="8" fillId="5" borderId="34" xfId="0" applyNumberFormat="1" applyFont="1" applyFill="1" applyBorder="1" applyAlignment="1">
      <x:alignment horizontal="center"/>
    </x:xf>
    <x:xf numFmtId="201" fontId="8" fillId="5" borderId="35" xfId="0" applyNumberFormat="1" applyFont="1" applyFill="1" applyBorder="1" applyAlignment="1">
      <x:alignment horizontal="center"/>
    </x:xf>
    <x:xf numFmtId="201" fontId="8" fillId="5" borderId="36" xfId="0" applyNumberFormat="1" applyFont="1" applyFill="1" applyBorder="1" applyAlignment="1">
      <x:alignment horizontal="center"/>
    </x:xf>
    <x:xf numFmtId="201" fontId="8" fillId="5" borderId="37" xfId="0" applyNumberFormat="1" applyFont="1" applyFill="1" applyBorder="1" applyAlignment="1">
      <x:alignment horizontal="center"/>
    </x:xf>
    <x:xf numFmtId="201" fontId="8" fillId="5" borderId="30" xfId="0" applyNumberFormat="1" applyFont="1" applyFill="1" applyBorder="1" applyAlignment="1">
      <x:alignment horizontal="center" vertical="center"/>
    </x:xf>
    <x:xf numFmtId="201" fontId="8" fillId="5" borderId="31" xfId="0" applyNumberFormat="1" applyFont="1" applyFill="1" applyBorder="1" applyAlignment="1">
      <x:alignment horizontal="center" vertical="center"/>
    </x:xf>
    <x:xf numFmtId="201" fontId="8" fillId="5" borderId="32" xfId="0" applyNumberFormat="1" applyFont="1" applyFill="1" applyBorder="1" applyAlignment="1">
      <x:alignment horizontal="center" vertical="center"/>
    </x:xf>
    <x:xf numFmtId="201" fontId="8" fillId="5" borderId="33" xfId="0" applyNumberFormat="1" applyFont="1" applyFill="1" applyBorder="1" applyAlignment="1">
      <x:alignment horizontal="center" vertical="center"/>
    </x:xf>
    <x:xf numFmtId="201" fontId="8" fillId="5" borderId="0" xfId="0" applyNumberFormat="1" applyFont="1" applyFill="1" applyBorder="1" applyAlignment="1">
      <x:alignment horizontal="center" vertical="center"/>
    </x:xf>
    <x:xf numFmtId="201" fontId="8" fillId="5" borderId="34" xfId="0" applyNumberFormat="1" applyFont="1" applyFill="1" applyBorder="1" applyAlignment="1">
      <x:alignment horizontal="center" vertical="center"/>
    </x:xf>
    <x:xf numFmtId="201" fontId="8" fillId="5" borderId="35" xfId="0" applyNumberFormat="1" applyFont="1" applyFill="1" applyBorder="1" applyAlignment="1">
      <x:alignment horizontal="center" vertical="center"/>
    </x:xf>
    <x:xf numFmtId="201" fontId="8" fillId="5" borderId="36" xfId="0" applyNumberFormat="1" applyFont="1" applyFill="1" applyBorder="1" applyAlignment="1">
      <x:alignment horizontal="center" vertical="center"/>
    </x:xf>
    <x:xf numFmtId="201" fontId="8" fillId="5" borderId="37" xfId="0" applyNumberFormat="1" applyFont="1" applyFill="1" applyBorder="1" applyAlignment="1">
      <x:alignment horizontal="center" vertical="center"/>
    </x:xf>
    <x:xf numFmtId="202" fontId="8" fillId="2" borderId="8" xfId="0" applyNumberFormat="1" applyFont="1" applyFill="1" applyBorder="1"/>
    <x:xf numFmtId="202" fontId="8" fillId="2" borderId="9" xfId="0" applyNumberFormat="1" applyFont="1" applyFill="1" applyBorder="1"/>
    <x:xf numFmtId="202" fontId="8" fillId="2" borderId="10" xfId="0" applyNumberFormat="1" applyFont="1" applyFill="1" applyBorder="1"/>
    <x:xf numFmtId="202" fontId="8" fillId="2" borderId="11" xfId="0" applyNumberFormat="1" applyFont="1" applyFill="1" applyBorder="1"/>
    <x:xf numFmtId="202" fontId="8" fillId="2" borderId="0" xfId="0" applyNumberFormat="1" applyFont="1" applyFill="1" applyBorder="1"/>
    <x:xf numFmtId="202" fontId="8" fillId="2" borderId="12" xfId="0" applyNumberFormat="1" applyFont="1" applyFill="1" applyBorder="1"/>
    <x:xf numFmtId="202" fontId="8" fillId="2" borderId="13" xfId="0" applyNumberFormat="1" applyFont="1" applyFill="1" applyBorder="1"/>
    <x:xf numFmtId="202" fontId="8" fillId="2" borderId="14" xfId="0" applyNumberFormat="1" applyFont="1" applyFill="1" applyBorder="1"/>
    <x:xf numFmtId="202" fontId="8" fillId="2" borderId="15" xfId="0" applyNumberFormat="1" applyFont="1" applyFill="1" applyBorder="1"/>
    <x:xf numFmtId="202" fontId="8" fillId="2" borderId="8" xfId="0" applyNumberFormat="1" applyFont="1" applyFill="1" applyBorder="1" applyAlignment="1">
      <x:alignment horizontal="center"/>
    </x:xf>
    <x:xf numFmtId="202" fontId="8" fillId="2" borderId="9" xfId="0" applyNumberFormat="1" applyFont="1" applyFill="1" applyBorder="1" applyAlignment="1">
      <x:alignment horizontal="center"/>
    </x:xf>
    <x:xf numFmtId="202" fontId="8" fillId="2" borderId="10" xfId="0" applyNumberFormat="1" applyFont="1" applyFill="1" applyBorder="1" applyAlignment="1">
      <x:alignment horizontal="center"/>
    </x:xf>
    <x:xf numFmtId="202" fontId="8" fillId="2" borderId="11" xfId="0" applyNumberFormat="1" applyFont="1" applyFill="1" applyBorder="1" applyAlignment="1">
      <x:alignment horizontal="center"/>
    </x:xf>
    <x:xf numFmtId="202" fontId="8" fillId="2" borderId="0" xfId="0" applyNumberFormat="1" applyFont="1" applyFill="1" applyBorder="1" applyAlignment="1">
      <x:alignment horizontal="center"/>
    </x:xf>
    <x:xf numFmtId="202" fontId="8" fillId="2" borderId="12" xfId="0" applyNumberFormat="1" applyFont="1" applyFill="1" applyBorder="1" applyAlignment="1">
      <x:alignment horizontal="center"/>
    </x:xf>
    <x:xf numFmtId="202" fontId="8" fillId="2" borderId="13" xfId="0" applyNumberFormat="1" applyFont="1" applyFill="1" applyBorder="1" applyAlignment="1">
      <x:alignment horizontal="center"/>
    </x:xf>
    <x:xf numFmtId="202" fontId="8" fillId="2" borderId="14" xfId="0" applyNumberFormat="1" applyFont="1" applyFill="1" applyBorder="1" applyAlignment="1">
      <x:alignment horizontal="center"/>
    </x:xf>
    <x:xf numFmtId="202" fontId="8" fillId="2" borderId="15" xfId="0" applyNumberFormat="1" applyFont="1" applyFill="1" applyBorder="1" applyAlignment="1">
      <x:alignment horizontal="center"/>
    </x:xf>
    <x:xf numFmtId="202" fontId="8" fillId="2" borderId="8" xfId="0" applyNumberFormat="1" applyFont="1" applyFill="1" applyBorder="1" applyAlignment="1">
      <x:alignment horizontal="center" vertical="center"/>
    </x:xf>
    <x:xf numFmtId="202" fontId="8" fillId="2" borderId="9" xfId="0" applyNumberFormat="1" applyFont="1" applyFill="1" applyBorder="1" applyAlignment="1">
      <x:alignment horizontal="center" vertical="center"/>
    </x:xf>
    <x:xf numFmtId="202" fontId="8" fillId="2" borderId="10" xfId="0" applyNumberFormat="1" applyFont="1" applyFill="1" applyBorder="1" applyAlignment="1">
      <x:alignment horizontal="center" vertical="center"/>
    </x:xf>
    <x:xf numFmtId="202" fontId="8" fillId="2" borderId="11" xfId="0" applyNumberFormat="1" applyFont="1" applyFill="1" applyBorder="1" applyAlignment="1">
      <x:alignment horizontal="center" vertical="center"/>
    </x:xf>
    <x:xf numFmtId="202" fontId="8" fillId="2" borderId="0" xfId="0" applyNumberFormat="1" applyFont="1" applyFill="1" applyBorder="1" applyAlignment="1">
      <x:alignment horizontal="center" vertical="center"/>
    </x:xf>
    <x:xf numFmtId="202" fontId="8" fillId="2" borderId="12" xfId="0" applyNumberFormat="1" applyFont="1" applyFill="1" applyBorder="1" applyAlignment="1">
      <x:alignment horizontal="center" vertical="center"/>
    </x:xf>
    <x:xf numFmtId="202" fontId="8" fillId="2" borderId="13" xfId="0" applyNumberFormat="1" applyFont="1" applyFill="1" applyBorder="1" applyAlignment="1">
      <x:alignment horizontal="center" vertical="center"/>
    </x:xf>
    <x:xf numFmtId="202" fontId="8" fillId="2" borderId="14" xfId="0" applyNumberFormat="1" applyFont="1" applyFill="1" applyBorder="1" applyAlignment="1">
      <x:alignment horizontal="center" vertical="center"/>
    </x:xf>
    <x:xf numFmtId="202" fontId="8" fillId="2" borderId="15" xfId="0" applyNumberFormat="1" applyFont="1" applyFill="1" applyBorder="1" applyAlignment="1">
      <x:alignment horizontal="center" vertical="center"/>
    </x:xf>
    <x:xf numFmtId="203" fontId="8" fillId="6" borderId="19" xfId="0" applyNumberFormat="1" applyFont="1" applyFill="1" applyBorder="1"/>
    <x:xf numFmtId="203" fontId="8" fillId="6" borderId="20" xfId="0" applyNumberFormat="1" applyFont="1" applyFill="1" applyBorder="1"/>
    <x:xf numFmtId="203" fontId="8" fillId="6" borderId="21" xfId="0" applyNumberFormat="1" applyFont="1" applyFill="1" applyBorder="1"/>
    <x:xf numFmtId="203" fontId="8" fillId="6" borderId="22" xfId="0" applyNumberFormat="1" applyFont="1" applyFill="1" applyBorder="1"/>
    <x:xf numFmtId="203" fontId="8" fillId="6" borderId="0" xfId="0" applyNumberFormat="1" applyFont="1" applyFill="1" applyBorder="1"/>
    <x:xf numFmtId="203" fontId="8" fillId="6" borderId="23" xfId="0" applyNumberFormat="1" applyFont="1" applyFill="1" applyBorder="1"/>
    <x:xf numFmtId="203" fontId="8" fillId="6" borderId="24" xfId="0" applyNumberFormat="1" applyFont="1" applyFill="1" applyBorder="1"/>
    <x:xf numFmtId="203" fontId="8" fillId="6" borderId="25" xfId="0" applyNumberFormat="1" applyFont="1" applyFill="1" applyBorder="1"/>
    <x:xf numFmtId="203" fontId="8" fillId="6" borderId="26" xfId="0" applyNumberFormat="1" applyFont="1" applyFill="1" applyBorder="1"/>
    <x:xf numFmtId="203" fontId="8" fillId="6" borderId="19" xfId="0" applyNumberFormat="1" applyFont="1" applyFill="1" applyBorder="1" applyAlignment="1">
      <x:alignment horizontal="center"/>
    </x:xf>
    <x:xf numFmtId="203" fontId="8" fillId="6" borderId="20" xfId="0" applyNumberFormat="1" applyFont="1" applyFill="1" applyBorder="1" applyAlignment="1">
      <x:alignment horizontal="center"/>
    </x:xf>
    <x:xf numFmtId="203" fontId="8" fillId="6" borderId="21" xfId="0" applyNumberFormat="1" applyFont="1" applyFill="1" applyBorder="1" applyAlignment="1">
      <x:alignment horizontal="center"/>
    </x:xf>
    <x:xf numFmtId="203" fontId="8" fillId="6" borderId="22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203" fontId="8" fillId="6" borderId="23" xfId="0" applyNumberFormat="1" applyFont="1" applyFill="1" applyBorder="1" applyAlignment="1">
      <x:alignment horizontal="center"/>
    </x:xf>
    <x:xf numFmtId="203" fontId="8" fillId="6" borderId="24" xfId="0" applyNumberFormat="1" applyFont="1" applyFill="1" applyBorder="1" applyAlignment="1">
      <x:alignment horizontal="center"/>
    </x:xf>
    <x:xf numFmtId="203" fontId="8" fillId="6" borderId="25" xfId="0" applyNumberFormat="1" applyFont="1" applyFill="1" applyBorder="1" applyAlignment="1">
      <x:alignment horizontal="center"/>
    </x:xf>
    <x:xf numFmtId="203" fontId="8" fillId="6" borderId="26" xfId="0" applyNumberFormat="1" applyFont="1" applyFill="1" applyBorder="1" applyAlignment="1">
      <x:alignment horizontal="center"/>
    </x:xf>
    <x:xf numFmtId="203" fontId="8" fillId="6" borderId="19" xfId="0" applyNumberFormat="1" applyFont="1" applyFill="1" applyBorder="1" applyAlignment="1">
      <x:alignment horizontal="center" vertical="center"/>
    </x:xf>
    <x:xf numFmtId="203" fontId="8" fillId="6" borderId="20" xfId="0" applyNumberFormat="1" applyFont="1" applyFill="1" applyBorder="1" applyAlignment="1">
      <x:alignment horizontal="center" vertical="center"/>
    </x:xf>
    <x:xf numFmtId="203" fontId="8" fillId="6" borderId="21" xfId="0" applyNumberFormat="1" applyFont="1" applyFill="1" applyBorder="1" applyAlignment="1">
      <x:alignment horizontal="center" vertical="center"/>
    </x:xf>
    <x:xf numFmtId="203" fontId="8" fillId="6" borderId="22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203" fontId="8" fillId="6" borderId="23" xfId="0" applyNumberFormat="1" applyFont="1" applyFill="1" applyBorder="1" applyAlignment="1">
      <x:alignment horizontal="center" vertical="center"/>
    </x:xf>
    <x:xf numFmtId="203" fontId="8" fillId="6" borderId="24" xfId="0" applyNumberFormat="1" applyFont="1" applyFill="1" applyBorder="1" applyAlignment="1">
      <x:alignment horizontal="center" vertical="center"/>
    </x:xf>
    <x:xf numFmtId="203" fontId="8" fillId="6" borderId="25" xfId="0" applyNumberFormat="1" applyFont="1" applyFill="1" applyBorder="1" applyAlignment="1">
      <x:alignment horizontal="center" vertical="center"/>
    </x:xf>
    <x:xf numFmtId="203" fontId="8" fillId="6" borderId="26" xfId="0" applyNumberFormat="1" applyFont="1" applyFill="1" applyBorder="1" applyAlignment="1">
      <x:alignment horizontal="center" vertical="center"/>
    </x:xf>
    <x:xf numFmtId="205" fontId="8" fillId="5" borderId="30" xfId="0" applyNumberFormat="1" applyFont="1" applyFill="1" applyBorder="1"/>
    <x:xf numFmtId="205" fontId="8" fillId="5" borderId="31" xfId="0" applyNumberFormat="1" applyFont="1" applyFill="1" applyBorder="1"/>
    <x:xf numFmtId="205" fontId="8" fillId="5" borderId="32" xfId="0" applyNumberFormat="1" applyFont="1" applyFill="1" applyBorder="1"/>
    <x:xf numFmtId="205" fontId="8" fillId="5" borderId="33" xfId="0" applyNumberFormat="1" applyFont="1" applyFill="1" applyBorder="1"/>
    <x:xf numFmtId="205" fontId="8" fillId="5" borderId="0" xfId="0" applyNumberFormat="1" applyFont="1" applyFill="1" applyBorder="1"/>
    <x:xf numFmtId="205" fontId="8" fillId="5" borderId="34" xfId="0" applyNumberFormat="1" applyFont="1" applyFill="1" applyBorder="1"/>
    <x:xf numFmtId="205" fontId="8" fillId="5" borderId="35" xfId="0" applyNumberFormat="1" applyFont="1" applyFill="1" applyBorder="1"/>
    <x:xf numFmtId="205" fontId="8" fillId="5" borderId="36" xfId="0" applyNumberFormat="1" applyFont="1" applyFill="1" applyBorder="1"/>
    <x:xf numFmtId="205" fontId="8" fillId="5" borderId="37" xfId="0" applyNumberFormat="1" applyFont="1" applyFill="1" applyBorder="1"/>
    <x:xf numFmtId="205" fontId="8" fillId="5" borderId="30" xfId="0" applyNumberFormat="1" applyFont="1" applyFill="1" applyBorder="1" applyAlignment="1">
      <x:alignment horizontal="center"/>
    </x:xf>
    <x:xf numFmtId="205" fontId="8" fillId="5" borderId="31" xfId="0" applyNumberFormat="1" applyFont="1" applyFill="1" applyBorder="1" applyAlignment="1">
      <x:alignment horizontal="center"/>
    </x:xf>
    <x:xf numFmtId="205" fontId="8" fillId="5" borderId="32" xfId="0" applyNumberFormat="1" applyFont="1" applyFill="1" applyBorder="1" applyAlignment="1">
      <x:alignment horizontal="center"/>
    </x:xf>
    <x:xf numFmtId="205" fontId="8" fillId="5" borderId="33" xfId="0" applyNumberFormat="1" applyFont="1" applyFill="1" applyBorder="1" applyAlignment="1">
      <x:alignment horizontal="center"/>
    </x:xf>
    <x:xf numFmtId="205" fontId="8" fillId="5" borderId="0" xfId="0" applyNumberFormat="1" applyFont="1" applyFill="1" applyBorder="1" applyAlignment="1">
      <x:alignment horizontal="center"/>
    </x:xf>
    <x:xf numFmtId="205" fontId="8" fillId="5" borderId="34" xfId="0" applyNumberFormat="1" applyFont="1" applyFill="1" applyBorder="1" applyAlignment="1">
      <x:alignment horizontal="center"/>
    </x:xf>
    <x:xf numFmtId="205" fontId="8" fillId="5" borderId="35" xfId="0" applyNumberFormat="1" applyFont="1" applyFill="1" applyBorder="1" applyAlignment="1">
      <x:alignment horizontal="center"/>
    </x:xf>
    <x:xf numFmtId="205" fontId="8" fillId="5" borderId="36" xfId="0" applyNumberFormat="1" applyFont="1" applyFill="1" applyBorder="1" applyAlignment="1">
      <x:alignment horizontal="center"/>
    </x:xf>
    <x:xf numFmtId="205" fontId="8" fillId="5" borderId="37" xfId="0" applyNumberFormat="1" applyFont="1" applyFill="1" applyBorder="1" applyAlignment="1">
      <x:alignment horizontal="center"/>
    </x:xf>
    <x:xf numFmtId="205" fontId="8" fillId="5" borderId="30" xfId="0" applyNumberFormat="1" applyFont="1" applyFill="1" applyBorder="1" applyAlignment="1">
      <x:alignment horizontal="center" vertical="center"/>
    </x:xf>
    <x:xf numFmtId="205" fontId="8" fillId="5" borderId="31" xfId="0" applyNumberFormat="1" applyFont="1" applyFill="1" applyBorder="1" applyAlignment="1">
      <x:alignment horizontal="center" vertical="center"/>
    </x:xf>
    <x:xf numFmtId="205" fontId="8" fillId="5" borderId="32" xfId="0" applyNumberFormat="1" applyFont="1" applyFill="1" applyBorder="1" applyAlignment="1">
      <x:alignment horizontal="center" vertical="center"/>
    </x:xf>
    <x:xf numFmtId="205" fontId="8" fillId="5" borderId="33" xfId="0" applyNumberFormat="1" applyFont="1" applyFill="1" applyBorder="1" applyAlignment="1">
      <x:alignment horizontal="center" vertical="center"/>
    </x:xf>
    <x:xf numFmtId="205" fontId="8" fillId="5" borderId="0" xfId="0" applyNumberFormat="1" applyFont="1" applyFill="1" applyBorder="1" applyAlignment="1">
      <x:alignment horizontal="center" vertical="center"/>
    </x:xf>
    <x:xf numFmtId="205" fontId="8" fillId="5" borderId="34" xfId="0" applyNumberFormat="1" applyFont="1" applyFill="1" applyBorder="1" applyAlignment="1">
      <x:alignment horizontal="center" vertical="center"/>
    </x:xf>
    <x:xf numFmtId="205" fontId="8" fillId="5" borderId="35" xfId="0" applyNumberFormat="1" applyFont="1" applyFill="1" applyBorder="1" applyAlignment="1">
      <x:alignment horizontal="center" vertical="center"/>
    </x:xf>
    <x:xf numFmtId="205" fontId="8" fillId="5" borderId="36" xfId="0" applyNumberFormat="1" applyFont="1" applyFill="1" applyBorder="1" applyAlignment="1">
      <x:alignment horizontal="center" vertical="center"/>
    </x:xf>
    <x:xf numFmtId="205" fontId="8" fillId="5" borderId="37" xfId="0" applyNumberFormat="1" applyFont="1" applyFill="1" applyBorder="1" applyAlignment="1">
      <x:alignment horizontal="center" vertical="center"/>
    </x:xf>
    <x:xf numFmtId="205" fontId="8" fillId="2" borderId="8" xfId="0" applyNumberFormat="1" applyFont="1" applyFill="1" applyBorder="1"/>
    <x:xf numFmtId="205" fontId="8" fillId="2" borderId="9" xfId="0" applyNumberFormat="1" applyFont="1" applyFill="1" applyBorder="1"/>
    <x:xf numFmtId="205" fontId="8" fillId="2" borderId="10" xfId="0" applyNumberFormat="1" applyFont="1" applyFill="1" applyBorder="1"/>
    <x:xf numFmtId="205" fontId="8" fillId="2" borderId="11" xfId="0" applyNumberFormat="1" applyFont="1" applyFill="1" applyBorder="1"/>
    <x:xf numFmtId="205" fontId="8" fillId="2" borderId="0" xfId="0" applyNumberFormat="1" applyFont="1" applyFill="1" applyBorder="1"/>
    <x:xf numFmtId="205" fontId="8" fillId="2" borderId="12" xfId="0" applyNumberFormat="1" applyFont="1" applyFill="1" applyBorder="1"/>
    <x:xf numFmtId="205" fontId="8" fillId="2" borderId="13" xfId="0" applyNumberFormat="1" applyFont="1" applyFill="1" applyBorder="1"/>
    <x:xf numFmtId="205" fontId="8" fillId="2" borderId="14" xfId="0" applyNumberFormat="1" applyFont="1" applyFill="1" applyBorder="1"/>
    <x:xf numFmtId="205" fontId="8" fillId="2" borderId="15" xfId="0" applyNumberFormat="1" applyFont="1" applyFill="1" applyBorder="1"/>
    <x:xf numFmtId="205" fontId="8" fillId="2" borderId="8" xfId="0" applyNumberFormat="1" applyFont="1" applyFill="1" applyBorder="1" applyAlignment="1">
      <x:alignment horizontal="center"/>
    </x:xf>
    <x:xf numFmtId="205" fontId="8" fillId="2" borderId="9" xfId="0" applyNumberFormat="1" applyFont="1" applyFill="1" applyBorder="1" applyAlignment="1">
      <x:alignment horizontal="center"/>
    </x:xf>
    <x:xf numFmtId="205" fontId="8" fillId="2" borderId="10" xfId="0" applyNumberFormat="1" applyFont="1" applyFill="1" applyBorder="1" applyAlignment="1">
      <x:alignment horizontal="center"/>
    </x:xf>
    <x:xf numFmtId="205" fontId="8" fillId="2" borderId="11" xfId="0" applyNumberFormat="1" applyFont="1" applyFill="1" applyBorder="1" applyAlignment="1">
      <x:alignment horizontal="center"/>
    </x:xf>
    <x:xf numFmtId="205" fontId="8" fillId="2" borderId="0" xfId="0" applyNumberFormat="1" applyFont="1" applyFill="1" applyBorder="1" applyAlignment="1">
      <x:alignment horizontal="center"/>
    </x:xf>
    <x:xf numFmtId="205" fontId="8" fillId="2" borderId="12" xfId="0" applyNumberFormat="1" applyFont="1" applyFill="1" applyBorder="1" applyAlignment="1">
      <x:alignment horizontal="center"/>
    </x:xf>
    <x:xf numFmtId="205" fontId="8" fillId="2" borderId="13" xfId="0" applyNumberFormat="1" applyFont="1" applyFill="1" applyBorder="1" applyAlignment="1">
      <x:alignment horizontal="center"/>
    </x:xf>
    <x:xf numFmtId="205" fontId="8" fillId="2" borderId="14" xfId="0" applyNumberFormat="1" applyFont="1" applyFill="1" applyBorder="1" applyAlignment="1">
      <x:alignment horizontal="center"/>
    </x:xf>
    <x:xf numFmtId="205" fontId="8" fillId="2" borderId="15" xfId="0" applyNumberFormat="1" applyFont="1" applyFill="1" applyBorder="1" applyAlignment="1">
      <x:alignment horizontal="center"/>
    </x:xf>
    <x:xf numFmtId="205" fontId="8" fillId="2" borderId="8" xfId="0" applyNumberFormat="1" applyFont="1" applyFill="1" applyBorder="1" applyAlignment="1">
      <x:alignment horizontal="center" vertical="center"/>
    </x:xf>
    <x:xf numFmtId="205" fontId="8" fillId="2" borderId="9" xfId="0" applyNumberFormat="1" applyFont="1" applyFill="1" applyBorder="1" applyAlignment="1">
      <x:alignment horizontal="center" vertical="center"/>
    </x:xf>
    <x:xf numFmtId="205" fontId="8" fillId="2" borderId="10" xfId="0" applyNumberFormat="1" applyFont="1" applyFill="1" applyBorder="1" applyAlignment="1">
      <x:alignment horizontal="center" vertical="center"/>
    </x:xf>
    <x:xf numFmtId="205" fontId="8" fillId="2" borderId="11" xfId="0" applyNumberFormat="1" applyFont="1" applyFill="1" applyBorder="1" applyAlignment="1">
      <x:alignment horizontal="center" vertical="center"/>
    </x:xf>
    <x:xf numFmtId="205" fontId="8" fillId="2" borderId="0" xfId="0" applyNumberFormat="1" applyFont="1" applyFill="1" applyBorder="1" applyAlignment="1">
      <x:alignment horizontal="center" vertical="center"/>
    </x:xf>
    <x:xf numFmtId="205" fontId="8" fillId="2" borderId="12" xfId="0" applyNumberFormat="1" applyFont="1" applyFill="1" applyBorder="1" applyAlignment="1">
      <x:alignment horizontal="center" vertical="center"/>
    </x:xf>
    <x:xf numFmtId="205" fontId="8" fillId="2" borderId="13" xfId="0" applyNumberFormat="1" applyFont="1" applyFill="1" applyBorder="1" applyAlignment="1">
      <x:alignment horizontal="center" vertical="center"/>
    </x:xf>
    <x:xf numFmtId="205" fontId="8" fillId="2" borderId="14" xfId="0" applyNumberFormat="1" applyFont="1" applyFill="1" applyBorder="1" applyAlignment="1">
      <x:alignment horizontal="center" vertical="center"/>
    </x:xf>
    <x:xf numFmtId="205" fontId="8" fillId="2" borderId="15" xfId="0" applyNumberFormat="1" applyFont="1" applyFill="1" applyBorder="1" applyAlignment="1">
      <x:alignment horizontal="center" vertical="center"/>
    </x:xf>
    <x:xf numFmtId="205" fontId="8" fillId="6" borderId="19" xfId="0" applyNumberFormat="1" applyFont="1" applyFill="1" applyBorder="1"/>
    <x:xf numFmtId="205" fontId="8" fillId="6" borderId="20" xfId="0" applyNumberFormat="1" applyFont="1" applyFill="1" applyBorder="1"/>
    <x:xf numFmtId="205" fontId="8" fillId="6" borderId="21" xfId="0" applyNumberFormat="1" applyFont="1" applyFill="1" applyBorder="1"/>
    <x:xf numFmtId="205" fontId="8" fillId="6" borderId="22" xfId="0" applyNumberFormat="1" applyFont="1" applyFill="1" applyBorder="1"/>
    <x:xf numFmtId="205" fontId="8" fillId="6" borderId="0" xfId="0" applyNumberFormat="1" applyFont="1" applyFill="1" applyBorder="1"/>
    <x:xf numFmtId="205" fontId="8" fillId="6" borderId="23" xfId="0" applyNumberFormat="1" applyFont="1" applyFill="1" applyBorder="1"/>
    <x:xf numFmtId="205" fontId="8" fillId="6" borderId="24" xfId="0" applyNumberFormat="1" applyFont="1" applyFill="1" applyBorder="1"/>
    <x:xf numFmtId="205" fontId="8" fillId="6" borderId="25" xfId="0" applyNumberFormat="1" applyFont="1" applyFill="1" applyBorder="1"/>
    <x:xf numFmtId="205" fontId="8" fillId="6" borderId="26" xfId="0" applyNumberFormat="1" applyFont="1" applyFill="1" applyBorder="1"/>
    <x:xf numFmtId="205" fontId="8" fillId="6" borderId="19" xfId="0" applyNumberFormat="1" applyFont="1" applyFill="1" applyBorder="1" applyAlignment="1">
      <x:alignment horizontal="center"/>
    </x:xf>
    <x:xf numFmtId="205" fontId="8" fillId="6" borderId="20" xfId="0" applyNumberFormat="1" applyFont="1" applyFill="1" applyBorder="1" applyAlignment="1">
      <x:alignment horizontal="center"/>
    </x:xf>
    <x:xf numFmtId="205" fontId="8" fillId="6" borderId="21" xfId="0" applyNumberFormat="1" applyFont="1" applyFill="1" applyBorder="1" applyAlignment="1">
      <x:alignment horizontal="center"/>
    </x:xf>
    <x:xf numFmtId="205" fontId="8" fillId="6" borderId="22" xfId="0" applyNumberFormat="1" applyFont="1" applyFill="1" applyBorder="1" applyAlignment="1">
      <x:alignment horizontal="center"/>
    </x:xf>
    <x:xf numFmtId="205" fontId="8" fillId="6" borderId="0" xfId="0" applyNumberFormat="1" applyFont="1" applyFill="1" applyBorder="1" applyAlignment="1">
      <x:alignment horizontal="center"/>
    </x:xf>
    <x:xf numFmtId="205" fontId="8" fillId="6" borderId="23" xfId="0" applyNumberFormat="1" applyFont="1" applyFill="1" applyBorder="1" applyAlignment="1">
      <x:alignment horizontal="center"/>
    </x:xf>
    <x:xf numFmtId="205" fontId="8" fillId="6" borderId="24" xfId="0" applyNumberFormat="1" applyFont="1" applyFill="1" applyBorder="1" applyAlignment="1">
      <x:alignment horizontal="center"/>
    </x:xf>
    <x:xf numFmtId="205" fontId="8" fillId="6" borderId="25" xfId="0" applyNumberFormat="1" applyFont="1" applyFill="1" applyBorder="1" applyAlignment="1">
      <x:alignment horizontal="center"/>
    </x:xf>
    <x:xf numFmtId="205" fontId="8" fillId="6" borderId="26" xfId="0" applyNumberFormat="1" applyFont="1" applyFill="1" applyBorder="1" applyAlignment="1">
      <x:alignment horizontal="center"/>
    </x:xf>
    <x:xf numFmtId="205" fontId="8" fillId="6" borderId="19" xfId="0" applyNumberFormat="1" applyFont="1" applyFill="1" applyBorder="1" applyAlignment="1">
      <x:alignment horizontal="center" vertical="center"/>
    </x:xf>
    <x:xf numFmtId="205" fontId="8" fillId="6" borderId="20" xfId="0" applyNumberFormat="1" applyFont="1" applyFill="1" applyBorder="1" applyAlignment="1">
      <x:alignment horizontal="center" vertical="center"/>
    </x:xf>
    <x:xf numFmtId="205" fontId="8" fillId="6" borderId="21" xfId="0" applyNumberFormat="1" applyFont="1" applyFill="1" applyBorder="1" applyAlignment="1">
      <x:alignment horizontal="center" vertical="center"/>
    </x:xf>
    <x:xf numFmtId="205" fontId="8" fillId="6" borderId="22" xfId="0" applyNumberFormat="1" applyFont="1" applyFill="1" applyBorder="1" applyAlignment="1">
      <x:alignment horizontal="center" vertical="center"/>
    </x:xf>
    <x:xf numFmtId="205" fontId="8" fillId="6" borderId="0" xfId="0" applyNumberFormat="1" applyFont="1" applyFill="1" applyBorder="1" applyAlignment="1">
      <x:alignment horizontal="center" vertical="center"/>
    </x:xf>
    <x:xf numFmtId="205" fontId="8" fillId="6" borderId="23" xfId="0" applyNumberFormat="1" applyFont="1" applyFill="1" applyBorder="1" applyAlignment="1">
      <x:alignment horizontal="center" vertical="center"/>
    </x:xf>
    <x:xf numFmtId="205" fontId="8" fillId="6" borderId="24" xfId="0" applyNumberFormat="1" applyFont="1" applyFill="1" applyBorder="1" applyAlignment="1">
      <x:alignment horizontal="center" vertical="center"/>
    </x:xf>
    <x:xf numFmtId="205" fontId="8" fillId="6" borderId="25" xfId="0" applyNumberFormat="1" applyFont="1" applyFill="1" applyBorder="1" applyAlignment="1">
      <x:alignment horizontal="center" vertical="center"/>
    </x:xf>
    <x:xf numFmtId="205" fontId="8" fillId="6" borderId="26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00543ddd346c0" /><Relationship Type="http://schemas.openxmlformats.org/officeDocument/2006/relationships/theme" Target="/xl/theme/theme1.xml" Id="Rfdd12886e7de46d8" /><Relationship Type="http://schemas.openxmlformats.org/officeDocument/2006/relationships/sharedStrings" Target="/xl/sharedStrings.xml" Id="R44b7a48a9b864df7" /><Relationship Type="http://schemas.openxmlformats.org/officeDocument/2006/relationships/worksheet" Target="/xl/worksheets/sheet1.xml" Id="Rdad907eb75de4fab" /><Relationship Type="http://schemas.openxmlformats.org/officeDocument/2006/relationships/worksheet" Target="/xl/worksheets/sheet2.xml" Id="R30cbb31ee076425d" /><Relationship Type="http://schemas.openxmlformats.org/officeDocument/2006/relationships/worksheet" Target="/xl/worksheets/sheet3.xml" Id="R9e396003b1b94e2c" /><Relationship Type="http://schemas.openxmlformats.org/officeDocument/2006/relationships/worksheet" Target="/xl/worksheets/sheet4.xml" Id="Rffd2055795484cf3" /><Relationship Type="http://schemas.openxmlformats.org/officeDocument/2006/relationships/worksheet" Target="/xl/worksheets/sheet5.xml" Id="Re3e9ebfcce994972" /><Relationship Type="http://schemas.openxmlformats.org/officeDocument/2006/relationships/worksheet" Target="/xl/worksheets/sheet6.xml" Id="Ra54132c58f2c4ce1" /><Relationship Type="http://schemas.openxmlformats.org/officeDocument/2006/relationships/worksheet" Target="/xl/worksheets/sheet7.xml" Id="R2e78a2df522c47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21d81b5228489f" /><Relationship Type="http://schemas.openxmlformats.org/officeDocument/2006/relationships/chart" Target="/xl/drawings/charts/chart2.xml" Id="Rb75db2e29cb1481f" /><Relationship Type="http://schemas.openxmlformats.org/officeDocument/2006/relationships/chart" Target="/xl/drawings/charts/chart3.xml" Id="R0765ffabdade43fb" /><Relationship Type="http://schemas.openxmlformats.org/officeDocument/2006/relationships/chart" Target="/xl/drawings/charts/chart4.xml" Id="Rf3e6489b143048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Monthly Net Revenue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'Monthly_Sales'!$A$2:$A$13</c:f>
              <c:strCache>
                <c:ptCount val="0"/>
              </c:strCache>
            </c:strRef>
          </c:cat>
          <c:val>
            <c:numRef>
              <c:f>'Monthly_Sales'!$F$2:$F$13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by Category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'Category_Analysis'!$A$2:$A$6</c:f>
              <c:strCache>
                <c:ptCount val="0"/>
              </c:strCache>
            </c:strRef>
          </c:cat>
          <c:val>
            <c:numRef>
              <c:f>'Category_Analysis'!$F$2:$F$6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6 Products by Revenue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14B8A6"/>
            </a:solidFill>
          </c:spPr>
          <c:cat>
            <c:strRef>
              <c:f>'Product_Analysis'!$A$2:$A$7</c:f>
              <c:strCache>
                <c:ptCount val="0"/>
              </c:strCache>
            </c:strRef>
          </c:cat>
          <c:val>
            <c:numRef>
              <c:f>'Product_Analysis'!$G$2:$G$7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by Named City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'City_Analysis'!$A$2:$A$7</c:f>
              <c:strCache>
                <c:ptCount val="0"/>
              </c:strCache>
            </c:strRef>
          </c:cat>
          <c:val>
            <c:numRef>
              <c:f>'City_Analysis'!$F$2:$F$7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21d81b5228489f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5db2e29cb1481f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65ffabdade43fb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e6489b143048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032b695a9f40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26" t="str">
        <x:v>2025 SALES PERFORMANCE DASHBOARD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32" customHeight="1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 ht="23" customHeight="1">
      <x:c r="A3" s="30" t="str">
        <x:v>Retail order-line analysis | USD | January–December 2025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>
      <x:c r="A5" s="39" t="str">
        <x:v>GROSS SALES</x:v>
      </x:c>
      <x:c r="B5" s="40"/>
      <x:c r="C5" s="41"/>
      <x:c r="D5" s="22"/>
      <x:c r="E5" s="86" t="str">
        <x:v>NET REVENUE</x:v>
      </x:c>
      <x:c r="F5" s="87"/>
      <x:c r="G5" s="88"/>
      <x:c r="H5" s="22"/>
      <x:c r="I5" s="132" t="str">
        <x:v>UNIQUE ORDERS</x:v>
      </x:c>
      <x:c r="J5" s="133"/>
      <x:c r="K5" s="134"/>
      <x:c r="L5" s="22"/>
    </x:row>
    <x:row r="6">
      <x:c r="A6" s="69" t="n">
        <x:f>SUM('Cleaned_Data'!$L$2:$L$1276)</x:f>
        <x:v>453359.2200000004</x:v>
      </x:c>
      <x:c r="B6" s="70"/>
      <x:c r="C6" s="71"/>
      <x:c r="D6" s="22"/>
      <x:c r="E6" s="116" t="n">
        <x:f>SUM('Cleaned_Data'!$N$2:$N$1276)</x:f>
        <x:v>429492.17000000086</x:v>
      </x:c>
      <x:c r="F6" s="117"/>
      <x:c r="G6" s="118"/>
      <x:c r="H6" s="22"/>
      <x:c r="I6" s="162" t="n">
        <x:f>SUM('Monthly_Sales'!$C$2:$C$13)</x:f>
        <x:v>797</x:v>
      </x:c>
      <x:c r="J6" s="163"/>
      <x:c r="K6" s="164"/>
      <x:c r="L6" s="22"/>
    </x:row>
    <x:row r="7">
      <x:c r="A7" s="72"/>
      <x:c r="B7" s="73"/>
      <x:c r="C7" s="74"/>
      <x:c r="D7" s="22"/>
      <x:c r="E7" s="119"/>
      <x:c r="F7" s="120"/>
      <x:c r="G7" s="121"/>
      <x:c r="H7" s="22"/>
      <x:c r="I7" s="165"/>
      <x:c r="J7" s="166"/>
      <x:c r="K7" s="167"/>
      <x:c r="L7" s="22"/>
    </x:row>
    <x:row r="8">
      <x:c r="A8" s="75"/>
      <x:c r="B8" s="76"/>
      <x:c r="C8" s="77"/>
      <x:c r="D8" s="22"/>
      <x:c r="E8" s="122"/>
      <x:c r="F8" s="123"/>
      <x:c r="G8" s="124"/>
      <x:c r="H8" s="22"/>
      <x:c r="I8" s="168"/>
      <x:c r="J8" s="169"/>
      <x:c r="K8" s="170"/>
      <x:c r="L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</x:row>
    <x:row r="10">
      <x:c r="A10" s="132" t="str">
        <x:v>UNITS SOLD</x:v>
      </x:c>
      <x:c r="B10" s="133"/>
      <x:c r="C10" s="134"/>
      <x:c r="D10" s="22"/>
      <x:c r="E10" s="39" t="str">
        <x:v>AVERAGE ORDER VALUE</x:v>
      </x:c>
      <x:c r="F10" s="40"/>
      <x:c r="G10" s="41"/>
      <x:c r="H10" s="22"/>
      <x:c r="I10" s="86" t="str">
        <x:v>EFFECTIVE DISCOUNT RATE</x:v>
      </x:c>
      <x:c r="J10" s="87"/>
      <x:c r="K10" s="88"/>
      <x:c r="L10" s="22"/>
    </x:row>
    <x:row r="11">
      <x:c r="A11" s="162" t="n">
        <x:f>SUM('Cleaned_Data'!$H$2:$H$1276)</x:f>
        <x:v>2703</x:v>
      </x:c>
      <x:c r="B11" s="163"/>
      <x:c r="C11" s="164"/>
      <x:c r="D11" s="22"/>
      <x:c r="E11" s="189" t="n">
        <x:f>E6/I6</x:f>
        <x:v>538.8860351317451</x:v>
      </x:c>
      <x:c r="F11" s="190"/>
      <x:c r="G11" s="191"/>
      <x:c r="H11" s="22"/>
      <x:c r="I11" s="216" t="n">
        <x:f>SUM('Cleaned_Data'!$M$2:$M$1276)/SUM('Cleaned_Data'!$L$2:$L$1276)</x:f>
        <x:v>0.05264489823323765</x:v>
      </x:c>
      <x:c r="J11" s="217"/>
      <x:c r="K11" s="218"/>
      <x:c r="L11" s="22"/>
    </x:row>
    <x:row r="12">
      <x:c r="A12" s="165"/>
      <x:c r="B12" s="166"/>
      <x:c r="C12" s="167"/>
      <x:c r="D12" s="22"/>
      <x:c r="E12" s="192"/>
      <x:c r="F12" s="193"/>
      <x:c r="G12" s="194"/>
      <x:c r="H12" s="22"/>
      <x:c r="I12" s="219"/>
      <x:c r="J12" s="220"/>
      <x:c r="K12" s="221"/>
      <x:c r="L12" s="22"/>
    </x:row>
    <x:row r="13">
      <x:c r="A13" s="168"/>
      <x:c r="B13" s="169"/>
      <x:c r="C13" s="170"/>
      <x:c r="D13" s="22"/>
      <x:c r="E13" s="195"/>
      <x:c r="F13" s="196"/>
      <x:c r="G13" s="197"/>
      <x:c r="H13" s="22"/>
      <x:c r="I13" s="222"/>
      <x:c r="J13" s="223"/>
      <x:c r="K13" s="224"/>
      <x:c r="L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</x:row>
    <x:row r="43">
      <x:c r="A43" s="132" t="str">
        <x:v>TOP-SELLING PRODUCT</x:v>
      </x:c>
      <x:c r="B43" s="133"/>
      <x:c r="C43" s="134"/>
      <x:c r="D43" s="22"/>
      <x:c r="E43" s="39" t="str">
        <x:v>HIGHEST-REVENUE PRODUCT</x:v>
      </x:c>
      <x:c r="F43" s="40"/>
      <x:c r="G43" s="41"/>
      <x:c r="H43" s="22"/>
      <x:c r="I43" s="86" t="str">
        <x:v>BEST REVENUE MONTH</x:v>
      </x:c>
      <x:c r="J43" s="87"/>
      <x:c r="K43" s="88"/>
      <x:c r="L43" s="22"/>
    </x:row>
    <x:row r="44">
      <x:c r="A44" s="243" t="str">
        <x:f>INDEX('Product_Analysis'!$A$2:$A$13,MATCH(MAX('Product_Analysis'!$C$2:$C$13),'Product_Analysis'!$C$2:$C$13,0))</x:f>
        <x:v>Desk Lamp</x:v>
      </x:c>
      <x:c r="B44" s="244"/>
      <x:c r="C44" s="245"/>
      <x:c r="D44" s="22"/>
      <x:c r="E44" s="270" t="str">
        <x:f>'Product_Analysis'!$A$2</x:f>
        <x:v>Laptop</x:v>
      </x:c>
      <x:c r="F44" s="271"/>
      <x:c r="G44" s="272"/>
      <x:c r="H44" s="22"/>
      <x:c r="I44" s="297" t="str">
        <x:f>INDEX('Monthly_Sales'!$A$2:$A$13,MATCH(MAX('Monthly_Sales'!$F$2:$F$13),'Monthly_Sales'!$F$2:$F$13,0))</x:f>
        <x:v>2025-08</x:v>
      </x:c>
      <x:c r="J44" s="298"/>
      <x:c r="K44" s="299"/>
      <x:c r="L44" s="22"/>
    </x:row>
    <x:row r="45">
      <x:c r="A45" s="246"/>
      <x:c r="B45" s="247"/>
      <x:c r="C45" s="248"/>
      <x:c r="D45" s="22"/>
      <x:c r="E45" s="273"/>
      <x:c r="F45" s="274"/>
      <x:c r="G45" s="275"/>
      <x:c r="H45" s="22"/>
      <x:c r="I45" s="300"/>
      <x:c r="J45" s="301"/>
      <x:c r="K45" s="302"/>
      <x:c r="L45" s="22"/>
    </x:row>
    <x:row r="46">
      <x:c r="A46" s="246"/>
      <x:c r="B46" s="247"/>
      <x:c r="C46" s="248"/>
      <x:c r="D46" s="22"/>
      <x:c r="E46" s="273"/>
      <x:c r="F46" s="274"/>
      <x:c r="G46" s="275"/>
      <x:c r="H46" s="22"/>
      <x:c r="I46" s="300"/>
      <x:c r="J46" s="301"/>
      <x:c r="K46" s="302"/>
      <x:c r="L46" s="22"/>
    </x:row>
    <x:row r="47">
      <x:c r="A47" s="249"/>
      <x:c r="B47" s="250"/>
      <x:c r="C47" s="251"/>
      <x:c r="D47" s="22"/>
      <x:c r="E47" s="276"/>
      <x:c r="F47" s="277"/>
      <x:c r="G47" s="278"/>
      <x:c r="H47" s="22"/>
      <x:c r="I47" s="303"/>
      <x:c r="J47" s="304"/>
      <x:c r="K47" s="305"/>
      <x:c r="L47" s="22"/>
    </x:row>
    <x:row r="48">
      <x:c r="A48" s="309" t="str">
        <x:v>Definitions: AOV = Net Revenue ÷ Unique Orders | Revenue values reconcile across all analysis sheets | Unknown locations remain included in totals</x:v>
      </x:c>
      <x:c r="B48" s="309"/>
      <x:c r="C48" s="309"/>
      <x:c r="D48" s="309"/>
      <x:c r="E48" s="309"/>
      <x:c r="F48" s="309"/>
      <x:c r="G48" s="309"/>
      <x:c r="H48" s="309"/>
      <x:c r="I48" s="309"/>
      <x:c r="J48" s="309"/>
      <x:c r="K48" s="309"/>
      <x:c r="L48" s="309"/>
    </x:row>
  </x:sheetData>
  <x:mergeCells>
    <x:mergeCell ref="A1:L2"/>
    <x:mergeCell ref="A3:L3"/>
    <x:mergeCell ref="A5:C5"/>
    <x:mergeCell ref="A6:C8"/>
    <x:mergeCell ref="E5:G5"/>
    <x:mergeCell ref="E6:G8"/>
    <x:mergeCell ref="I5:K5"/>
    <x:mergeCell ref="I6:K8"/>
    <x:mergeCell ref="A10:C10"/>
    <x:mergeCell ref="A11:C13"/>
    <x:mergeCell ref="E10:G10"/>
    <x:mergeCell ref="E11:G13"/>
    <x:mergeCell ref="I10:K10"/>
    <x:mergeCell ref="I11:K13"/>
    <x:mergeCell ref="A43:C43"/>
    <x:mergeCell ref="A44:C47"/>
    <x:mergeCell ref="E43:G43"/>
    <x:mergeCell ref="E44:G47"/>
    <x:mergeCell ref="I43:K43"/>
    <x:mergeCell ref="I44:K47"/>
    <x:mergeCell ref="A48:L48"/>
  </x:mergeCells>
  <x:pageMargins left="0.7" right="0.7" top="0.75" bottom="0.75" header="0.3" footer="0.3"/>
  <x:drawing xmlns:r="http://schemas.openxmlformats.org/officeDocument/2006/relationships" r:id="Rcb032b695a9f40c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hidden="0" customWidth="1"/>
    <x:col min="2" max="2" width="18" hidden="0" customWidth="1"/>
    <x:col min="3" max="3" width="13" hidden="0" customWidth="1"/>
    <x:col min="4" max="4" width="14" hidden="0" customWidth="1"/>
    <x:col min="5" max="5" width="22" hidden="0" customWidth="1"/>
    <x:col min="6" max="6" width="16" hidden="0" customWidth="1"/>
    <x:col min="7" max="7" width="16" hidden="0" customWidth="1"/>
    <x:col min="8" max="8" width="1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4" customHeight="1">
      <x:c r="A1" s="14" t="inlineStr">
        <x:is>
          <x:t xml:space="preserve">Order_Line_ID</x:t>
        </x:is>
      </x:c>
      <x:c r="B1" s="15" t="inlineStr">
        <x:is>
          <x:t xml:space="preserve">Order_ID</x:t>
        </x:is>
      </x:c>
      <x:c r="C1" s="15" t="inlineStr">
        <x:is>
          <x:t xml:space="preserve">Order_Date</x:t>
        </x:is>
      </x:c>
      <x:c r="D1" s="15" t="inlineStr">
        <x:is>
          <x:t xml:space="preserve">Customer_ID</x:t>
        </x:is>
      </x:c>
      <x:c r="E1" s="15" t="inlineStr">
        <x:is>
          <x:t xml:space="preserve">Product</x:t>
        </x:is>
      </x:c>
      <x:c r="F1" s="15" t="inlineStr">
        <x:is>
          <x:t xml:space="preserve">Category</x:t>
        </x:is>
      </x:c>
      <x:c r="G1" s="15" t="inlineStr">
        <x:is>
          <x:t xml:space="preserve">City</x:t>
        </x:is>
      </x:c>
      <x:c r="H1" s="15" t="inlineStr">
        <x:is>
          <x:t xml:space="preserve">Quantity</x:t>
        </x:is>
      </x:c>
      <x:c r="I1" s="15" t="inlineStr">
        <x:is>
          <x:t xml:space="preserve">Unit_Price_USD</x:t>
        </x:is>
      </x:c>
      <x:c r="J1" s="15" t="inlineStr">
        <x:is>
          <x:t xml:space="preserve">Discount_Rate</x:t>
        </x:is>
      </x:c>
      <x:c r="K1" s="15" t="inlineStr">
        <x:is>
          <x:t xml:space="preserve">Payment_Method</x:t>
        </x:is>
      </x:c>
      <x:c r="L1" s="15" t="inlineStr">
        <x:is>
          <x:t xml:space="preserve">Gross_Sales_USD</x:t>
        </x:is>
      </x:c>
      <x:c r="M1" s="15" t="inlineStr">
        <x:is>
          <x:t xml:space="preserve">Discount_Amount_USD</x:t>
        </x:is>
      </x:c>
      <x:c r="N1" s="15" t="inlineStr">
        <x:is>
          <x:t xml:space="preserve">Net_Revenue_USD</x:t>
        </x:is>
      </x:c>
      <x:c r="O1" s="15" t="inlineStr">
        <x:is>
          <x:t xml:space="preserve">Year</x:t>
        </x:is>
      </x:c>
      <x:c r="P1" s="15" t="inlineStr">
        <x:is>
          <x:t xml:space="preserve">Month</x:t>
        </x:is>
      </x:c>
      <x:c r="Q1" s="16" t="inlineStr">
        <x:is>
          <x:t xml:space="preserve">Month_Name</x:t>
        </x:is>
      </x:c>
    </x:row>
    <x:row r="2" ht="20" customHeight="1">
      <x:c r="A2" s="4" t="inlineStr">
        <x:is>
          <x:t xml:space="preserve">LINE-00001</x:t>
        </x:is>
      </x:c>
      <x:c r="B2" s="4" t="inlineStr">
        <x:is>
          <x:t xml:space="preserve">ORD-2025-0001</x:t>
        </x:is>
      </x:c>
      <x:c r="C2" s="17" t="n">
        <x:v>45985</x:v>
      </x:c>
      <x:c r="D2" s="4" t="inlineStr">
        <x:is>
          <x:t xml:space="preserve">CUS-0058</x:t>
        </x:is>
      </x:c>
      <x:c r="E2" s="4" t="inlineStr">
        <x:is>
          <x:t xml:space="preserve">Keyboard</x:t>
        </x:is>
      </x:c>
      <x:c r="F2" s="4" t="inlineStr">
        <x:is>
          <x:t xml:space="preserve">Accessories</x:t>
        </x:is>
      </x:c>
      <x:c r="G2" s="4" t="inlineStr">
        <x:is>
          <x:t xml:space="preserve">New York</x:t>
        </x:is>
      </x:c>
      <x:c r="H2" s="18" t="n">
        <x:v>3</x:v>
      </x:c>
      <x:c r="I2" s="19" t="n">
        <x:v>77.12</x:v>
      </x:c>
      <x:c r="J2" s="20" t="n">
        <x:v>0.15</x:v>
      </x:c>
      <x:c r="K2" s="4" t="inlineStr">
        <x:is>
          <x:t xml:space="preserve">PayPal</x:t>
        </x:is>
      </x:c>
      <x:c r="L2" s="19" t="n">
        <x:v>231.36</x:v>
      </x:c>
      <x:c r="M2" s="19" t="n">
        <x:v>34.7</x:v>
      </x:c>
      <x:c r="N2" s="19" t="n">
        <x:v>196.66</x:v>
      </x:c>
      <x:c r="O2" s="4" t="n">
        <x:f>YEAR(C2)</x:f>
        <x:v>2025</x:v>
      </x:c>
      <x:c r="P2" s="4" t="str">
        <x:f>TEXT(C2,"yyyy-mm")</x:f>
        <x:v>2025-11</x:v>
      </x:c>
      <x:c r="Q2" s="4" t="str">
        <x:f>TEXT(C2,"mmmm")</x:f>
        <x:v>November</x:v>
      </x:c>
    </x:row>
    <x:row r="3" ht="20" customHeight="1">
      <x:c r="A3" s="4" t="inlineStr">
        <x:is>
          <x:t xml:space="preserve">LINE-00002</x:t>
        </x:is>
      </x:c>
      <x:c r="B3" s="4" t="inlineStr">
        <x:is>
          <x:t xml:space="preserve">ORD-2025-0002</x:t>
        </x:is>
      </x:c>
      <x:c r="C3" s="17" t="n">
        <x:v>45702</x:v>
      </x:c>
      <x:c r="D3" s="4" t="inlineStr">
        <x:is>
          <x:t xml:space="preserve">CUS-0303</x:t>
        </x:is>
      </x:c>
      <x:c r="E3" s="4" t="inlineStr">
        <x:is>
          <x:t xml:space="preserve">Wireless Mouse</x:t>
        </x:is>
      </x:c>
      <x:c r="F3" s="4" t="inlineStr">
        <x:is>
          <x:t xml:space="preserve">Accessories</x:t>
        </x:is>
      </x:c>
      <x:c r="G3" s="4" t="inlineStr">
        <x:is>
          <x:t xml:space="preserve">Seattle</x:t>
        </x:is>
      </x:c>
      <x:c r="H3" s="18" t="n">
        <x:v>1</x:v>
      </x:c>
      <x:c r="I3" s="19" t="n">
        <x:v>45.73</x:v>
      </x:c>
      <x:c r="J3" s="20" t="n">
        <x:v>0.05</x:v>
      </x:c>
      <x:c r="K3" s="4" t="inlineStr">
        <x:is>
          <x:t xml:space="preserve">Credit Card</x:t>
        </x:is>
      </x:c>
      <x:c r="L3" s="19" t="n">
        <x:v>45.73</x:v>
      </x:c>
      <x:c r="M3" s="19" t="n">
        <x:v>2.29</x:v>
      </x:c>
      <x:c r="N3" s="19" t="n">
        <x:v>43.44</x:v>
      </x:c>
      <x:c r="O3" s="4" t="n">
        <x:f>YEAR(C3)</x:f>
        <x:v>2025</x:v>
      </x:c>
      <x:c r="P3" s="4" t="str">
        <x:f>TEXT(C3,"yyyy-mm")</x:f>
        <x:v>2025-02</x:v>
      </x:c>
      <x:c r="Q3" s="4" t="str">
        <x:f>TEXT(C3,"mmmm")</x:f>
        <x:v>February</x:v>
      </x:c>
    </x:row>
    <x:row r="4" ht="20" customHeight="1">
      <x:c r="A4" s="4" t="inlineStr">
        <x:is>
          <x:t xml:space="preserve">LINE-00003</x:t>
        </x:is>
      </x:c>
      <x:c r="B4" s="4" t="inlineStr">
        <x:is>
          <x:t xml:space="preserve">ORD-2025-0003</x:t>
        </x:is>
      </x:c>
      <x:c r="C4" s="17" t="n">
        <x:v>45990</x:v>
      </x:c>
      <x:c r="D4" s="4" t="inlineStr">
        <x:is>
          <x:t xml:space="preserve">CUS-0280</x:t>
        </x:is>
      </x:c>
      <x:c r="E4" s="4" t="inlineStr">
        <x:is>
          <x:t xml:space="preserve">USB-C Hub</x:t>
        </x:is>
      </x:c>
      <x:c r="F4" s="4" t="inlineStr">
        <x:is>
          <x:t xml:space="preserve">Accessories</x:t>
        </x:is>
      </x:c>
      <x:c r="G4" s="4" t="inlineStr">
        <x:is>
          <x:t xml:space="preserve">Unknown</x:t>
        </x:is>
      </x:c>
      <x:c r="H4" s="18" t="n">
        <x:v>3</x:v>
      </x:c>
      <x:c r="I4" s="19" t="n">
        <x:v>59.87</x:v>
      </x:c>
      <x:c r="J4" s="20" t="n">
        <x:v>0.1</x:v>
      </x:c>
      <x:c r="K4" s="4" t="inlineStr">
        <x:is>
          <x:t xml:space="preserve">Debit Card</x:t>
        </x:is>
      </x:c>
      <x:c r="L4" s="19" t="n">
        <x:v>179.61</x:v>
      </x:c>
      <x:c r="M4" s="19" t="n">
        <x:v>17.96</x:v>
      </x:c>
      <x:c r="N4" s="19" t="n">
        <x:v>161.65</x:v>
      </x:c>
      <x:c r="O4" s="4" t="n">
        <x:f>YEAR(C4)</x:f>
        <x:v>2025</x:v>
      </x:c>
      <x:c r="P4" s="4" t="str">
        <x:f>TEXT(C4,"yyyy-mm")</x:f>
        <x:v>2025-11</x:v>
      </x:c>
      <x:c r="Q4" s="4" t="str">
        <x:f>TEXT(C4,"mmmm")</x:f>
        <x:v>November</x:v>
      </x:c>
    </x:row>
    <x:row r="5" ht="20" customHeight="1">
      <x:c r="A5" s="4" t="inlineStr">
        <x:is>
          <x:t xml:space="preserve">LINE-00004</x:t>
        </x:is>
      </x:c>
      <x:c r="B5" s="4" t="inlineStr">
        <x:is>
          <x:t xml:space="preserve">ORD-2025-0004</x:t>
        </x:is>
      </x:c>
      <x:c r="C5" s="17" t="n">
        <x:v>46015</x:v>
      </x:c>
      <x:c r="D5" s="4" t="inlineStr">
        <x:is>
          <x:t xml:space="preserve">CUS-0217</x:t>
        </x:is>
      </x:c>
      <x:c r="E5" s="4" t="inlineStr">
        <x:is>
          <x:t xml:space="preserve">Webcam</x:t>
        </x:is>
      </x:c>
      <x:c r="F5" s="4" t="inlineStr">
        <x:is>
          <x:t xml:space="preserve">Accessories</x:t>
        </x:is>
      </x:c>
      <x:c r="G5" s="4" t="inlineStr">
        <x:is>
          <x:t xml:space="preserve">Austin</x:t>
        </x:is>
      </x:c>
      <x:c r="H5" s="18" t="n">
        <x:v>1</x:v>
      </x:c>
      <x:c r="I5" s="19" t="n">
        <x:v>88.27</x:v>
      </x:c>
      <x:c r="J5" s="20" t="n">
        <x:v>0</x:v>
      </x:c>
      <x:c r="K5" s="4" t="inlineStr">
        <x:is>
          <x:t xml:space="preserve">PayPal</x:t>
        </x:is>
      </x:c>
      <x:c r="L5" s="19" t="n">
        <x:v>88.27</x:v>
      </x:c>
      <x:c r="M5" s="19" t="n">
        <x:v>0</x:v>
      </x:c>
      <x:c r="N5" s="19" t="n">
        <x:v>88.27</x:v>
      </x:c>
      <x:c r="O5" s="4" t="n">
        <x:f>YEAR(C5)</x:f>
        <x:v>2025</x:v>
      </x:c>
      <x:c r="P5" s="4" t="str">
        <x:f>TEXT(C5,"yyyy-mm")</x:f>
        <x:v>2025-12</x:v>
      </x:c>
      <x:c r="Q5" s="4" t="str">
        <x:f>TEXT(C5,"mmmm")</x:f>
        <x:v>December</x:v>
      </x:c>
    </x:row>
    <x:row r="6" ht="20" customHeight="1">
      <x:c r="A6" s="4" t="inlineStr">
        <x:is>
          <x:t xml:space="preserve">LINE-00005</x:t>
        </x:is>
      </x:c>
      <x:c r="B6" s="4" t="inlineStr">
        <x:is>
          <x:t xml:space="preserve">ORD-2025-0005</x:t>
        </x:is>
      </x:c>
      <x:c r="C6" s="17" t="n">
        <x:v>45834</x:v>
      </x:c>
      <x:c r="D6" s="4" t="inlineStr">
        <x:is>
          <x:t xml:space="preserve">CUS-0310</x:t>
        </x:is>
      </x:c>
      <x:c r="E6" s="4" t="inlineStr">
        <x:is>
          <x:t xml:space="preserve">External SSD</x:t>
        </x:is>
      </x:c>
      <x:c r="F6" s="4" t="inlineStr">
        <x:is>
          <x:t xml:space="preserve">Storage</x:t>
        </x:is>
      </x:c>
      <x:c r="G6" s="4" t="inlineStr">
        <x:is>
          <x:t xml:space="preserve">Austin</x:t>
        </x:is>
      </x:c>
      <x:c r="H6" s="18" t="n">
        <x:v>5</x:v>
      </x:c>
      <x:c r="I6" s="19" t="n">
        <x:v>147.08</x:v>
      </x:c>
      <x:c r="J6" s="20" t="n">
        <x:v>0.05</x:v>
      </x:c>
      <x:c r="K6" s="4" t="inlineStr">
        <x:is>
          <x:t xml:space="preserve">Credit Card</x:t>
        </x:is>
      </x:c>
      <x:c r="L6" s="19" t="n">
        <x:v>735.4</x:v>
      </x:c>
      <x:c r="M6" s="19" t="n">
        <x:v>36.77</x:v>
      </x:c>
      <x:c r="N6" s="19" t="n">
        <x:v>698.63</x:v>
      </x:c>
      <x:c r="O6" s="4" t="n">
        <x:f>YEAR(C6)</x:f>
        <x:v>2025</x:v>
      </x:c>
      <x:c r="P6" s="4" t="str">
        <x:f>TEXT(C6,"yyyy-mm")</x:f>
        <x:v>2025-06</x:v>
      </x:c>
      <x:c r="Q6" s="4" t="str">
        <x:f>TEXT(C6,"mmmm")</x:f>
        <x:v>June</x:v>
      </x:c>
    </x:row>
    <x:row r="7" ht="20" customHeight="1">
      <x:c r="A7" s="4" t="inlineStr">
        <x:is>
          <x:t xml:space="preserve">LINE-00006</x:t>
        </x:is>
      </x:c>
      <x:c r="B7" s="4" t="inlineStr">
        <x:is>
          <x:t xml:space="preserve">ORD-2025-0005</x:t>
        </x:is>
      </x:c>
      <x:c r="C7" s="17" t="n">
        <x:v>45834</x:v>
      </x:c>
      <x:c r="D7" s="4" t="inlineStr">
        <x:is>
          <x:t xml:space="preserve">CUS-0310</x:t>
        </x:is>
      </x:c>
      <x:c r="E7" s="4" t="inlineStr">
        <x:is>
          <x:t xml:space="preserve">Monitor</x:t>
        </x:is>
      </x:c>
      <x:c r="F7" s="4" t="inlineStr">
        <x:is>
          <x:t xml:space="preserve">Computers</x:t>
        </x:is>
      </x:c>
      <x:c r="G7" s="4" t="inlineStr">
        <x:is>
          <x:t xml:space="preserve">Austin</x:t>
        </x:is>
      </x:c>
      <x:c r="H7" s="18" t="n">
        <x:v>3</x:v>
      </x:c>
      <x:c r="I7" s="19" t="n">
        <x:v>285.31</x:v>
      </x:c>
      <x:c r="J7" s="20" t="n">
        <x:v>0.1</x:v>
      </x:c>
      <x:c r="K7" s="4" t="inlineStr">
        <x:is>
          <x:t xml:space="preserve">Credit Card</x:t>
        </x:is>
      </x:c>
      <x:c r="L7" s="19" t="n">
        <x:v>855.9299999999999</x:v>
      </x:c>
      <x:c r="M7" s="19" t="n">
        <x:v>85.59</x:v>
      </x:c>
      <x:c r="N7" s="19" t="n">
        <x:v>770.34</x:v>
      </x:c>
      <x:c r="O7" s="4" t="n">
        <x:f>YEAR(C7)</x:f>
        <x:v>2025</x:v>
      </x:c>
      <x:c r="P7" s="4" t="str">
        <x:f>TEXT(C7,"yyyy-mm")</x:f>
        <x:v>2025-06</x:v>
      </x:c>
      <x:c r="Q7" s="4" t="str">
        <x:f>TEXT(C7,"mmmm")</x:f>
        <x:v>June</x:v>
      </x:c>
    </x:row>
    <x:row r="8" ht="20" customHeight="1">
      <x:c r="A8" s="4" t="inlineStr">
        <x:is>
          <x:t xml:space="preserve">LINE-00007</x:t>
        </x:is>
      </x:c>
      <x:c r="B8" s="4" t="inlineStr">
        <x:is>
          <x:t xml:space="preserve">ORD-2025-0006</x:t>
        </x:is>
      </x:c>
      <x:c r="C8" s="17" t="n">
        <x:v>45953</x:v>
      </x:c>
      <x:c r="D8" s="4" t="inlineStr">
        <x:is>
          <x:t xml:space="preserve">CUS-0099</x:t>
        </x:is>
      </x:c>
      <x:c r="E8" s="4" t="inlineStr">
        <x:is>
          <x:t xml:space="preserve">Wireless Mouse</x:t>
        </x:is>
      </x:c>
      <x:c r="F8" s="4" t="inlineStr">
        <x:is>
          <x:t xml:space="preserve">Accessories</x:t>
        </x:is>
      </x:c>
      <x:c r="G8" s="4" t="inlineStr">
        <x:is>
          <x:t xml:space="preserve">San Francisco</x:t>
        </x:is>
      </x:c>
      <x:c r="H8" s="18" t="n">
        <x:v>3</x:v>
      </x:c>
      <x:c r="I8" s="19" t="n">
        <x:v>48.49</x:v>
      </x:c>
      <x:c r="J8" s="20" t="n">
        <x:v>0.1</x:v>
      </x:c>
      <x:c r="K8" s="4" t="inlineStr">
        <x:is>
          <x:t xml:space="preserve">Credit Card</x:t>
        </x:is>
      </x:c>
      <x:c r="L8" s="19" t="n">
        <x:v>145.47</x:v>
      </x:c>
      <x:c r="M8" s="19" t="n">
        <x:v>14.55</x:v>
      </x:c>
      <x:c r="N8" s="19" t="n">
        <x:v>130.92</x:v>
      </x:c>
      <x:c r="O8" s="4" t="n">
        <x:f>YEAR(C8)</x:f>
        <x:v>2025</x:v>
      </x:c>
      <x:c r="P8" s="4" t="str">
        <x:f>TEXT(C8,"yyyy-mm")</x:f>
        <x:v>2025-10</x:v>
      </x:c>
      <x:c r="Q8" s="4" t="str">
        <x:f>TEXT(C8,"mmmm")</x:f>
        <x:v>October</x:v>
      </x:c>
    </x:row>
    <x:row r="9" ht="20" customHeight="1">
      <x:c r="A9" s="4" t="inlineStr">
        <x:is>
          <x:t xml:space="preserve">LINE-00008</x:t>
        </x:is>
      </x:c>
      <x:c r="B9" s="4" t="inlineStr">
        <x:is>
          <x:t xml:space="preserve">ORD-2025-0007</x:t>
        </x:is>
      </x:c>
      <x:c r="C9" s="17" t="n">
        <x:v>45709</x:v>
      </x:c>
      <x:c r="D9" s="4" t="inlineStr">
        <x:is>
          <x:t xml:space="preserve">CUS-0195</x:t>
        </x:is>
      </x:c>
      <x:c r="E9" s="4" t="inlineStr">
        <x:is>
          <x:t xml:space="preserve">Webcam</x:t>
        </x:is>
      </x:c>
      <x:c r="F9" s="4" t="inlineStr">
        <x:is>
          <x:t xml:space="preserve">Accessories</x:t>
        </x:is>
      </x:c>
      <x:c r="G9" s="4" t="inlineStr">
        <x:is>
          <x:t xml:space="preserve">Austin</x:t>
        </x:is>
      </x:c>
      <x:c r="H9" s="18" t="n">
        <x:v>1</x:v>
      </x:c>
      <x:c r="I9" s="19" t="n">
        <x:v>85.81999999999999</x:v>
      </x:c>
      <x:c r="J9" s="20" t="n">
        <x:v>0</x:v>
      </x:c>
      <x:c r="K9" s="4" t="inlineStr">
        <x:is>
          <x:t xml:space="preserve">Bank Transfer</x:t>
        </x:is>
      </x:c>
      <x:c r="L9" s="19" t="n">
        <x:v>85.81999999999999</x:v>
      </x:c>
      <x:c r="M9" s="19" t="n">
        <x:v>0</x:v>
      </x:c>
      <x:c r="N9" s="19" t="n">
        <x:v>85.81999999999999</x:v>
      </x:c>
      <x:c r="O9" s="4" t="n">
        <x:f>YEAR(C9)</x:f>
        <x:v>2025</x:v>
      </x:c>
      <x:c r="P9" s="4" t="str">
        <x:f>TEXT(C9,"yyyy-mm")</x:f>
        <x:v>2025-02</x:v>
      </x:c>
      <x:c r="Q9" s="4" t="str">
        <x:f>TEXT(C9,"mmmm")</x:f>
        <x:v>February</x:v>
      </x:c>
    </x:row>
    <x:row r="10" ht="20" customHeight="1">
      <x:c r="A10" s="4" t="inlineStr">
        <x:is>
          <x:t xml:space="preserve">LINE-00009</x:t>
        </x:is>
      </x:c>
      <x:c r="B10" s="4" t="inlineStr">
        <x:is>
          <x:t xml:space="preserve">ORD-2025-0007</x:t>
        </x:is>
      </x:c>
      <x:c r="C10" s="17" t="n">
        <x:v>45709</x:v>
      </x:c>
      <x:c r="D10" s="4" t="inlineStr">
        <x:is>
          <x:t xml:space="preserve">CUS-0195</x:t>
        </x:is>
      </x:c>
      <x:c r="E10" s="4" t="inlineStr">
        <x:is>
          <x:t xml:space="preserve">Keyboard</x:t>
        </x:is>
      </x:c>
      <x:c r="F10" s="4" t="inlineStr">
        <x:is>
          <x:t xml:space="preserve">Accessories</x:t>
        </x:is>
      </x:c>
      <x:c r="G10" s="4" t="inlineStr">
        <x:is>
          <x:t xml:space="preserve">Austin</x:t>
        </x:is>
      </x:c>
      <x:c r="H10" s="18" t="n">
        <x:v>4</x:v>
      </x:c>
      <x:c r="I10" s="19" t="n">
        <x:v>76.78</x:v>
      </x:c>
      <x:c r="J10" s="20" t="n">
        <x:v>0.05</x:v>
      </x:c>
      <x:c r="K10" s="4" t="inlineStr">
        <x:is>
          <x:t xml:space="preserve">Bank Transfer</x:t>
        </x:is>
      </x:c>
      <x:c r="L10" s="19" t="n">
        <x:v>307.12</x:v>
      </x:c>
      <x:c r="M10" s="19" t="n">
        <x:v>15.36</x:v>
      </x:c>
      <x:c r="N10" s="19" t="n">
        <x:v>291.76</x:v>
      </x:c>
      <x:c r="O10" s="4" t="n">
        <x:f>YEAR(C10)</x:f>
        <x:v>2025</x:v>
      </x:c>
      <x:c r="P10" s="4" t="str">
        <x:f>TEXT(C10,"yyyy-mm")</x:f>
        <x:v>2025-02</x:v>
      </x:c>
      <x:c r="Q10" s="4" t="str">
        <x:f>TEXT(C10,"mmmm")</x:f>
        <x:v>February</x:v>
      </x:c>
    </x:row>
    <x:row r="11" ht="20" customHeight="1">
      <x:c r="A11" s="4" t="inlineStr">
        <x:is>
          <x:t xml:space="preserve">LINE-00010</x:t>
        </x:is>
      </x:c>
      <x:c r="B11" s="4" t="inlineStr">
        <x:is>
          <x:t xml:space="preserve">ORD-2025-0008</x:t>
        </x:is>
      </x:c>
      <x:c r="C11" s="17" t="n">
        <x:v>45745</x:v>
      </x:c>
      <x:c r="D11" s="4" t="inlineStr">
        <x:is>
          <x:t xml:space="preserve">CUS-0274</x:t>
        </x:is>
      </x:c>
      <x:c r="E11" s="4" t="inlineStr">
        <x:is>
          <x:t xml:space="preserve">Headphones</x:t>
        </x:is>
      </x:c>
      <x:c r="F11" s="4" t="inlineStr">
        <x:is>
          <x:t xml:space="preserve">Audio</x:t>
        </x:is>
      </x:c>
      <x:c r="G11" s="4" t="inlineStr">
        <x:is>
          <x:t xml:space="preserve">San Francisco</x:t>
        </x:is>
      </x:c>
      <x:c r="H11" s="18" t="n">
        <x:v>1</x:v>
      </x:c>
      <x:c r="I11" s="19" t="n">
        <x:v>138.85</x:v>
      </x:c>
      <x:c r="J11" s="20" t="n">
        <x:v>0.05</x:v>
      </x:c>
      <x:c r="K11" s="4" t="inlineStr">
        <x:is>
          <x:t xml:space="preserve">Debit Card</x:t>
        </x:is>
      </x:c>
      <x:c r="L11" s="19" t="n">
        <x:v>138.85</x:v>
      </x:c>
      <x:c r="M11" s="19" t="n">
        <x:v>6.94</x:v>
      </x:c>
      <x:c r="N11" s="19" t="n">
        <x:v>131.91</x:v>
      </x:c>
      <x:c r="O11" s="4" t="n">
        <x:f>YEAR(C11)</x:f>
        <x:v>2025</x:v>
      </x:c>
      <x:c r="P11" s="4" t="str">
        <x:f>TEXT(C11,"yyyy-mm")</x:f>
        <x:v>2025-03</x:v>
      </x:c>
      <x:c r="Q11" s="4" t="str">
        <x:f>TEXT(C11,"mmmm")</x:f>
        <x:v>March</x:v>
      </x:c>
    </x:row>
    <x:row r="12" ht="20" customHeight="1">
      <x:c r="A12" s="4" t="inlineStr">
        <x:is>
          <x:t xml:space="preserve">LINE-00011</x:t>
        </x:is>
      </x:c>
      <x:c r="B12" s="4" t="inlineStr">
        <x:is>
          <x:t xml:space="preserve">ORD-2025-0009</x:t>
        </x:is>
      </x:c>
      <x:c r="C12" s="17" t="n">
        <x:v>45770</x:v>
      </x:c>
      <x:c r="D12" s="4" t="inlineStr">
        <x:is>
          <x:t xml:space="preserve">CUS-0167</x:t>
        </x:is>
      </x:c>
      <x:c r="E12" s="4" t="inlineStr">
        <x:is>
          <x:t xml:space="preserve">Webcam</x:t>
        </x:is>
      </x:c>
      <x:c r="F12" s="4" t="inlineStr">
        <x:is>
          <x:t xml:space="preserve">Accessories</x:t>
        </x:is>
      </x:c>
      <x:c r="G12" s="4" t="inlineStr">
        <x:is>
          <x:t xml:space="preserve">New York</x:t>
        </x:is>
      </x:c>
      <x:c r="H12" s="18" t="n">
        <x:v>1</x:v>
      </x:c>
      <x:c r="I12" s="19" t="n">
        <x:v>85.84</x:v>
      </x:c>
      <x:c r="J12" s="20" t="n">
        <x:v>0.15</x:v>
      </x:c>
      <x:c r="K12" s="4" t="inlineStr">
        <x:is>
          <x:t xml:space="preserve">Debit Card</x:t>
        </x:is>
      </x:c>
      <x:c r="L12" s="19" t="n">
        <x:v>85.84</x:v>
      </x:c>
      <x:c r="M12" s="19" t="n">
        <x:v>12.88</x:v>
      </x:c>
      <x:c r="N12" s="19" t="n">
        <x:v>72.95999999999999</x:v>
      </x:c>
      <x:c r="O12" s="4" t="n">
        <x:f>YEAR(C12)</x:f>
        <x:v>2025</x:v>
      </x:c>
      <x:c r="P12" s="4" t="str">
        <x:f>TEXT(C12,"yyyy-mm")</x:f>
        <x:v>2025-04</x:v>
      </x:c>
      <x:c r="Q12" s="4" t="str">
        <x:f>TEXT(C12,"mmmm")</x:f>
        <x:v>April</x:v>
      </x:c>
    </x:row>
    <x:row r="13" ht="20" customHeight="1">
      <x:c r="A13" s="4" t="inlineStr">
        <x:is>
          <x:t xml:space="preserve">LINE-00012</x:t>
        </x:is>
      </x:c>
      <x:c r="B13" s="4" t="inlineStr">
        <x:is>
          <x:t xml:space="preserve">ORD-2025-0009</x:t>
        </x:is>
      </x:c>
      <x:c r="C13" s="17" t="n">
        <x:v>45770</x:v>
      </x:c>
      <x:c r="D13" s="4" t="inlineStr">
        <x:is>
          <x:t xml:space="preserve">CUS-0167</x:t>
        </x:is>
      </x:c>
      <x:c r="E13" s="4" t="inlineStr">
        <x:is>
          <x:t xml:space="preserve">Headphones</x:t>
        </x:is>
      </x:c>
      <x:c r="F13" s="4" t="inlineStr">
        <x:is>
          <x:t xml:space="preserve">Audio</x:t>
        </x:is>
      </x:c>
      <x:c r="G13" s="4" t="inlineStr">
        <x:is>
          <x:t xml:space="preserve">New York</x:t>
        </x:is>
      </x:c>
      <x:c r="H13" s="18" t="n">
        <x:v>4</x:v>
      </x:c>
      <x:c r="I13" s="19" t="n">
        <x:v>126.15</x:v>
      </x:c>
      <x:c r="J13" s="20" t="n">
        <x:v>0.05</x:v>
      </x:c>
      <x:c r="K13" s="4" t="inlineStr">
        <x:is>
          <x:t xml:space="preserve">Debit Card</x:t>
        </x:is>
      </x:c>
      <x:c r="L13" s="19" t="n">
        <x:v>504.6</x:v>
      </x:c>
      <x:c r="M13" s="19" t="n">
        <x:v>25.23</x:v>
      </x:c>
      <x:c r="N13" s="19" t="n">
        <x:v>479.37</x:v>
      </x:c>
      <x:c r="O13" s="4" t="n">
        <x:f>YEAR(C13)</x:f>
        <x:v>2025</x:v>
      </x:c>
      <x:c r="P13" s="4" t="str">
        <x:f>TEXT(C13,"yyyy-mm")</x:f>
        <x:v>2025-04</x:v>
      </x:c>
      <x:c r="Q13" s="4" t="str">
        <x:f>TEXT(C13,"mmmm")</x:f>
        <x:v>April</x:v>
      </x:c>
    </x:row>
    <x:row r="14" ht="20" customHeight="1">
      <x:c r="A14" s="4" t="inlineStr">
        <x:is>
          <x:t xml:space="preserve">LINE-00013</x:t>
        </x:is>
      </x:c>
      <x:c r="B14" s="4" t="inlineStr">
        <x:is>
          <x:t xml:space="preserve">ORD-2025-0010</x:t>
        </x:is>
      </x:c>
      <x:c r="C14" s="17" t="n">
        <x:v>45860</x:v>
      </x:c>
      <x:c r="D14" s="4" t="inlineStr">
        <x:is>
          <x:t xml:space="preserve">CUS-0330</x:t>
        </x:is>
      </x:c>
      <x:c r="E14" s="4" t="inlineStr">
        <x:is>
          <x:t xml:space="preserve">Wireless Mouse</x:t>
        </x:is>
      </x:c>
      <x:c r="F14" s="4" t="inlineStr">
        <x:is>
          <x:t xml:space="preserve">Accessories</x:t>
        </x:is>
      </x:c>
      <x:c r="G14" s="4" t="inlineStr">
        <x:is>
          <x:t xml:space="preserve">Seattle</x:t>
        </x:is>
      </x:c>
      <x:c r="H14" s="18" t="n">
        <x:v>3</x:v>
      </x:c>
      <x:c r="I14" s="19" t="n">
        <x:v>45.28</x:v>
      </x:c>
      <x:c r="J14" s="20" t="n">
        <x:v>0.1</x:v>
      </x:c>
      <x:c r="K14" s="4" t="inlineStr">
        <x:is>
          <x:t xml:space="preserve">Debit Card</x:t>
        </x:is>
      </x:c>
      <x:c r="L14" s="19" t="n">
        <x:v>135.84</x:v>
      </x:c>
      <x:c r="M14" s="19" t="n">
        <x:v>13.58</x:v>
      </x:c>
      <x:c r="N14" s="19" t="n">
        <x:v>122.26</x:v>
      </x:c>
      <x:c r="O14" s="4" t="n">
        <x:f>YEAR(C14)</x:f>
        <x:v>2025</x:v>
      </x:c>
      <x:c r="P14" s="4" t="str">
        <x:f>TEXT(C14,"yyyy-mm")</x:f>
        <x:v>2025-07</x:v>
      </x:c>
      <x:c r="Q14" s="4" t="str">
        <x:f>TEXT(C14,"mmmm")</x:f>
        <x:v>July</x:v>
      </x:c>
    </x:row>
    <x:row r="15" ht="20" customHeight="1">
      <x:c r="A15" s="4" t="inlineStr">
        <x:is>
          <x:t xml:space="preserve">LINE-00014</x:t>
        </x:is>
      </x:c>
      <x:c r="B15" s="4" t="inlineStr">
        <x:is>
          <x:t xml:space="preserve">ORD-2025-0011</x:t>
        </x:is>
      </x:c>
      <x:c r="C15" s="17" t="n">
        <x:v>45877</x:v>
      </x:c>
      <x:c r="D15" s="4" t="inlineStr">
        <x:is>
          <x:t xml:space="preserve">CUS-0299</x:t>
        </x:is>
      </x:c>
      <x:c r="E15" s="4" t="inlineStr">
        <x:is>
          <x:t xml:space="preserve">Keyboard</x:t>
        </x:is>
      </x:c>
      <x:c r="F15" s="4" t="inlineStr">
        <x:is>
          <x:t xml:space="preserve">Accessories</x:t>
        </x:is>
      </x:c>
      <x:c r="G15" s="4" t="inlineStr">
        <x:is>
          <x:t xml:space="preserve">Seattle</x:t>
        </x:is>
      </x:c>
      <x:c r="H15" s="18" t="n">
        <x:v>2</x:v>
      </x:c>
      <x:c r="I15" s="19" t="n">
        <x:v>70.09</x:v>
      </x:c>
      <x:c r="J15" s="20" t="n">
        <x:v>0</x:v>
      </x:c>
      <x:c r="K15" s="4" t="inlineStr">
        <x:is>
          <x:t xml:space="preserve">PayPal</x:t>
        </x:is>
      </x:c>
      <x:c r="L15" s="19" t="n">
        <x:v>140.18</x:v>
      </x:c>
      <x:c r="M15" s="19" t="n">
        <x:v>0</x:v>
      </x:c>
      <x:c r="N15" s="19" t="n">
        <x:v>140.18</x:v>
      </x:c>
      <x:c r="O15" s="4" t="n">
        <x:f>YEAR(C15)</x:f>
        <x:v>2025</x:v>
      </x:c>
      <x:c r="P15" s="4" t="str">
        <x:f>TEXT(C15,"yyyy-mm")</x:f>
        <x:v>2025-08</x:v>
      </x:c>
      <x:c r="Q15" s="4" t="str">
        <x:f>TEXT(C15,"mmmm")</x:f>
        <x:v>August</x:v>
      </x:c>
    </x:row>
    <x:row r="16" ht="20" customHeight="1">
      <x:c r="A16" s="4" t="inlineStr">
        <x:is>
          <x:t xml:space="preserve">LINE-00015</x:t>
        </x:is>
      </x:c>
      <x:c r="B16" s="4" t="inlineStr">
        <x:is>
          <x:t xml:space="preserve">ORD-2025-0012</x:t>
        </x:is>
      </x:c>
      <x:c r="C16" s="17" t="n">
        <x:v>45714</x:v>
      </x:c>
      <x:c r="D16" s="4" t="inlineStr">
        <x:is>
          <x:t xml:space="preserve">CUS-0079</x:t>
        </x:is>
      </x:c>
      <x:c r="E16" s="4" t="inlineStr">
        <x:is>
          <x:t xml:space="preserve">Headphones</x:t>
        </x:is>
      </x:c>
      <x:c r="F16" s="4" t="inlineStr">
        <x:is>
          <x:t xml:space="preserve">Audio</x:t>
        </x:is>
      </x:c>
      <x:c r="G16" s="4" t="inlineStr">
        <x:is>
          <x:t xml:space="preserve">San Francisco</x:t>
        </x:is>
      </x:c>
      <x:c r="H16" s="18" t="n">
        <x:v>1</x:v>
      </x:c>
      <x:c r="I16" s="19" t="n">
        <x:v>127.54</x:v>
      </x:c>
      <x:c r="J16" s="20" t="n">
        <x:v>0.2</x:v>
      </x:c>
      <x:c r="K16" s="4" t="inlineStr">
        <x:is>
          <x:t xml:space="preserve">Debit Card</x:t>
        </x:is>
      </x:c>
      <x:c r="L16" s="19" t="n">
        <x:v>127.54</x:v>
      </x:c>
      <x:c r="M16" s="19" t="n">
        <x:v>25.51</x:v>
      </x:c>
      <x:c r="N16" s="19" t="n">
        <x:v>102.03</x:v>
      </x:c>
      <x:c r="O16" s="4" t="n">
        <x:f>YEAR(C16)</x:f>
        <x:v>2025</x:v>
      </x:c>
      <x:c r="P16" s="4" t="str">
        <x:f>TEXT(C16,"yyyy-mm")</x:f>
        <x:v>2025-02</x:v>
      </x:c>
      <x:c r="Q16" s="4" t="str">
        <x:f>TEXT(C16,"mmmm")</x:f>
        <x:v>February</x:v>
      </x:c>
    </x:row>
    <x:row r="17" ht="20" customHeight="1">
      <x:c r="A17" s="4" t="inlineStr">
        <x:is>
          <x:t xml:space="preserve">LINE-00016</x:t>
        </x:is>
      </x:c>
      <x:c r="B17" s="4" t="inlineStr">
        <x:is>
          <x:t xml:space="preserve">ORD-2025-0012</x:t>
        </x:is>
      </x:c>
      <x:c r="C17" s="17" t="n">
        <x:v>45714</x:v>
      </x:c>
      <x:c r="D17" s="4" t="inlineStr">
        <x:is>
          <x:t xml:space="preserve">CUS-0079</x:t>
        </x:is>
      </x:c>
      <x:c r="E17" s="4" t="inlineStr">
        <x:is>
          <x:t xml:space="preserve">USB Flash Drive</x:t>
        </x:is>
      </x:c>
      <x:c r="F17" s="4" t="inlineStr">
        <x:is>
          <x:t xml:space="preserve">Storage</x:t>
        </x:is>
      </x:c>
      <x:c r="G17" s="4" t="inlineStr">
        <x:is>
          <x:t xml:space="preserve">San Francisco</x:t>
        </x:is>
      </x:c>
      <x:c r="H17" s="18" t="n">
        <x:v>2</x:v>
      </x:c>
      <x:c r="I17" s="19" t="n">
        <x:v>32.26</x:v>
      </x:c>
      <x:c r="J17" s="20" t="n">
        <x:v>0.1</x:v>
      </x:c>
      <x:c r="K17" s="4" t="inlineStr">
        <x:is>
          <x:t xml:space="preserve">Debit Card</x:t>
        </x:is>
      </x:c>
      <x:c r="L17" s="19" t="n">
        <x:v>64.52</x:v>
      </x:c>
      <x:c r="M17" s="19" t="n">
        <x:v>6.45</x:v>
      </x:c>
      <x:c r="N17" s="19" t="n">
        <x:v>58.07</x:v>
      </x:c>
      <x:c r="O17" s="4" t="n">
        <x:f>YEAR(C17)</x:f>
        <x:v>2025</x:v>
      </x:c>
      <x:c r="P17" s="4" t="str">
        <x:f>TEXT(C17,"yyyy-mm")</x:f>
        <x:v>2025-02</x:v>
      </x:c>
      <x:c r="Q17" s="4" t="str">
        <x:f>TEXT(C17,"mmmm")</x:f>
        <x:v>February</x:v>
      </x:c>
    </x:row>
    <x:row r="18" ht="20" customHeight="1">
      <x:c r="A18" s="4" t="inlineStr">
        <x:is>
          <x:t xml:space="preserve">LINE-00017</x:t>
        </x:is>
      </x:c>
      <x:c r="B18" s="4" t="inlineStr">
        <x:is>
          <x:t xml:space="preserve">ORD-2025-0013</x:t>
        </x:is>
      </x:c>
      <x:c r="C18" s="17" t="n">
        <x:v>45663</x:v>
      </x:c>
      <x:c r="D18" s="4" t="inlineStr">
        <x:is>
          <x:t xml:space="preserve">CUS-0349</x:t>
        </x:is>
      </x:c>
      <x:c r="E18" s="4" t="inlineStr">
        <x:is>
          <x:t xml:space="preserve">External SSD</x:t>
        </x:is>
      </x:c>
      <x:c r="F18" s="4" t="inlineStr">
        <x:is>
          <x:t xml:space="preserve">Storage</x:t>
        </x:is>
      </x:c>
      <x:c r="G18" s="4" t="inlineStr">
        <x:is>
          <x:t xml:space="preserve">San Francisco</x:t>
        </x:is>
      </x:c>
      <x:c r="H18" s="18" t="n">
        <x:v>3</x:v>
      </x:c>
      <x:c r="I18" s="19" t="n">
        <x:v>146.16</x:v>
      </x:c>
      <x:c r="J18" s="20" t="n">
        <x:v>0</x:v>
      </x:c>
      <x:c r="K18" s="4" t="inlineStr">
        <x:is>
          <x:t xml:space="preserve">Credit Card</x:t>
        </x:is>
      </x:c>
      <x:c r="L18" s="19" t="n">
        <x:v>438.48</x:v>
      </x:c>
      <x:c r="M18" s="19" t="n">
        <x:v>0</x:v>
      </x:c>
      <x:c r="N18" s="19" t="n">
        <x:v>438.48</x:v>
      </x:c>
      <x:c r="O18" s="4" t="n">
        <x:f>YEAR(C18)</x:f>
        <x:v>2025</x:v>
      </x:c>
      <x:c r="P18" s="4" t="str">
        <x:f>TEXT(C18,"yyyy-mm")</x:f>
        <x:v>2025-01</x:v>
      </x:c>
      <x:c r="Q18" s="4" t="str">
        <x:f>TEXT(C18,"mmmm")</x:f>
        <x:v>January</x:v>
      </x:c>
    </x:row>
    <x:row r="19" ht="20" customHeight="1">
      <x:c r="A19" s="4" t="inlineStr">
        <x:is>
          <x:t xml:space="preserve">LINE-00018</x:t>
        </x:is>
      </x:c>
      <x:c r="B19" s="4" t="inlineStr">
        <x:is>
          <x:t xml:space="preserve">ORD-2025-0013</x:t>
        </x:is>
      </x:c>
      <x:c r="C19" s="17" t="n">
        <x:v>45663</x:v>
      </x:c>
      <x:c r="D19" s="4" t="inlineStr">
        <x:is>
          <x:t xml:space="preserve">CUS-0349</x:t>
        </x:is>
      </x:c>
      <x:c r="E19" s="4" t="inlineStr">
        <x:is>
          <x:t xml:space="preserve">USB-C Hub</x:t>
        </x:is>
      </x:c>
      <x:c r="F19" s="4" t="inlineStr">
        <x:is>
          <x:t xml:space="preserve">Accessories</x:t>
        </x:is>
      </x:c>
      <x:c r="G19" s="4" t="inlineStr">
        <x:is>
          <x:t xml:space="preserve">San Francisco</x:t>
        </x:is>
      </x:c>
      <x:c r="H19" s="18" t="n">
        <x:v>1</x:v>
      </x:c>
      <x:c r="I19" s="19" t="n">
        <x:v>59.83</x:v>
      </x:c>
      <x:c r="J19" s="20" t="n">
        <x:v>0.1</x:v>
      </x:c>
      <x:c r="K19" s="4" t="inlineStr">
        <x:is>
          <x:t xml:space="preserve">Credit Card</x:t>
        </x:is>
      </x:c>
      <x:c r="L19" s="19" t="n">
        <x:v>59.83</x:v>
      </x:c>
      <x:c r="M19" s="19" t="n">
        <x:v>5.98</x:v>
      </x:c>
      <x:c r="N19" s="19" t="n">
        <x:v>53.85</x:v>
      </x:c>
      <x:c r="O19" s="4" t="n">
        <x:f>YEAR(C19)</x:f>
        <x:v>2025</x:v>
      </x:c>
      <x:c r="P19" s="4" t="str">
        <x:f>TEXT(C19,"yyyy-mm")</x:f>
        <x:v>2025-01</x:v>
      </x:c>
      <x:c r="Q19" s="4" t="str">
        <x:f>TEXT(C19,"mmmm")</x:f>
        <x:v>January</x:v>
      </x:c>
    </x:row>
    <x:row r="20" ht="20" customHeight="1">
      <x:c r="A20" s="4" t="inlineStr">
        <x:is>
          <x:t xml:space="preserve">LINE-00019</x:t>
        </x:is>
      </x:c>
      <x:c r="B20" s="4" t="inlineStr">
        <x:is>
          <x:t xml:space="preserve">ORD-2025-0014</x:t>
        </x:is>
      </x:c>
      <x:c r="C20" s="17" t="n">
        <x:v>45792</x:v>
      </x:c>
      <x:c r="D20" s="4" t="inlineStr">
        <x:is>
          <x:t xml:space="preserve">CUS-0257</x:t>
        </x:is>
      </x:c>
      <x:c r="E20" s="4" t="inlineStr">
        <x:is>
          <x:t xml:space="preserve">USB-C Hub</x:t>
        </x:is>
      </x:c>
      <x:c r="F20" s="4" t="inlineStr">
        <x:is>
          <x:t xml:space="preserve">Accessories</x:t>
        </x:is>
      </x:c>
      <x:c r="G20" s="4" t="inlineStr">
        <x:is>
          <x:t xml:space="preserve">Chicago</x:t>
        </x:is>
      </x:c>
      <x:c r="H20" s="18" t="n">
        <x:v>2</x:v>
      </x:c>
      <x:c r="I20" s="19" t="n">
        <x:v>61.39</x:v>
      </x:c>
      <x:c r="J20" s="20" t="n">
        <x:v>0.1</x:v>
      </x:c>
      <x:c r="K20" s="4" t="inlineStr">
        <x:is>
          <x:t xml:space="preserve">Credit Card</x:t>
        </x:is>
      </x:c>
      <x:c r="L20" s="19" t="n">
        <x:v>122.78</x:v>
      </x:c>
      <x:c r="M20" s="19" t="n">
        <x:v>12.28</x:v>
      </x:c>
      <x:c r="N20" s="19" t="n">
        <x:v>110.5</x:v>
      </x:c>
      <x:c r="O20" s="4" t="n">
        <x:f>YEAR(C20)</x:f>
        <x:v>2025</x:v>
      </x:c>
      <x:c r="P20" s="4" t="str">
        <x:f>TEXT(C20,"yyyy-mm")</x:f>
        <x:v>2025-05</x:v>
      </x:c>
      <x:c r="Q20" s="4" t="str">
        <x:f>TEXT(C20,"mmmm")</x:f>
        <x:v>May</x:v>
      </x:c>
    </x:row>
    <x:row r="21" ht="20" customHeight="1">
      <x:c r="A21" s="4" t="inlineStr">
        <x:is>
          <x:t xml:space="preserve">LINE-00020</x:t>
        </x:is>
      </x:c>
      <x:c r="B21" s="4" t="inlineStr">
        <x:is>
          <x:t xml:space="preserve">ORD-2025-0014</x:t>
        </x:is>
      </x:c>
      <x:c r="C21" s="17" t="n">
        <x:v>45792</x:v>
      </x:c>
      <x:c r="D21" s="4" t="inlineStr">
        <x:is>
          <x:t xml:space="preserve">CUS-0257</x:t>
        </x:is>
      </x:c>
      <x:c r="E21" s="4" t="inlineStr">
        <x:is>
          <x:t xml:space="preserve">Office Chair</x:t>
        </x:is>
      </x:c>
      <x:c r="F21" s="4" t="inlineStr">
        <x:is>
          <x:t xml:space="preserve">Furniture</x:t>
        </x:is>
      </x:c>
      <x:c r="G21" s="4" t="inlineStr">
        <x:is>
          <x:t xml:space="preserve">Chicago</x:t>
        </x:is>
      </x:c>
      <x:c r="H21" s="18" t="n">
        <x:v>2</x:v>
      </x:c>
      <x:c r="I21" s="19" t="n">
        <x:v>250.7</x:v>
      </x:c>
      <x:c r="J21" s="20" t="n">
        <x:v>0.05</x:v>
      </x:c>
      <x:c r="K21" s="4" t="inlineStr">
        <x:is>
          <x:t xml:space="preserve">Credit Card</x:t>
        </x:is>
      </x:c>
      <x:c r="L21" s="19" t="n">
        <x:v>501.4</x:v>
      </x:c>
      <x:c r="M21" s="19" t="n">
        <x:v>25.07</x:v>
      </x:c>
      <x:c r="N21" s="19" t="n">
        <x:v>476.33</x:v>
      </x:c>
      <x:c r="O21" s="4" t="n">
        <x:f>YEAR(C21)</x:f>
        <x:v>2025</x:v>
      </x:c>
      <x:c r="P21" s="4" t="str">
        <x:f>TEXT(C21,"yyyy-mm")</x:f>
        <x:v>2025-05</x:v>
      </x:c>
      <x:c r="Q21" s="4" t="str">
        <x:f>TEXT(C21,"mmmm")</x:f>
        <x:v>May</x:v>
      </x:c>
    </x:row>
    <x:row r="22" ht="20" customHeight="1">
      <x:c r="A22" s="4" t="inlineStr">
        <x:is>
          <x:t xml:space="preserve">LINE-00021</x:t>
        </x:is>
      </x:c>
      <x:c r="B22" s="4" t="inlineStr">
        <x:is>
          <x:t xml:space="preserve">ORD-2025-0014</x:t>
        </x:is>
      </x:c>
      <x:c r="C22" s="17" t="n">
        <x:v>45792</x:v>
      </x:c>
      <x:c r="D22" s="4" t="inlineStr">
        <x:is>
          <x:t xml:space="preserve">CUS-0257</x:t>
        </x:is>
      </x:c>
      <x:c r="E22" s="4" t="inlineStr">
        <x:is>
          <x:t xml:space="preserve">External SSD</x:t>
        </x:is>
      </x:c>
      <x:c r="F22" s="4" t="inlineStr">
        <x:is>
          <x:t xml:space="preserve">Storage</x:t>
        </x:is>
      </x:c>
      <x:c r="G22" s="4" t="inlineStr">
        <x:is>
          <x:t xml:space="preserve">Chicago</x:t>
        </x:is>
      </x:c>
      <x:c r="H22" s="18" t="n">
        <x:v>1</x:v>
      </x:c>
      <x:c r="I22" s="19" t="n">
        <x:v>145.78</x:v>
      </x:c>
      <x:c r="J22" s="20" t="n">
        <x:v>0</x:v>
      </x:c>
      <x:c r="K22" s="4" t="inlineStr">
        <x:is>
          <x:t xml:space="preserve">Credit Card</x:t>
        </x:is>
      </x:c>
      <x:c r="L22" s="19" t="n">
        <x:v>145.78</x:v>
      </x:c>
      <x:c r="M22" s="19" t="n">
        <x:v>0</x:v>
      </x:c>
      <x:c r="N22" s="19" t="n">
        <x:v>145.78</x:v>
      </x:c>
      <x:c r="O22" s="4" t="n">
        <x:f>YEAR(C22)</x:f>
        <x:v>2025</x:v>
      </x:c>
      <x:c r="P22" s="4" t="str">
        <x:f>TEXT(C22,"yyyy-mm")</x:f>
        <x:v>2025-05</x:v>
      </x:c>
      <x:c r="Q22" s="4" t="str">
        <x:f>TEXT(C22,"mmmm")</x:f>
        <x:v>May</x:v>
      </x:c>
    </x:row>
    <x:row r="23" ht="20" customHeight="1">
      <x:c r="A23" s="4" t="inlineStr">
        <x:is>
          <x:t xml:space="preserve">LINE-00022</x:t>
        </x:is>
      </x:c>
      <x:c r="B23" s="4" t="inlineStr">
        <x:is>
          <x:t xml:space="preserve">ORD-2025-0015</x:t>
        </x:is>
      </x:c>
      <x:c r="C23" s="17" t="n">
        <x:v>45843</x:v>
      </x:c>
      <x:c r="D23" s="4" t="inlineStr">
        <x:is>
          <x:t xml:space="preserve">CUS-0158</x:t>
        </x:is>
      </x:c>
      <x:c r="E23" s="4" t="inlineStr">
        <x:is>
          <x:t xml:space="preserve">USB Flash Drive</x:t>
        </x:is>
      </x:c>
      <x:c r="F23" s="4" t="inlineStr">
        <x:is>
          <x:t xml:space="preserve">Storage</x:t>
        </x:is>
      </x:c>
      <x:c r="G23" s="4" t="inlineStr">
        <x:is>
          <x:t xml:space="preserve">Chicago</x:t>
        </x:is>
      </x:c>
      <x:c r="H23" s="18" t="n">
        <x:v>4</x:v>
      </x:c>
      <x:c r="I23" s="19" t="n">
        <x:v>28.01</x:v>
      </x:c>
      <x:c r="J23" s="20" t="n">
        <x:v>0.05</x:v>
      </x:c>
      <x:c r="K23" s="4" t="inlineStr">
        <x:is>
          <x:t xml:space="preserve">Credit Card</x:t>
        </x:is>
      </x:c>
      <x:c r="L23" s="19" t="n">
        <x:v>112.04</x:v>
      </x:c>
      <x:c r="M23" s="19" t="n">
        <x:v>5.6</x:v>
      </x:c>
      <x:c r="N23" s="19" t="n">
        <x:v>106.44</x:v>
      </x:c>
      <x:c r="O23" s="4" t="n">
        <x:f>YEAR(C23)</x:f>
        <x:v>2025</x:v>
      </x:c>
      <x:c r="P23" s="4" t="str">
        <x:f>TEXT(C23,"yyyy-mm")</x:f>
        <x:v>2025-07</x:v>
      </x:c>
      <x:c r="Q23" s="4" t="str">
        <x:f>TEXT(C23,"mmmm")</x:f>
        <x:v>July</x:v>
      </x:c>
    </x:row>
    <x:row r="24" ht="20" customHeight="1">
      <x:c r="A24" s="4" t="inlineStr">
        <x:is>
          <x:t xml:space="preserve">LINE-00023</x:t>
        </x:is>
      </x:c>
      <x:c r="B24" s="4" t="inlineStr">
        <x:is>
          <x:t xml:space="preserve">ORD-2025-0016</x:t>
        </x:is>
      </x:c>
      <x:c r="C24" s="17" t="n">
        <x:v>45693</x:v>
      </x:c>
      <x:c r="D24" s="4" t="inlineStr">
        <x:is>
          <x:t xml:space="preserve">CUS-0273</x:t>
        </x:is>
      </x:c>
      <x:c r="E24" s="4" t="inlineStr">
        <x:is>
          <x:t xml:space="preserve">External SSD</x:t>
        </x:is>
      </x:c>
      <x:c r="F24" s="4" t="inlineStr">
        <x:is>
          <x:t xml:space="preserve">Storage</x:t>
        </x:is>
      </x:c>
      <x:c r="G24" s="4" t="inlineStr">
        <x:is>
          <x:t xml:space="preserve">Chicago</x:t>
        </x:is>
      </x:c>
      <x:c r="H24" s="18" t="n">
        <x:v>1</x:v>
      </x:c>
      <x:c r="I24" s="19" t="n">
        <x:v>158.94</x:v>
      </x:c>
      <x:c r="J24" s="20" t="n">
        <x:v>0</x:v>
      </x:c>
      <x:c r="K24" s="4" t="inlineStr">
        <x:is>
          <x:t xml:space="preserve">Debit Card</x:t>
        </x:is>
      </x:c>
      <x:c r="L24" s="19" t="n">
        <x:v>158.94</x:v>
      </x:c>
      <x:c r="M24" s="19" t="n">
        <x:v>0</x:v>
      </x:c>
      <x:c r="N24" s="19" t="n">
        <x:v>158.94</x:v>
      </x:c>
      <x:c r="O24" s="4" t="n">
        <x:f>YEAR(C24)</x:f>
        <x:v>2025</x:v>
      </x:c>
      <x:c r="P24" s="4" t="str">
        <x:f>TEXT(C24,"yyyy-mm")</x:f>
        <x:v>2025-02</x:v>
      </x:c>
      <x:c r="Q24" s="4" t="str">
        <x:f>TEXT(C24,"mmmm")</x:f>
        <x:v>February</x:v>
      </x:c>
    </x:row>
    <x:row r="25" ht="20" customHeight="1">
      <x:c r="A25" s="4" t="inlineStr">
        <x:is>
          <x:t xml:space="preserve">LINE-00024</x:t>
        </x:is>
      </x:c>
      <x:c r="B25" s="4" t="inlineStr">
        <x:is>
          <x:t xml:space="preserve">ORD-2025-0016</x:t>
        </x:is>
      </x:c>
      <x:c r="C25" s="17" t="n">
        <x:v>45693</x:v>
      </x:c>
      <x:c r="D25" s="4" t="inlineStr">
        <x:is>
          <x:t xml:space="preserve">CUS-0273</x:t>
        </x:is>
      </x:c>
      <x:c r="E25" s="4" t="inlineStr">
        <x:is>
          <x:t xml:space="preserve">Keyboard</x:t>
        </x:is>
      </x:c>
      <x:c r="F25" s="4" t="inlineStr">
        <x:is>
          <x:t xml:space="preserve">Accessories</x:t>
        </x:is>
      </x:c>
      <x:c r="G25" s="4" t="inlineStr">
        <x:is>
          <x:t xml:space="preserve">Chicago</x:t>
        </x:is>
      </x:c>
      <x:c r="H25" s="18" t="n">
        <x:v>1</x:v>
      </x:c>
      <x:c r="I25" s="19" t="n">
        <x:v>75.47</x:v>
      </x:c>
      <x:c r="J25" s="20" t="n">
        <x:v>0.1</x:v>
      </x:c>
      <x:c r="K25" s="4" t="inlineStr">
        <x:is>
          <x:t xml:space="preserve">Debit Card</x:t>
        </x:is>
      </x:c>
      <x:c r="L25" s="19" t="n">
        <x:v>75.47</x:v>
      </x:c>
      <x:c r="M25" s="19" t="n">
        <x:v>7.55</x:v>
      </x:c>
      <x:c r="N25" s="19" t="n">
        <x:v>67.92</x:v>
      </x:c>
      <x:c r="O25" s="4" t="n">
        <x:f>YEAR(C25)</x:f>
        <x:v>2025</x:v>
      </x:c>
      <x:c r="P25" s="4" t="str">
        <x:f>TEXT(C25,"yyyy-mm")</x:f>
        <x:v>2025-02</x:v>
      </x:c>
      <x:c r="Q25" s="4" t="str">
        <x:f>TEXT(C25,"mmmm")</x:f>
        <x:v>February</x:v>
      </x:c>
    </x:row>
    <x:row r="26" ht="20" customHeight="1">
      <x:c r="A26" s="4" t="inlineStr">
        <x:is>
          <x:t xml:space="preserve">LINE-00025</x:t>
        </x:is>
      </x:c>
      <x:c r="B26" s="4" t="inlineStr">
        <x:is>
          <x:t xml:space="preserve">ORD-2025-0017</x:t>
        </x:is>
      </x:c>
      <x:c r="C26" s="17" t="n">
        <x:v>45760</x:v>
      </x:c>
      <x:c r="D26" s="4" t="inlineStr">
        <x:is>
          <x:t xml:space="preserve">CUS-0160</x:t>
        </x:is>
      </x:c>
      <x:c r="E26" s="4" t="inlineStr">
        <x:is>
          <x:t xml:space="preserve">External SSD</x:t>
        </x:is>
      </x:c>
      <x:c r="F26" s="4" t="inlineStr">
        <x:is>
          <x:t xml:space="preserve">Storage</x:t>
        </x:is>
      </x:c>
      <x:c r="G26" s="4" t="inlineStr">
        <x:is>
          <x:t xml:space="preserve">Seattle</x:t>
        </x:is>
      </x:c>
      <x:c r="H26" s="18" t="n">
        <x:v>2</x:v>
      </x:c>
      <x:c r="I26" s="19" t="n">
        <x:v>143.95</x:v>
      </x:c>
      <x:c r="J26" s="20" t="n">
        <x:v>0</x:v>
      </x:c>
      <x:c r="K26" s="4" t="inlineStr">
        <x:is>
          <x:t xml:space="preserve">PayPal</x:t>
        </x:is>
      </x:c>
      <x:c r="L26" s="19" t="n">
        <x:v>287.9</x:v>
      </x:c>
      <x:c r="M26" s="19" t="n">
        <x:v>0</x:v>
      </x:c>
      <x:c r="N26" s="19" t="n">
        <x:v>287.9</x:v>
      </x:c>
      <x:c r="O26" s="4" t="n">
        <x:f>YEAR(C26)</x:f>
        <x:v>2025</x:v>
      </x:c>
      <x:c r="P26" s="4" t="str">
        <x:f>TEXT(C26,"yyyy-mm")</x:f>
        <x:v>2025-04</x:v>
      </x:c>
      <x:c r="Q26" s="4" t="str">
        <x:f>TEXT(C26,"mmmm")</x:f>
        <x:v>April</x:v>
      </x:c>
    </x:row>
    <x:row r="27" ht="20" customHeight="1">
      <x:c r="A27" s="4" t="inlineStr">
        <x:is>
          <x:t xml:space="preserve">LINE-00026</x:t>
        </x:is>
      </x:c>
      <x:c r="B27" s="4" t="inlineStr">
        <x:is>
          <x:t xml:space="preserve">ORD-2025-0018</x:t>
        </x:is>
      </x:c>
      <x:c r="C27" s="17" t="n">
        <x:v>45668</x:v>
      </x:c>
      <x:c r="D27" s="4" t="inlineStr">
        <x:is>
          <x:t xml:space="preserve">CUS-0302</x:t>
        </x:is>
      </x:c>
      <x:c r="E27" s="4" t="inlineStr">
        <x:is>
          <x:t xml:space="preserve">Laptop</x:t>
        </x:is>
      </x:c>
      <x:c r="F27" s="4" t="inlineStr">
        <x:is>
          <x:t xml:space="preserve">Computers</x:t>
        </x:is>
      </x:c>
      <x:c r="G27" s="4" t="inlineStr">
        <x:is>
          <x:t xml:space="preserve">Boston</x:t>
        </x:is>
      </x:c>
      <x:c r="H27" s="18" t="n">
        <x:v>3</x:v>
      </x:c>
      <x:c r="I27" s="19" t="n">
        <x:v>882.95</x:v>
      </x:c>
      <x:c r="J27" s="20" t="n">
        <x:v>0</x:v>
      </x:c>
      <x:c r="K27" s="4" t="inlineStr">
        <x:is>
          <x:t xml:space="preserve">Debit Card</x:t>
        </x:is>
      </x:c>
      <x:c r="L27" s="19" t="n">
        <x:v>2648.85</x:v>
      </x:c>
      <x:c r="M27" s="19" t="n">
        <x:v>0</x:v>
      </x:c>
      <x:c r="N27" s="19" t="n">
        <x:v>2648.85</x:v>
      </x:c>
      <x:c r="O27" s="4" t="n">
        <x:f>YEAR(C27)</x:f>
        <x:v>2025</x:v>
      </x:c>
      <x:c r="P27" s="4" t="str">
        <x:f>TEXT(C27,"yyyy-mm")</x:f>
        <x:v>2025-01</x:v>
      </x:c>
      <x:c r="Q27" s="4" t="str">
        <x:f>TEXT(C27,"mmmm")</x:f>
        <x:v>January</x:v>
      </x:c>
    </x:row>
    <x:row r="28" ht="20" customHeight="1">
      <x:c r="A28" s="4" t="inlineStr">
        <x:is>
          <x:t xml:space="preserve">LINE-00027</x:t>
        </x:is>
      </x:c>
      <x:c r="B28" s="4" t="inlineStr">
        <x:is>
          <x:t xml:space="preserve">ORD-2025-0018</x:t>
        </x:is>
      </x:c>
      <x:c r="C28" s="17" t="n">
        <x:v>45668</x:v>
      </x:c>
      <x:c r="D28" s="4" t="inlineStr">
        <x:is>
          <x:t xml:space="preserve">CUS-0302</x:t>
        </x:is>
      </x:c>
      <x:c r="E28" s="4" t="inlineStr">
        <x:is>
          <x:t xml:space="preserve">Monitor</x:t>
        </x:is>
      </x:c>
      <x:c r="F28" s="4" t="inlineStr">
        <x:is>
          <x:t xml:space="preserve">Computers</x:t>
        </x:is>
      </x:c>
      <x:c r="G28" s="4" t="inlineStr">
        <x:is>
          <x:t xml:space="preserve">Boston</x:t>
        </x:is>
      </x:c>
      <x:c r="H28" s="18" t="n">
        <x:v>1</x:v>
      </x:c>
      <x:c r="I28" s="19" t="n">
        <x:v>272.4</x:v>
      </x:c>
      <x:c r="J28" s="20" t="n">
        <x:v>0.05</x:v>
      </x:c>
      <x:c r="K28" s="4" t="inlineStr">
        <x:is>
          <x:t xml:space="preserve">Debit Card</x:t>
        </x:is>
      </x:c>
      <x:c r="L28" s="19" t="n">
        <x:v>272.4</x:v>
      </x:c>
      <x:c r="M28" s="19" t="n">
        <x:v>13.62</x:v>
      </x:c>
      <x:c r="N28" s="19" t="n">
        <x:v>258.78</x:v>
      </x:c>
      <x:c r="O28" s="4" t="n">
        <x:f>YEAR(C28)</x:f>
        <x:v>2025</x:v>
      </x:c>
      <x:c r="P28" s="4" t="str">
        <x:f>TEXT(C28,"yyyy-mm")</x:f>
        <x:v>2025-01</x:v>
      </x:c>
      <x:c r="Q28" s="4" t="str">
        <x:f>TEXT(C28,"mmmm")</x:f>
        <x:v>January</x:v>
      </x:c>
    </x:row>
    <x:row r="29" ht="20" customHeight="1">
      <x:c r="A29" s="4" t="inlineStr">
        <x:is>
          <x:t xml:space="preserve">LINE-00028</x:t>
        </x:is>
      </x:c>
      <x:c r="B29" s="4" t="inlineStr">
        <x:is>
          <x:t xml:space="preserve">ORD-2025-0019</x:t>
        </x:is>
      </x:c>
      <x:c r="C29" s="17" t="n">
        <x:v>45800</x:v>
      </x:c>
      <x:c r="D29" s="4" t="inlineStr">
        <x:is>
          <x:t xml:space="preserve">CUS-0343</x:t>
        </x:is>
      </x:c>
      <x:c r="E29" s="4" t="inlineStr">
        <x:is>
          <x:t xml:space="preserve">Desk Lamp</x:t>
        </x:is>
      </x:c>
      <x:c r="F29" s="4" t="inlineStr">
        <x:is>
          <x:t xml:space="preserve">Furniture</x:t>
        </x:is>
      </x:c>
      <x:c r="G29" s="4" t="inlineStr">
        <x:is>
          <x:t xml:space="preserve">Seattle</x:t>
        </x:is>
      </x:c>
      <x:c r="H29" s="18" t="n">
        <x:v>2</x:v>
      </x:c>
      <x:c r="I29" s="19" t="n">
        <x:v>52.74</x:v>
      </x:c>
      <x:c r="J29" s="20" t="n">
        <x:v>0.05</x:v>
      </x:c>
      <x:c r="K29" s="4" t="inlineStr">
        <x:is>
          <x:t xml:space="preserve">Debit Card</x:t>
        </x:is>
      </x:c>
      <x:c r="L29" s="19" t="n">
        <x:v>105.48</x:v>
      </x:c>
      <x:c r="M29" s="19" t="n">
        <x:v>5.27</x:v>
      </x:c>
      <x:c r="N29" s="19" t="n">
        <x:v>100.21</x:v>
      </x:c>
      <x:c r="O29" s="4" t="n">
        <x:f>YEAR(C29)</x:f>
        <x:v>2025</x:v>
      </x:c>
      <x:c r="P29" s="4" t="str">
        <x:f>TEXT(C29,"yyyy-mm")</x:f>
        <x:v>2025-05</x:v>
      </x:c>
      <x:c r="Q29" s="4" t="str">
        <x:f>TEXT(C29,"mmmm")</x:f>
        <x:v>May</x:v>
      </x:c>
    </x:row>
    <x:row r="30" ht="20" customHeight="1">
      <x:c r="A30" s="4" t="inlineStr">
        <x:is>
          <x:t xml:space="preserve">LINE-00029</x:t>
        </x:is>
      </x:c>
      <x:c r="B30" s="4" t="inlineStr">
        <x:is>
          <x:t xml:space="preserve">ORD-2025-0019</x:t>
        </x:is>
      </x:c>
      <x:c r="C30" s="17" t="n">
        <x:v>45800</x:v>
      </x:c>
      <x:c r="D30" s="4" t="inlineStr">
        <x:is>
          <x:t xml:space="preserve">CUS-0343</x:t>
        </x:is>
      </x:c>
      <x:c r="E30" s="4" t="inlineStr">
        <x:is>
          <x:t xml:space="preserve">USB Flash Drive</x:t>
        </x:is>
      </x:c>
      <x:c r="F30" s="4" t="inlineStr">
        <x:is>
          <x:t xml:space="preserve">Storage</x:t>
        </x:is>
      </x:c>
      <x:c r="G30" s="4" t="inlineStr">
        <x:is>
          <x:t xml:space="preserve">Seattle</x:t>
        </x:is>
      </x:c>
      <x:c r="H30" s="18" t="n">
        <x:v>2</x:v>
      </x:c>
      <x:c r="I30" s="19" t="n">
        <x:v>28.05</x:v>
      </x:c>
      <x:c r="J30" s="20" t="n">
        <x:v>0.05</x:v>
      </x:c>
      <x:c r="K30" s="4" t="inlineStr">
        <x:is>
          <x:t xml:space="preserve">Debit Card</x:t>
        </x:is>
      </x:c>
      <x:c r="L30" s="19" t="n">
        <x:v>56.1</x:v>
      </x:c>
      <x:c r="M30" s="19" t="n">
        <x:v>2.8</x:v>
      </x:c>
      <x:c r="N30" s="19" t="n">
        <x:v>53.3</x:v>
      </x:c>
      <x:c r="O30" s="4" t="n">
        <x:f>YEAR(C30)</x:f>
        <x:v>2025</x:v>
      </x:c>
      <x:c r="P30" s="4" t="str">
        <x:f>TEXT(C30,"yyyy-mm")</x:f>
        <x:v>2025-05</x:v>
      </x:c>
      <x:c r="Q30" s="4" t="str">
        <x:f>TEXT(C30,"mmmm")</x:f>
        <x:v>May</x:v>
      </x:c>
    </x:row>
    <x:row r="31" ht="20" customHeight="1">
      <x:c r="A31" s="4" t="inlineStr">
        <x:is>
          <x:t xml:space="preserve">LINE-00030</x:t>
        </x:is>
      </x:c>
      <x:c r="B31" s="4" t="inlineStr">
        <x:is>
          <x:t xml:space="preserve">ORD-2025-0020</x:t>
        </x:is>
      </x:c>
      <x:c r="C31" s="17" t="n">
        <x:v>45839</x:v>
      </x:c>
      <x:c r="D31" s="4" t="inlineStr">
        <x:is>
          <x:t xml:space="preserve">CUS-0217</x:t>
        </x:is>
      </x:c>
      <x:c r="E31" s="4" t="inlineStr">
        <x:is>
          <x:t xml:space="preserve">Laptop</x:t>
        </x:is>
      </x:c>
      <x:c r="F31" s="4" t="inlineStr">
        <x:is>
          <x:t xml:space="preserve">Computers</x:t>
        </x:is>
      </x:c>
      <x:c r="G31" s="4" t="inlineStr">
        <x:is>
          <x:t xml:space="preserve">Seattle</x:t>
        </x:is>
      </x:c>
      <x:c r="H31" s="18" t="n">
        <x:v>1</x:v>
      </x:c>
      <x:c r="I31" s="19" t="n">
        <x:v>984.6900000000001</x:v>
      </x:c>
      <x:c r="J31" s="20" t="n">
        <x:v>0.1</x:v>
      </x:c>
      <x:c r="K31" s="4" t="inlineStr">
        <x:is>
          <x:t xml:space="preserve">Bank Transfer</x:t>
        </x:is>
      </x:c>
      <x:c r="L31" s="19" t="n">
        <x:v>984.6900000000001</x:v>
      </x:c>
      <x:c r="M31" s="19" t="n">
        <x:v>98.47</x:v>
      </x:c>
      <x:c r="N31" s="19" t="n">
        <x:v>886.22</x:v>
      </x:c>
      <x:c r="O31" s="4" t="n">
        <x:f>YEAR(C31)</x:f>
        <x:v>2025</x:v>
      </x:c>
      <x:c r="P31" s="4" t="str">
        <x:f>TEXT(C31,"yyyy-mm")</x:f>
        <x:v>2025-07</x:v>
      </x:c>
      <x:c r="Q31" s="4" t="str">
        <x:f>TEXT(C31,"mmmm")</x:f>
        <x:v>July</x:v>
      </x:c>
    </x:row>
    <x:row r="32" ht="20" customHeight="1">
      <x:c r="A32" s="4" t="inlineStr">
        <x:is>
          <x:t xml:space="preserve">LINE-00031</x:t>
        </x:is>
      </x:c>
      <x:c r="B32" s="4" t="inlineStr">
        <x:is>
          <x:t xml:space="preserve">ORD-2025-0020</x:t>
        </x:is>
      </x:c>
      <x:c r="C32" s="17" t="n">
        <x:v>45839</x:v>
      </x:c>
      <x:c r="D32" s="4" t="inlineStr">
        <x:is>
          <x:t xml:space="preserve">CUS-0217</x:t>
        </x:is>
      </x:c>
      <x:c r="E32" s="4" t="inlineStr">
        <x:is>
          <x:t xml:space="preserve">Office Chair</x:t>
        </x:is>
      </x:c>
      <x:c r="F32" s="4" t="inlineStr">
        <x:is>
          <x:t xml:space="preserve">Furniture</x:t>
        </x:is>
      </x:c>
      <x:c r="G32" s="4" t="inlineStr">
        <x:is>
          <x:t xml:space="preserve">Seattle</x:t>
        </x:is>
      </x:c>
      <x:c r="H32" s="18" t="n">
        <x:v>1</x:v>
      </x:c>
      <x:c r="I32" s="19" t="n">
        <x:v>228.16</x:v>
      </x:c>
      <x:c r="J32" s="20" t="n">
        <x:v>0.05</x:v>
      </x:c>
      <x:c r="K32" s="4" t="inlineStr">
        <x:is>
          <x:t xml:space="preserve">Bank Transfer</x:t>
        </x:is>
      </x:c>
      <x:c r="L32" s="19" t="n">
        <x:v>228.16</x:v>
      </x:c>
      <x:c r="M32" s="19" t="n">
        <x:v>11.41</x:v>
      </x:c>
      <x:c r="N32" s="19" t="n">
        <x:v>216.75</x:v>
      </x:c>
      <x:c r="O32" s="4" t="n">
        <x:f>YEAR(C32)</x:f>
        <x:v>2025</x:v>
      </x:c>
      <x:c r="P32" s="4" t="str">
        <x:f>TEXT(C32,"yyyy-mm")</x:f>
        <x:v>2025-07</x:v>
      </x:c>
      <x:c r="Q32" s="4" t="str">
        <x:f>TEXT(C32,"mmmm")</x:f>
        <x:v>July</x:v>
      </x:c>
    </x:row>
    <x:row r="33" ht="20" customHeight="1">
      <x:c r="A33" s="4" t="inlineStr">
        <x:is>
          <x:t xml:space="preserve">LINE-00032</x:t>
        </x:is>
      </x:c>
      <x:c r="B33" s="4" t="inlineStr">
        <x:is>
          <x:t xml:space="preserve">ORD-2025-0020</x:t>
        </x:is>
      </x:c>
      <x:c r="C33" s="17" t="n">
        <x:v>45839</x:v>
      </x:c>
      <x:c r="D33" s="4" t="inlineStr">
        <x:is>
          <x:t xml:space="preserve">CUS-0217</x:t>
        </x:is>
      </x:c>
      <x:c r="E33" s="4" t="inlineStr">
        <x:is>
          <x:t xml:space="preserve">Monitor</x:t>
        </x:is>
      </x:c>
      <x:c r="F33" s="4" t="inlineStr">
        <x:is>
          <x:t xml:space="preserve">Computers</x:t>
        </x:is>
      </x:c>
      <x:c r="G33" s="4" t="inlineStr">
        <x:is>
          <x:t xml:space="preserve">Seattle</x:t>
        </x:is>
      </x:c>
      <x:c r="H33" s="18" t="n">
        <x:v>1</x:v>
      </x:c>
      <x:c r="I33" s="19" t="n">
        <x:v>265.82</x:v>
      </x:c>
      <x:c r="J33" s="20" t="n">
        <x:v>0.05</x:v>
      </x:c>
      <x:c r="K33" s="4" t="inlineStr">
        <x:is>
          <x:t xml:space="preserve">Bank Transfer</x:t>
        </x:is>
      </x:c>
      <x:c r="L33" s="19" t="n">
        <x:v>265.82</x:v>
      </x:c>
      <x:c r="M33" s="19" t="n">
        <x:v>13.29</x:v>
      </x:c>
      <x:c r="N33" s="19" t="n">
        <x:v>252.53</x:v>
      </x:c>
      <x:c r="O33" s="4" t="n">
        <x:f>YEAR(C33)</x:f>
        <x:v>2025</x:v>
      </x:c>
      <x:c r="P33" s="4" t="str">
        <x:f>TEXT(C33,"yyyy-mm")</x:f>
        <x:v>2025-07</x:v>
      </x:c>
      <x:c r="Q33" s="4" t="str">
        <x:f>TEXT(C33,"mmmm")</x:f>
        <x:v>July</x:v>
      </x:c>
    </x:row>
    <x:row r="34" ht="20" customHeight="1">
      <x:c r="A34" s="4" t="inlineStr">
        <x:is>
          <x:t xml:space="preserve">LINE-00033</x:t>
        </x:is>
      </x:c>
      <x:c r="B34" s="4" t="inlineStr">
        <x:is>
          <x:t xml:space="preserve">ORD-2025-0021</x:t>
        </x:is>
      </x:c>
      <x:c r="C34" s="17" t="n">
        <x:v>45696</x:v>
      </x:c>
      <x:c r="D34" s="4" t="inlineStr">
        <x:is>
          <x:t xml:space="preserve">CUS-0227</x:t>
        </x:is>
      </x:c>
      <x:c r="E34" s="4" t="inlineStr">
        <x:is>
          <x:t xml:space="preserve">External SSD</x:t>
        </x:is>
      </x:c>
      <x:c r="F34" s="4" t="inlineStr">
        <x:is>
          <x:t xml:space="preserve">Storage</x:t>
        </x:is>
      </x:c>
      <x:c r="G34" s="4" t="inlineStr">
        <x:is>
          <x:t xml:space="preserve">Boston</x:t>
        </x:is>
      </x:c>
      <x:c r="H34" s="18" t="n">
        <x:v>3</x:v>
      </x:c>
      <x:c r="I34" s="19" t="n">
        <x:v>161.26</x:v>
      </x:c>
      <x:c r="J34" s="20" t="n">
        <x:v>0.15</x:v>
      </x:c>
      <x:c r="K34" s="4" t="inlineStr">
        <x:is>
          <x:t xml:space="preserve">Credit Card</x:t>
        </x:is>
      </x:c>
      <x:c r="L34" s="19" t="n">
        <x:v>483.78</x:v>
      </x:c>
      <x:c r="M34" s="19" t="n">
        <x:v>72.56999999999999</x:v>
      </x:c>
      <x:c r="N34" s="19" t="n">
        <x:v>411.21</x:v>
      </x:c>
      <x:c r="O34" s="4" t="n">
        <x:f>YEAR(C34)</x:f>
        <x:v>2025</x:v>
      </x:c>
      <x:c r="P34" s="4" t="str">
        <x:f>TEXT(C34,"yyyy-mm")</x:f>
        <x:v>2025-02</x:v>
      </x:c>
      <x:c r="Q34" s="4" t="str">
        <x:f>TEXT(C34,"mmmm")</x:f>
        <x:v>February</x:v>
      </x:c>
    </x:row>
    <x:row r="35" ht="20" customHeight="1">
      <x:c r="A35" s="4" t="inlineStr">
        <x:is>
          <x:t xml:space="preserve">LINE-00034</x:t>
        </x:is>
      </x:c>
      <x:c r="B35" s="4" t="inlineStr">
        <x:is>
          <x:t xml:space="preserve">ORD-2025-0022</x:t>
        </x:is>
      </x:c>
      <x:c r="C35" s="17" t="n">
        <x:v>45779</x:v>
      </x:c>
      <x:c r="D35" s="4" t="inlineStr">
        <x:is>
          <x:t xml:space="preserve">CUS-0086</x:t>
        </x:is>
      </x:c>
      <x:c r="E35" s="4" t="inlineStr">
        <x:is>
          <x:t xml:space="preserve">Headphones</x:t>
        </x:is>
      </x:c>
      <x:c r="F35" s="4" t="inlineStr">
        <x:is>
          <x:t xml:space="preserve">Audio</x:t>
        </x:is>
      </x:c>
      <x:c r="G35" s="4" t="inlineStr">
        <x:is>
          <x:t xml:space="preserve">Seattle</x:t>
        </x:is>
      </x:c>
      <x:c r="H35" s="18" t="n">
        <x:v>4</x:v>
      </x:c>
      <x:c r="I35" s="19" t="n">
        <x:v>123.02</x:v>
      </x:c>
      <x:c r="J35" s="20" t="n">
        <x:v>0</x:v>
      </x:c>
      <x:c r="K35" s="4" t="inlineStr">
        <x:is>
          <x:t xml:space="preserve">Bank Transfer</x:t>
        </x:is>
      </x:c>
      <x:c r="L35" s="19" t="n">
        <x:v>492.08</x:v>
      </x:c>
      <x:c r="M35" s="19" t="n">
        <x:v>0</x:v>
      </x:c>
      <x:c r="N35" s="19" t="n">
        <x:v>492.08</x:v>
      </x:c>
      <x:c r="O35" s="4" t="n">
        <x:f>YEAR(C35)</x:f>
        <x:v>2025</x:v>
      </x:c>
      <x:c r="P35" s="4" t="str">
        <x:f>TEXT(C35,"yyyy-mm")</x:f>
        <x:v>2025-05</x:v>
      </x:c>
      <x:c r="Q35" s="4" t="str">
        <x:f>TEXT(C35,"mmmm")</x:f>
        <x:v>May</x:v>
      </x:c>
    </x:row>
    <x:row r="36" ht="20" customHeight="1">
      <x:c r="A36" s="4" t="inlineStr">
        <x:is>
          <x:t xml:space="preserve">LINE-00035</x:t>
        </x:is>
      </x:c>
      <x:c r="B36" s="4" t="inlineStr">
        <x:is>
          <x:t xml:space="preserve">ORD-2025-0023</x:t>
        </x:is>
      </x:c>
      <x:c r="C36" s="17" t="n">
        <x:v>45857</x:v>
      </x:c>
      <x:c r="D36" s="4" t="inlineStr">
        <x:is>
          <x:t xml:space="preserve">CUS-0136</x:t>
        </x:is>
      </x:c>
      <x:c r="E36" s="4" t="inlineStr">
        <x:is>
          <x:t xml:space="preserve">Desk Lamp</x:t>
        </x:is>
      </x:c>
      <x:c r="F36" s="4" t="inlineStr">
        <x:is>
          <x:t xml:space="preserve">Furniture</x:t>
        </x:is>
      </x:c>
      <x:c r="G36" s="4" t="inlineStr">
        <x:is>
          <x:t xml:space="preserve">Seattle</x:t>
        </x:is>
      </x:c>
      <x:c r="H36" s="18" t="n">
        <x:v>5</x:v>
      </x:c>
      <x:c r="I36" s="19" t="n">
        <x:v>55.49</x:v>
      </x:c>
      <x:c r="J36" s="20" t="n">
        <x:v>0.1</x:v>
      </x:c>
      <x:c r="K36" s="4" t="inlineStr">
        <x:is>
          <x:t xml:space="preserve">PayPal</x:t>
        </x:is>
      </x:c>
      <x:c r="L36" s="19" t="n">
        <x:v>277.45</x:v>
      </x:c>
      <x:c r="M36" s="19" t="n">
        <x:v>27.74</x:v>
      </x:c>
      <x:c r="N36" s="19" t="n">
        <x:v>249.71</x:v>
      </x:c>
      <x:c r="O36" s="4" t="n">
        <x:f>YEAR(C36)</x:f>
        <x:v>2025</x:v>
      </x:c>
      <x:c r="P36" s="4" t="str">
        <x:f>TEXT(C36,"yyyy-mm")</x:f>
        <x:v>2025-07</x:v>
      </x:c>
      <x:c r="Q36" s="4" t="str">
        <x:f>TEXT(C36,"mmmm")</x:f>
        <x:v>July</x:v>
      </x:c>
    </x:row>
    <x:row r="37" ht="20" customHeight="1">
      <x:c r="A37" s="4" t="inlineStr">
        <x:is>
          <x:t xml:space="preserve">LINE-00036</x:t>
        </x:is>
      </x:c>
      <x:c r="B37" s="4" t="inlineStr">
        <x:is>
          <x:t xml:space="preserve">ORD-2025-0024</x:t>
        </x:is>
      </x:c>
      <x:c r="C37" s="17" t="n">
        <x:v>45737</x:v>
      </x:c>
      <x:c r="D37" s="4" t="inlineStr">
        <x:is>
          <x:t xml:space="preserve">CUS-0098</x:t>
        </x:is>
      </x:c>
      <x:c r="E37" s="4" t="inlineStr">
        <x:is>
          <x:t xml:space="preserve">USB Flash Drive</x:t>
        </x:is>
      </x:c>
      <x:c r="F37" s="4" t="inlineStr">
        <x:is>
          <x:t xml:space="preserve">Storage</x:t>
        </x:is>
      </x:c>
      <x:c r="G37" s="4" t="inlineStr">
        <x:is>
          <x:t xml:space="preserve">Austin</x:t>
        </x:is>
      </x:c>
      <x:c r="H37" s="18" t="n">
        <x:v>3</x:v>
      </x:c>
      <x:c r="I37" s="19" t="n">
        <x:v>27.87</x:v>
      </x:c>
      <x:c r="J37" s="20" t="n">
        <x:v>0.05</x:v>
      </x:c>
      <x:c r="K37" s="4" t="inlineStr">
        <x:is>
          <x:t xml:space="preserve">Debit Card</x:t>
        </x:is>
      </x:c>
      <x:c r="L37" s="19" t="n">
        <x:v>83.61</x:v>
      </x:c>
      <x:c r="M37" s="19" t="n">
        <x:v>4.18</x:v>
      </x:c>
      <x:c r="N37" s="19" t="n">
        <x:v>79.43000000000001</x:v>
      </x:c>
      <x:c r="O37" s="4" t="n">
        <x:f>YEAR(C37)</x:f>
        <x:v>2025</x:v>
      </x:c>
      <x:c r="P37" s="4" t="str">
        <x:f>TEXT(C37,"yyyy-mm")</x:f>
        <x:v>2025-03</x:v>
      </x:c>
      <x:c r="Q37" s="4" t="str">
        <x:f>TEXT(C37,"mmmm")</x:f>
        <x:v>March</x:v>
      </x:c>
    </x:row>
    <x:row r="38" ht="20" customHeight="1">
      <x:c r="A38" s="4" t="inlineStr">
        <x:is>
          <x:t xml:space="preserve">LINE-00037</x:t>
        </x:is>
      </x:c>
      <x:c r="B38" s="4" t="inlineStr">
        <x:is>
          <x:t xml:space="preserve">ORD-2025-0024</x:t>
        </x:is>
      </x:c>
      <x:c r="C38" s="17" t="n">
        <x:v>45737</x:v>
      </x:c>
      <x:c r="D38" s="4" t="inlineStr">
        <x:is>
          <x:t xml:space="preserve">CUS-0098</x:t>
        </x:is>
      </x:c>
      <x:c r="E38" s="4" t="inlineStr">
        <x:is>
          <x:t xml:space="preserve">External SSD</x:t>
        </x:is>
      </x:c>
      <x:c r="F38" s="4" t="inlineStr">
        <x:is>
          <x:t xml:space="preserve">Storage</x:t>
        </x:is>
      </x:c>
      <x:c r="G38" s="4" t="inlineStr">
        <x:is>
          <x:t xml:space="preserve">Austin</x:t>
        </x:is>
      </x:c>
      <x:c r="H38" s="18" t="n">
        <x:v>2</x:v>
      </x:c>
      <x:c r="I38" s="19" t="n">
        <x:v>158.47</x:v>
      </x:c>
      <x:c r="J38" s="20" t="n">
        <x:v>0</x:v>
      </x:c>
      <x:c r="K38" s="4" t="inlineStr">
        <x:is>
          <x:t xml:space="preserve">Debit Card</x:t>
        </x:is>
      </x:c>
      <x:c r="L38" s="19" t="n">
        <x:v>316.94</x:v>
      </x:c>
      <x:c r="M38" s="19" t="n">
        <x:v>0</x:v>
      </x:c>
      <x:c r="N38" s="19" t="n">
        <x:v>316.94</x:v>
      </x:c>
      <x:c r="O38" s="4" t="n">
        <x:f>YEAR(C38)</x:f>
        <x:v>2025</x:v>
      </x:c>
      <x:c r="P38" s="4" t="str">
        <x:f>TEXT(C38,"yyyy-mm")</x:f>
        <x:v>2025-03</x:v>
      </x:c>
      <x:c r="Q38" s="4" t="str">
        <x:f>TEXT(C38,"mmmm")</x:f>
        <x:v>March</x:v>
      </x:c>
    </x:row>
    <x:row r="39" ht="20" customHeight="1">
      <x:c r="A39" s="4" t="inlineStr">
        <x:is>
          <x:t xml:space="preserve">LINE-00038</x:t>
        </x:is>
      </x:c>
      <x:c r="B39" s="4" t="inlineStr">
        <x:is>
          <x:t xml:space="preserve">ORD-2025-0024</x:t>
        </x:is>
      </x:c>
      <x:c r="C39" s="17" t="n">
        <x:v>45737</x:v>
      </x:c>
      <x:c r="D39" s="4" t="inlineStr">
        <x:is>
          <x:t xml:space="preserve">CUS-0098</x:t>
        </x:is>
      </x:c>
      <x:c r="E39" s="4" t="inlineStr">
        <x:is>
          <x:t xml:space="preserve">Laptop</x:t>
        </x:is>
      </x:c>
      <x:c r="F39" s="4" t="inlineStr">
        <x:is>
          <x:t xml:space="preserve">Computers</x:t>
        </x:is>
      </x:c>
      <x:c r="G39" s="4" t="inlineStr">
        <x:is>
          <x:t xml:space="preserve">Austin</x:t>
        </x:is>
      </x:c>
      <x:c r="H39" s="18" t="n">
        <x:v>5</x:v>
      </x:c>
      <x:c r="I39" s="19" t="n">
        <x:v>886.1799999999999</x:v>
      </x:c>
      <x:c r="J39" s="20" t="n">
        <x:v>0</x:v>
      </x:c>
      <x:c r="K39" s="4" t="inlineStr">
        <x:is>
          <x:t xml:space="preserve">Debit Card</x:t>
        </x:is>
      </x:c>
      <x:c r="L39" s="19" t="n">
        <x:v>4430.9</x:v>
      </x:c>
      <x:c r="M39" s="19" t="n">
        <x:v>0</x:v>
      </x:c>
      <x:c r="N39" s="19" t="n">
        <x:v>4430.9</x:v>
      </x:c>
      <x:c r="O39" s="4" t="n">
        <x:f>YEAR(C39)</x:f>
        <x:v>2025</x:v>
      </x:c>
      <x:c r="P39" s="4" t="str">
        <x:f>TEXT(C39,"yyyy-mm")</x:f>
        <x:v>2025-03</x:v>
      </x:c>
      <x:c r="Q39" s="4" t="str">
        <x:f>TEXT(C39,"mmmm")</x:f>
        <x:v>March</x:v>
      </x:c>
    </x:row>
    <x:row r="40" ht="20" customHeight="1">
      <x:c r="A40" s="4" t="inlineStr">
        <x:is>
          <x:t xml:space="preserve">LINE-00039</x:t>
        </x:is>
      </x:c>
      <x:c r="B40" s="4" t="inlineStr">
        <x:is>
          <x:t xml:space="preserve">ORD-2025-0025</x:t>
        </x:is>
      </x:c>
      <x:c r="C40" s="17" t="n">
        <x:v>45962</x:v>
      </x:c>
      <x:c r="D40" s="4" t="inlineStr">
        <x:is>
          <x:t xml:space="preserve">CUS-0035</x:t>
        </x:is>
      </x:c>
      <x:c r="E40" s="4" t="inlineStr">
        <x:is>
          <x:t xml:space="preserve">USB Flash Drive</x:t>
        </x:is>
      </x:c>
      <x:c r="F40" s="4" t="inlineStr">
        <x:is>
          <x:t xml:space="preserve">Storage</x:t>
        </x:is>
      </x:c>
      <x:c r="G40" s="4" t="inlineStr">
        <x:is>
          <x:t xml:space="preserve">San Francisco</x:t>
        </x:is>
      </x:c>
      <x:c r="H40" s="18" t="n">
        <x:v>1</x:v>
      </x:c>
      <x:c r="I40" s="19" t="n">
        <x:v>30.45</x:v>
      </x:c>
      <x:c r="J40" s="20" t="n">
        <x:v>0.05</x:v>
      </x:c>
      <x:c r="K40" s="4" t="inlineStr">
        <x:is>
          <x:t xml:space="preserve">Debit Card</x:t>
        </x:is>
      </x:c>
      <x:c r="L40" s="19" t="n">
        <x:v>30.45</x:v>
      </x:c>
      <x:c r="M40" s="19" t="n">
        <x:v>1.52</x:v>
      </x:c>
      <x:c r="N40" s="19" t="n">
        <x:v>28.93</x:v>
      </x:c>
      <x:c r="O40" s="4" t="n">
        <x:f>YEAR(C40)</x:f>
        <x:v>2025</x:v>
      </x:c>
      <x:c r="P40" s="4" t="str">
        <x:f>TEXT(C40,"yyyy-mm")</x:f>
        <x:v>2025-11</x:v>
      </x:c>
      <x:c r="Q40" s="4" t="str">
        <x:f>TEXT(C40,"mmmm")</x:f>
        <x:v>November</x:v>
      </x:c>
    </x:row>
    <x:row r="41" ht="20" customHeight="1">
      <x:c r="A41" s="4" t="inlineStr">
        <x:is>
          <x:t xml:space="preserve">LINE-00040</x:t>
        </x:is>
      </x:c>
      <x:c r="B41" s="4" t="inlineStr">
        <x:is>
          <x:t xml:space="preserve">ORD-2025-0026</x:t>
        </x:is>
      </x:c>
      <x:c r="C41" s="17" t="n">
        <x:v>45872</x:v>
      </x:c>
      <x:c r="D41" s="4" t="inlineStr">
        <x:is>
          <x:t xml:space="preserve">CUS-0337</x:t>
        </x:is>
      </x:c>
      <x:c r="E41" s="4" t="inlineStr">
        <x:is>
          <x:t xml:space="preserve">Wireless Mouse</x:t>
        </x:is>
      </x:c>
      <x:c r="F41" s="4" t="inlineStr">
        <x:is>
          <x:t xml:space="preserve">Accessories</x:t>
        </x:is>
      </x:c>
      <x:c r="G41" s="4" t="inlineStr">
        <x:is>
          <x:t xml:space="preserve">Boston</x:t>
        </x:is>
      </x:c>
      <x:c r="H41" s="18" t="n">
        <x:v>1</x:v>
      </x:c>
      <x:c r="I41" s="19" t="n">
        <x:v>44.25</x:v>
      </x:c>
      <x:c r="J41" s="20" t="n">
        <x:v>0.05</x:v>
      </x:c>
      <x:c r="K41" s="4" t="inlineStr">
        <x:is>
          <x:t xml:space="preserve">PayPal</x:t>
        </x:is>
      </x:c>
      <x:c r="L41" s="19" t="n">
        <x:v>44.25</x:v>
      </x:c>
      <x:c r="M41" s="19" t="n">
        <x:v>2.21</x:v>
      </x:c>
      <x:c r="N41" s="19" t="n">
        <x:v>42.04</x:v>
      </x:c>
      <x:c r="O41" s="4" t="n">
        <x:f>YEAR(C41)</x:f>
        <x:v>2025</x:v>
      </x:c>
      <x:c r="P41" s="4" t="str">
        <x:f>TEXT(C41,"yyyy-mm")</x:f>
        <x:v>2025-08</x:v>
      </x:c>
      <x:c r="Q41" s="4" t="str">
        <x:f>TEXT(C41,"mmmm")</x:f>
        <x:v>August</x:v>
      </x:c>
    </x:row>
    <x:row r="42" ht="20" customHeight="1">
      <x:c r="A42" s="4" t="inlineStr">
        <x:is>
          <x:t xml:space="preserve">LINE-00041</x:t>
        </x:is>
      </x:c>
      <x:c r="B42" s="4" t="inlineStr">
        <x:is>
          <x:t xml:space="preserve">ORD-2025-0026</x:t>
        </x:is>
      </x:c>
      <x:c r="C42" s="17" t="n">
        <x:v>45872</x:v>
      </x:c>
      <x:c r="D42" s="4" t="inlineStr">
        <x:is>
          <x:t xml:space="preserve">CUS-0337</x:t>
        </x:is>
      </x:c>
      <x:c r="E42" s="4" t="inlineStr">
        <x:is>
          <x:t xml:space="preserve">Office Chair</x:t>
        </x:is>
      </x:c>
      <x:c r="F42" s="4" t="inlineStr">
        <x:is>
          <x:t xml:space="preserve">Furniture</x:t>
        </x:is>
      </x:c>
      <x:c r="G42" s="4" t="inlineStr">
        <x:is>
          <x:t xml:space="preserve">Boston</x:t>
        </x:is>
      </x:c>
      <x:c r="H42" s="18" t="n">
        <x:v>1</x:v>
      </x:c>
      <x:c r="I42" s="19" t="n">
        <x:v>232.94</x:v>
      </x:c>
      <x:c r="J42" s="20" t="n">
        <x:v>0.1</x:v>
      </x:c>
      <x:c r="K42" s="4" t="inlineStr">
        <x:is>
          <x:t xml:space="preserve">PayPal</x:t>
        </x:is>
      </x:c>
      <x:c r="L42" s="19" t="n">
        <x:v>232.94</x:v>
      </x:c>
      <x:c r="M42" s="19" t="n">
        <x:v>23.29</x:v>
      </x:c>
      <x:c r="N42" s="19" t="n">
        <x:v>209.65</x:v>
      </x:c>
      <x:c r="O42" s="4" t="n">
        <x:f>YEAR(C42)</x:f>
        <x:v>2025</x:v>
      </x:c>
      <x:c r="P42" s="4" t="str">
        <x:f>TEXT(C42,"yyyy-mm")</x:f>
        <x:v>2025-08</x:v>
      </x:c>
      <x:c r="Q42" s="4" t="str">
        <x:f>TEXT(C42,"mmmm")</x:f>
        <x:v>August</x:v>
      </x:c>
    </x:row>
    <x:row r="43" ht="20" customHeight="1">
      <x:c r="A43" s="4" t="inlineStr">
        <x:is>
          <x:t xml:space="preserve">LINE-00042</x:t>
        </x:is>
      </x:c>
      <x:c r="B43" s="4" t="inlineStr">
        <x:is>
          <x:t xml:space="preserve">ORD-2025-0026</x:t>
        </x:is>
      </x:c>
      <x:c r="C43" s="17" t="n">
        <x:v>45872</x:v>
      </x:c>
      <x:c r="D43" s="4" t="inlineStr">
        <x:is>
          <x:t xml:space="preserve">CUS-0337</x:t>
        </x:is>
      </x:c>
      <x:c r="E43" s="4" t="inlineStr">
        <x:is>
          <x:t xml:space="preserve">Webcam</x:t>
        </x:is>
      </x:c>
      <x:c r="F43" s="4" t="inlineStr">
        <x:is>
          <x:t xml:space="preserve">Accessories</x:t>
        </x:is>
      </x:c>
      <x:c r="G43" s="4" t="inlineStr">
        <x:is>
          <x:t xml:space="preserve">Boston</x:t>
        </x:is>
      </x:c>
      <x:c r="H43" s="18" t="n">
        <x:v>1</x:v>
      </x:c>
      <x:c r="I43" s="19" t="n">
        <x:v>89.40000000000001</x:v>
      </x:c>
      <x:c r="J43" s="20" t="n">
        <x:v>0.2</x:v>
      </x:c>
      <x:c r="K43" s="4" t="inlineStr">
        <x:is>
          <x:t xml:space="preserve">PayPal</x:t>
        </x:is>
      </x:c>
      <x:c r="L43" s="19" t="n">
        <x:v>89.40000000000001</x:v>
      </x:c>
      <x:c r="M43" s="19" t="n">
        <x:v>17.88</x:v>
      </x:c>
      <x:c r="N43" s="19" t="n">
        <x:v>71.52</x:v>
      </x:c>
      <x:c r="O43" s="4" t="n">
        <x:f>YEAR(C43)</x:f>
        <x:v>2025</x:v>
      </x:c>
      <x:c r="P43" s="4" t="str">
        <x:f>TEXT(C43,"yyyy-mm")</x:f>
        <x:v>2025-08</x:v>
      </x:c>
      <x:c r="Q43" s="4" t="str">
        <x:f>TEXT(C43,"mmmm")</x:f>
        <x:v>August</x:v>
      </x:c>
    </x:row>
    <x:row r="44" ht="20" customHeight="1">
      <x:c r="A44" s="4" t="inlineStr">
        <x:is>
          <x:t xml:space="preserve">LINE-00043</x:t>
        </x:is>
      </x:c>
      <x:c r="B44" s="4" t="inlineStr">
        <x:is>
          <x:t xml:space="preserve">ORD-2025-0027</x:t>
        </x:is>
      </x:c>
      <x:c r="C44" s="17" t="n">
        <x:v>45709</x:v>
      </x:c>
      <x:c r="D44" s="4" t="inlineStr">
        <x:is>
          <x:t xml:space="preserve">CUS-0038</x:t>
        </x:is>
      </x:c>
      <x:c r="E44" s="4" t="inlineStr">
        <x:is>
          <x:t xml:space="preserve">Keyboard</x:t>
        </x:is>
      </x:c>
      <x:c r="F44" s="4" t="inlineStr">
        <x:is>
          <x:t xml:space="preserve">Accessories</x:t>
        </x:is>
      </x:c>
      <x:c r="G44" s="4" t="inlineStr">
        <x:is>
          <x:t xml:space="preserve">Boston</x:t>
        </x:is>
      </x:c>
      <x:c r="H44" s="18" t="n">
        <x:v>4</x:v>
      </x:c>
      <x:c r="I44" s="19" t="n">
        <x:v>79.55</x:v>
      </x:c>
      <x:c r="J44" s="20" t="n">
        <x:v>0</x:v>
      </x:c>
      <x:c r="K44" s="4" t="inlineStr">
        <x:is>
          <x:t xml:space="preserve">Debit Card</x:t>
        </x:is>
      </x:c>
      <x:c r="L44" s="19" t="n">
        <x:v>318.2</x:v>
      </x:c>
      <x:c r="M44" s="19" t="n">
        <x:v>0</x:v>
      </x:c>
      <x:c r="N44" s="19" t="n">
        <x:v>318.2</x:v>
      </x:c>
      <x:c r="O44" s="4" t="n">
        <x:f>YEAR(C44)</x:f>
        <x:v>2025</x:v>
      </x:c>
      <x:c r="P44" s="4" t="str">
        <x:f>TEXT(C44,"yyyy-mm")</x:f>
        <x:v>2025-02</x:v>
      </x:c>
      <x:c r="Q44" s="4" t="str">
        <x:f>TEXT(C44,"mmmm")</x:f>
        <x:v>February</x:v>
      </x:c>
    </x:row>
    <x:row r="45" ht="20" customHeight="1">
      <x:c r="A45" s="4" t="inlineStr">
        <x:is>
          <x:t xml:space="preserve">LINE-00044</x:t>
        </x:is>
      </x:c>
      <x:c r="B45" s="4" t="inlineStr">
        <x:is>
          <x:t xml:space="preserve">ORD-2025-0027</x:t>
        </x:is>
      </x:c>
      <x:c r="C45" s="17" t="n">
        <x:v>45709</x:v>
      </x:c>
      <x:c r="D45" s="4" t="inlineStr">
        <x:is>
          <x:t xml:space="preserve">CUS-0038</x:t>
        </x:is>
      </x:c>
      <x:c r="E45" s="4" t="inlineStr">
        <x:is>
          <x:t xml:space="preserve">Webcam</x:t>
        </x:is>
      </x:c>
      <x:c r="F45" s="4" t="inlineStr">
        <x:is>
          <x:t xml:space="preserve">Accessories</x:t>
        </x:is>
      </x:c>
      <x:c r="G45" s="4" t="inlineStr">
        <x:is>
          <x:t xml:space="preserve">Boston</x:t>
        </x:is>
      </x:c>
      <x:c r="H45" s="18" t="n">
        <x:v>1</x:v>
      </x:c>
      <x:c r="I45" s="19" t="n">
        <x:v>94.81</x:v>
      </x:c>
      <x:c r="J45" s="20" t="n">
        <x:v>0.1</x:v>
      </x:c>
      <x:c r="K45" s="4" t="inlineStr">
        <x:is>
          <x:t xml:space="preserve">Debit Card</x:t>
        </x:is>
      </x:c>
      <x:c r="L45" s="19" t="n">
        <x:v>94.81</x:v>
      </x:c>
      <x:c r="M45" s="19" t="n">
        <x:v>9.48</x:v>
      </x:c>
      <x:c r="N45" s="19" t="n">
        <x:v>85.33</x:v>
      </x:c>
      <x:c r="O45" s="4" t="n">
        <x:f>YEAR(C45)</x:f>
        <x:v>2025</x:v>
      </x:c>
      <x:c r="P45" s="4" t="str">
        <x:f>TEXT(C45,"yyyy-mm")</x:f>
        <x:v>2025-02</x:v>
      </x:c>
      <x:c r="Q45" s="4" t="str">
        <x:f>TEXT(C45,"mmmm")</x:f>
        <x:v>February</x:v>
      </x:c>
    </x:row>
    <x:row r="46" ht="20" customHeight="1">
      <x:c r="A46" s="4" t="inlineStr">
        <x:is>
          <x:t xml:space="preserve">LINE-00045</x:t>
        </x:is>
      </x:c>
      <x:c r="B46" s="4" t="inlineStr">
        <x:is>
          <x:t xml:space="preserve">ORD-2025-0028</x:t>
        </x:is>
      </x:c>
      <x:c r="C46" s="17" t="n">
        <x:v>45971</x:v>
      </x:c>
      <x:c r="D46" s="4" t="inlineStr">
        <x:is>
          <x:t xml:space="preserve">CUS-0335</x:t>
        </x:is>
      </x:c>
      <x:c r="E46" s="4" t="inlineStr">
        <x:is>
          <x:t xml:space="preserve">External SSD</x:t>
        </x:is>
      </x:c>
      <x:c r="F46" s="4" t="inlineStr">
        <x:is>
          <x:t xml:space="preserve">Storage</x:t>
        </x:is>
      </x:c>
      <x:c r="G46" s="4" t="inlineStr">
        <x:is>
          <x:t xml:space="preserve">Boston</x:t>
        </x:is>
      </x:c>
      <x:c r="H46" s="18" t="n">
        <x:v>4</x:v>
      </x:c>
      <x:c r="I46" s="19" t="n">
        <x:v>140.49</x:v>
      </x:c>
      <x:c r="J46" s="20" t="n">
        <x:v>0.15</x:v>
      </x:c>
      <x:c r="K46" s="4" t="inlineStr">
        <x:is>
          <x:t xml:space="preserve">Credit Card</x:t>
        </x:is>
      </x:c>
      <x:c r="L46" s="19" t="n">
        <x:v>561.96</x:v>
      </x:c>
      <x:c r="M46" s="19" t="n">
        <x:v>84.29000000000001</x:v>
      </x:c>
      <x:c r="N46" s="19" t="n">
        <x:v>477.67</x:v>
      </x:c>
      <x:c r="O46" s="4" t="n">
        <x:f>YEAR(C46)</x:f>
        <x:v>2025</x:v>
      </x:c>
      <x:c r="P46" s="4" t="str">
        <x:f>TEXT(C46,"yyyy-mm")</x:f>
        <x:v>2025-11</x:v>
      </x:c>
      <x:c r="Q46" s="4" t="str">
        <x:f>TEXT(C46,"mmmm")</x:f>
        <x:v>November</x:v>
      </x:c>
    </x:row>
    <x:row r="47" ht="20" customHeight="1">
      <x:c r="A47" s="4" t="inlineStr">
        <x:is>
          <x:t xml:space="preserve">LINE-00046</x:t>
        </x:is>
      </x:c>
      <x:c r="B47" s="4" t="inlineStr">
        <x:is>
          <x:t xml:space="preserve">ORD-2025-0028</x:t>
        </x:is>
      </x:c>
      <x:c r="C47" s="17" t="n">
        <x:v>45971</x:v>
      </x:c>
      <x:c r="D47" s="4" t="inlineStr">
        <x:is>
          <x:t xml:space="preserve">CUS-0335</x:t>
        </x:is>
      </x:c>
      <x:c r="E47" s="4" t="inlineStr">
        <x:is>
          <x:t xml:space="preserve">USB-C Hub</x:t>
        </x:is>
      </x:c>
      <x:c r="F47" s="4" t="inlineStr">
        <x:is>
          <x:t xml:space="preserve">Accessories</x:t>
        </x:is>
      </x:c>
      <x:c r="G47" s="4" t="inlineStr">
        <x:is>
          <x:t xml:space="preserve">Boston</x:t>
        </x:is>
      </x:c>
      <x:c r="H47" s="18" t="n">
        <x:v>1</x:v>
      </x:c>
      <x:c r="I47" s="19" t="n">
        <x:v>69.05</x:v>
      </x:c>
      <x:c r="J47" s="20" t="n">
        <x:v>0.1</x:v>
      </x:c>
      <x:c r="K47" s="4" t="inlineStr">
        <x:is>
          <x:t xml:space="preserve">Credit Card</x:t>
        </x:is>
      </x:c>
      <x:c r="L47" s="19" t="n">
        <x:v>69.05</x:v>
      </x:c>
      <x:c r="M47" s="19" t="n">
        <x:v>6.9</x:v>
      </x:c>
      <x:c r="N47" s="19" t="n">
        <x:v>62.15</x:v>
      </x:c>
      <x:c r="O47" s="4" t="n">
        <x:f>YEAR(C47)</x:f>
        <x:v>2025</x:v>
      </x:c>
      <x:c r="P47" s="4" t="str">
        <x:f>TEXT(C47,"yyyy-mm")</x:f>
        <x:v>2025-11</x:v>
      </x:c>
      <x:c r="Q47" s="4" t="str">
        <x:f>TEXT(C47,"mmmm")</x:f>
        <x:v>November</x:v>
      </x:c>
    </x:row>
    <x:row r="48" ht="20" customHeight="1">
      <x:c r="A48" s="4" t="inlineStr">
        <x:is>
          <x:t xml:space="preserve">LINE-00047</x:t>
        </x:is>
      </x:c>
      <x:c r="B48" s="4" t="inlineStr">
        <x:is>
          <x:t xml:space="preserve">ORD-2025-0029</x:t>
        </x:is>
      </x:c>
      <x:c r="C48" s="17" t="n">
        <x:v>45737</x:v>
      </x:c>
      <x:c r="D48" s="4" t="inlineStr">
        <x:is>
          <x:t xml:space="preserve">CUS-0140</x:t>
        </x:is>
      </x:c>
      <x:c r="E48" s="4" t="inlineStr">
        <x:is>
          <x:t xml:space="preserve">Wireless Mouse</x:t>
        </x:is>
      </x:c>
      <x:c r="F48" s="4" t="inlineStr">
        <x:is>
          <x:t xml:space="preserve">Accessories</x:t>
        </x:is>
      </x:c>
      <x:c r="G48" s="4" t="inlineStr">
        <x:is>
          <x:t xml:space="preserve">Austin</x:t>
        </x:is>
      </x:c>
      <x:c r="H48" s="18" t="n">
        <x:v>2</x:v>
      </x:c>
      <x:c r="I48" s="19" t="n">
        <x:v>43.3</x:v>
      </x:c>
      <x:c r="J48" s="20" t="n">
        <x:v>0.05</x:v>
      </x:c>
      <x:c r="K48" s="4" t="inlineStr">
        <x:is>
          <x:t xml:space="preserve">Debit Card</x:t>
        </x:is>
      </x:c>
      <x:c r="L48" s="19" t="n">
        <x:v>86.59999999999999</x:v>
      </x:c>
      <x:c r="M48" s="19" t="n">
        <x:v>4.33</x:v>
      </x:c>
      <x:c r="N48" s="19" t="n">
        <x:v>82.27</x:v>
      </x:c>
      <x:c r="O48" s="4" t="n">
        <x:f>YEAR(C48)</x:f>
        <x:v>2025</x:v>
      </x:c>
      <x:c r="P48" s="4" t="str">
        <x:f>TEXT(C48,"yyyy-mm")</x:f>
        <x:v>2025-03</x:v>
      </x:c>
      <x:c r="Q48" s="4" t="str">
        <x:f>TEXT(C48,"mmmm")</x:f>
        <x:v>March</x:v>
      </x:c>
    </x:row>
    <x:row r="49" ht="20" customHeight="1">
      <x:c r="A49" s="4" t="inlineStr">
        <x:is>
          <x:t xml:space="preserve">LINE-00048</x:t>
        </x:is>
      </x:c>
      <x:c r="B49" s="4" t="inlineStr">
        <x:is>
          <x:t xml:space="preserve">ORD-2025-0029</x:t>
        </x:is>
      </x:c>
      <x:c r="C49" s="17" t="n">
        <x:v>45737</x:v>
      </x:c>
      <x:c r="D49" s="4" t="inlineStr">
        <x:is>
          <x:t xml:space="preserve">CUS-0140</x:t>
        </x:is>
      </x:c>
      <x:c r="E49" s="4" t="inlineStr">
        <x:is>
          <x:t xml:space="preserve">Office Chair</x:t>
        </x:is>
      </x:c>
      <x:c r="F49" s="4" t="inlineStr">
        <x:is>
          <x:t xml:space="preserve">Furniture</x:t>
        </x:is>
      </x:c>
      <x:c r="G49" s="4" t="inlineStr">
        <x:is>
          <x:t xml:space="preserve">Austin</x:t>
        </x:is>
      </x:c>
      <x:c r="H49" s="18" t="n">
        <x:v>4</x:v>
      </x:c>
      <x:c r="I49" s="19" t="n">
        <x:v>253.29</x:v>
      </x:c>
      <x:c r="J49" s="20" t="n">
        <x:v>0</x:v>
      </x:c>
      <x:c r="K49" s="4" t="inlineStr">
        <x:is>
          <x:t xml:space="preserve">Debit Card</x:t>
        </x:is>
      </x:c>
      <x:c r="L49" s="19" t="n">
        <x:v>1013.16</x:v>
      </x:c>
      <x:c r="M49" s="19" t="n">
        <x:v>0</x:v>
      </x:c>
      <x:c r="N49" s="19" t="n">
        <x:v>1013.16</x:v>
      </x:c>
      <x:c r="O49" s="4" t="n">
        <x:f>YEAR(C49)</x:f>
        <x:v>2025</x:v>
      </x:c>
      <x:c r="P49" s="4" t="str">
        <x:f>TEXT(C49,"yyyy-mm")</x:f>
        <x:v>2025-03</x:v>
      </x:c>
      <x:c r="Q49" s="4" t="str">
        <x:f>TEXT(C49,"mmmm")</x:f>
        <x:v>March</x:v>
      </x:c>
    </x:row>
    <x:row r="50" ht="20" customHeight="1">
      <x:c r="A50" s="4" t="inlineStr">
        <x:is>
          <x:t xml:space="preserve">LINE-00049</x:t>
        </x:is>
      </x:c>
      <x:c r="B50" s="4" t="inlineStr">
        <x:is>
          <x:t xml:space="preserve">ORD-2025-0030</x:t>
        </x:is>
      </x:c>
      <x:c r="C50" s="17" t="n">
        <x:v>45874</x:v>
      </x:c>
      <x:c r="D50" s="4" t="inlineStr">
        <x:is>
          <x:t xml:space="preserve">CUS-0142</x:t>
        </x:is>
      </x:c>
      <x:c r="E50" s="4" t="inlineStr">
        <x:is>
          <x:t xml:space="preserve">Keyboard</x:t>
        </x:is>
      </x:c>
      <x:c r="F50" s="4" t="inlineStr">
        <x:is>
          <x:t xml:space="preserve">Accessories</x:t>
        </x:is>
      </x:c>
      <x:c r="G50" s="4" t="inlineStr">
        <x:is>
          <x:t xml:space="preserve">New York</x:t>
        </x:is>
      </x:c>
      <x:c r="H50" s="18" t="n">
        <x:v>2</x:v>
      </x:c>
      <x:c r="I50" s="19" t="n">
        <x:v>72.14</x:v>
      </x:c>
      <x:c r="J50" s="20" t="n">
        <x:v>0.1</x:v>
      </x:c>
      <x:c r="K50" s="4" t="inlineStr">
        <x:is>
          <x:t xml:space="preserve">Credit Card</x:t>
        </x:is>
      </x:c>
      <x:c r="L50" s="19" t="n">
        <x:v>144.28</x:v>
      </x:c>
      <x:c r="M50" s="19" t="n">
        <x:v>14.43</x:v>
      </x:c>
      <x:c r="N50" s="19" t="n">
        <x:v>129.85</x:v>
      </x:c>
      <x:c r="O50" s="4" t="n">
        <x:f>YEAR(C50)</x:f>
        <x:v>2025</x:v>
      </x:c>
      <x:c r="P50" s="4" t="str">
        <x:f>TEXT(C50,"yyyy-mm")</x:f>
        <x:v>2025-08</x:v>
      </x:c>
      <x:c r="Q50" s="4" t="str">
        <x:f>TEXT(C50,"mmmm")</x:f>
        <x:v>August</x:v>
      </x:c>
    </x:row>
    <x:row r="51" ht="20" customHeight="1">
      <x:c r="A51" s="4" t="inlineStr">
        <x:is>
          <x:t xml:space="preserve">LINE-00050</x:t>
        </x:is>
      </x:c>
      <x:c r="B51" s="4" t="inlineStr">
        <x:is>
          <x:t xml:space="preserve">ORD-2025-0031</x:t>
        </x:is>
      </x:c>
      <x:c r="C51" s="17" t="n">
        <x:v>45940</x:v>
      </x:c>
      <x:c r="D51" s="4" t="inlineStr">
        <x:is>
          <x:t xml:space="preserve">CUS-0219</x:t>
        </x:is>
      </x:c>
      <x:c r="E51" s="4" t="inlineStr">
        <x:is>
          <x:t xml:space="preserve">Desk Lamp</x:t>
        </x:is>
      </x:c>
      <x:c r="F51" s="4" t="inlineStr">
        <x:is>
          <x:t xml:space="preserve">Furniture</x:t>
        </x:is>
      </x:c>
      <x:c r="G51" s="4" t="inlineStr">
        <x:is>
          <x:t xml:space="preserve">Boston</x:t>
        </x:is>
      </x:c>
      <x:c r="H51" s="18" t="n">
        <x:v>4</x:v>
      </x:c>
      <x:c r="I51" s="19" t="n">
        <x:v>55.4</x:v>
      </x:c>
      <x:c r="J51" s="20" t="n">
        <x:v>0.1</x:v>
      </x:c>
      <x:c r="K51" s="4" t="inlineStr">
        <x:is>
          <x:t xml:space="preserve">Credit Card</x:t>
        </x:is>
      </x:c>
      <x:c r="L51" s="19" t="n">
        <x:v>221.6</x:v>
      </x:c>
      <x:c r="M51" s="19" t="n">
        <x:v>22.16</x:v>
      </x:c>
      <x:c r="N51" s="19" t="n">
        <x:v>199.44</x:v>
      </x:c>
      <x:c r="O51" s="4" t="n">
        <x:f>YEAR(C51)</x:f>
        <x:v>2025</x:v>
      </x:c>
      <x:c r="P51" s="4" t="str">
        <x:f>TEXT(C51,"yyyy-mm")</x:f>
        <x:v>2025-10</x:v>
      </x:c>
      <x:c r="Q51" s="4" t="str">
        <x:f>TEXT(C51,"mmmm")</x:f>
        <x:v>October</x:v>
      </x:c>
    </x:row>
    <x:row r="52" ht="20" customHeight="1">
      <x:c r="A52" s="4" t="inlineStr">
        <x:is>
          <x:t xml:space="preserve">LINE-00051</x:t>
        </x:is>
      </x:c>
      <x:c r="B52" s="4" t="inlineStr">
        <x:is>
          <x:t xml:space="preserve">ORD-2025-0032</x:t>
        </x:is>
      </x:c>
      <x:c r="C52" s="17" t="n">
        <x:v>45956</x:v>
      </x:c>
      <x:c r="D52" s="4" t="inlineStr">
        <x:is>
          <x:t xml:space="preserve">CUS-0283</x:t>
        </x:is>
      </x:c>
      <x:c r="E52" s="4" t="inlineStr">
        <x:is>
          <x:t xml:space="preserve">USB-C Hub</x:t>
        </x:is>
      </x:c>
      <x:c r="F52" s="4" t="inlineStr">
        <x:is>
          <x:t xml:space="preserve">Accessories</x:t>
        </x:is>
      </x:c>
      <x:c r="G52" s="4" t="inlineStr">
        <x:is>
          <x:t xml:space="preserve">Chicago</x:t>
        </x:is>
      </x:c>
      <x:c r="H52" s="18" t="n">
        <x:v>1</x:v>
      </x:c>
      <x:c r="I52" s="19" t="n">
        <x:v>69.5</x:v>
      </x:c>
      <x:c r="J52" s="20" t="n">
        <x:v>0.2</x:v>
      </x:c>
      <x:c r="K52" s="4" t="inlineStr">
        <x:is>
          <x:t xml:space="preserve">Bank Transfer</x:t>
        </x:is>
      </x:c>
      <x:c r="L52" s="19" t="n">
        <x:v>69.5</x:v>
      </x:c>
      <x:c r="M52" s="19" t="n">
        <x:v>13.9</x:v>
      </x:c>
      <x:c r="N52" s="19" t="n">
        <x:v>55.6</x:v>
      </x:c>
      <x:c r="O52" s="4" t="n">
        <x:f>YEAR(C52)</x:f>
        <x:v>2025</x:v>
      </x:c>
      <x:c r="P52" s="4" t="str">
        <x:f>TEXT(C52,"yyyy-mm")</x:f>
        <x:v>2025-10</x:v>
      </x:c>
      <x:c r="Q52" s="4" t="str">
        <x:f>TEXT(C52,"mmmm")</x:f>
        <x:v>October</x:v>
      </x:c>
    </x:row>
    <x:row r="53" ht="20" customHeight="1">
      <x:c r="A53" s="4" t="inlineStr">
        <x:is>
          <x:t xml:space="preserve">LINE-00052</x:t>
        </x:is>
      </x:c>
      <x:c r="B53" s="4" t="inlineStr">
        <x:is>
          <x:t xml:space="preserve">ORD-2025-0033</x:t>
        </x:is>
      </x:c>
      <x:c r="C53" s="17" t="n">
        <x:v>45678</x:v>
      </x:c>
      <x:c r="D53" s="4" t="inlineStr">
        <x:is>
          <x:t xml:space="preserve">CUS-0184</x:t>
        </x:is>
      </x:c>
      <x:c r="E53" s="4" t="inlineStr">
        <x:is>
          <x:t xml:space="preserve">Webcam</x:t>
        </x:is>
      </x:c>
      <x:c r="F53" s="4" t="inlineStr">
        <x:is>
          <x:t xml:space="preserve">Accessories</x:t>
        </x:is>
      </x:c>
      <x:c r="G53" s="4" t="inlineStr">
        <x:is>
          <x:t xml:space="preserve">Chicago</x:t>
        </x:is>
      </x:c>
      <x:c r="H53" s="18" t="n">
        <x:v>4</x:v>
      </x:c>
      <x:c r="I53" s="19" t="n">
        <x:v>88.65000000000001</x:v>
      </x:c>
      <x:c r="J53" s="20" t="n">
        <x:v>0.05</x:v>
      </x:c>
      <x:c r="K53" s="4" t="inlineStr">
        <x:is>
          <x:t xml:space="preserve">Debit Card</x:t>
        </x:is>
      </x:c>
      <x:c r="L53" s="19" t="n">
        <x:v>354.6</x:v>
      </x:c>
      <x:c r="M53" s="19" t="n">
        <x:v>17.73</x:v>
      </x:c>
      <x:c r="N53" s="19" t="n">
        <x:v>336.87</x:v>
      </x:c>
      <x:c r="O53" s="4" t="n">
        <x:f>YEAR(C53)</x:f>
        <x:v>2025</x:v>
      </x:c>
      <x:c r="P53" s="4" t="str">
        <x:f>TEXT(C53,"yyyy-mm")</x:f>
        <x:v>2025-01</x:v>
      </x:c>
      <x:c r="Q53" s="4" t="str">
        <x:f>TEXT(C53,"mmmm")</x:f>
        <x:v>January</x:v>
      </x:c>
    </x:row>
    <x:row r="54" ht="20" customHeight="1">
      <x:c r="A54" s="4" t="inlineStr">
        <x:is>
          <x:t xml:space="preserve">LINE-00053</x:t>
        </x:is>
      </x:c>
      <x:c r="B54" s="4" t="inlineStr">
        <x:is>
          <x:t xml:space="preserve">ORD-2025-0033</x:t>
        </x:is>
      </x:c>
      <x:c r="C54" s="17" t="n">
        <x:v>45678</x:v>
      </x:c>
      <x:c r="D54" s="4" t="inlineStr">
        <x:is>
          <x:t xml:space="preserve">CUS-0184</x:t>
        </x:is>
      </x:c>
      <x:c r="E54" s="4" t="inlineStr">
        <x:is>
          <x:t xml:space="preserve">External SSD</x:t>
        </x:is>
      </x:c>
      <x:c r="F54" s="4" t="inlineStr">
        <x:is>
          <x:t xml:space="preserve">Storage</x:t>
        </x:is>
      </x:c>
      <x:c r="G54" s="4" t="inlineStr">
        <x:is>
          <x:t xml:space="preserve">Chicago</x:t>
        </x:is>
      </x:c>
      <x:c r="H54" s="18" t="n">
        <x:v>1</x:v>
      </x:c>
      <x:c r="I54" s="19" t="n">
        <x:v>160.32</x:v>
      </x:c>
      <x:c r="J54" s="20" t="n">
        <x:v>0.1</x:v>
      </x:c>
      <x:c r="K54" s="4" t="inlineStr">
        <x:is>
          <x:t xml:space="preserve">Debit Card</x:t>
        </x:is>
      </x:c>
      <x:c r="L54" s="19" t="n">
        <x:v>160.32</x:v>
      </x:c>
      <x:c r="M54" s="19" t="n">
        <x:v>16.03</x:v>
      </x:c>
      <x:c r="N54" s="19" t="n">
        <x:v>144.29</x:v>
      </x:c>
      <x:c r="O54" s="4" t="n">
        <x:f>YEAR(C54)</x:f>
        <x:v>2025</x:v>
      </x:c>
      <x:c r="P54" s="4" t="str">
        <x:f>TEXT(C54,"yyyy-mm")</x:f>
        <x:v>2025-01</x:v>
      </x:c>
      <x:c r="Q54" s="4" t="str">
        <x:f>TEXT(C54,"mmmm")</x:f>
        <x:v>January</x:v>
      </x:c>
    </x:row>
    <x:row r="55" ht="20" customHeight="1">
      <x:c r="A55" s="4" t="inlineStr">
        <x:is>
          <x:t xml:space="preserve">LINE-00054</x:t>
        </x:is>
      </x:c>
      <x:c r="B55" s="4" t="inlineStr">
        <x:is>
          <x:t xml:space="preserve">ORD-2025-0034</x:t>
        </x:is>
      </x:c>
      <x:c r="C55" s="17" t="n">
        <x:v>45748</x:v>
      </x:c>
      <x:c r="D55" s="4" t="inlineStr">
        <x:is>
          <x:t xml:space="preserve">CUS-0212</x:t>
        </x:is>
      </x:c>
      <x:c r="E55" s="4" t="inlineStr">
        <x:is>
          <x:t xml:space="preserve">Webcam</x:t>
        </x:is>
      </x:c>
      <x:c r="F55" s="4" t="inlineStr">
        <x:is>
          <x:t xml:space="preserve">Accessories</x:t>
        </x:is>
      </x:c>
      <x:c r="G55" s="4" t="inlineStr">
        <x:is>
          <x:t xml:space="preserve">New York</x:t>
        </x:is>
      </x:c>
      <x:c r="H55" s="18" t="n">
        <x:v>3</x:v>
      </x:c>
      <x:c r="I55" s="19" t="n">
        <x:v>95.23999999999999</x:v>
      </x:c>
      <x:c r="J55" s="20" t="n">
        <x:v>0.1</x:v>
      </x:c>
      <x:c r="K55" s="4" t="inlineStr">
        <x:is>
          <x:t xml:space="preserve">Debit Card</x:t>
        </x:is>
      </x:c>
      <x:c r="L55" s="19" t="n">
        <x:v>285.72</x:v>
      </x:c>
      <x:c r="M55" s="19" t="n">
        <x:v>28.57</x:v>
      </x:c>
      <x:c r="N55" s="19" t="n">
        <x:v>257.15</x:v>
      </x:c>
      <x:c r="O55" s="4" t="n">
        <x:f>YEAR(C55)</x:f>
        <x:v>2025</x:v>
      </x:c>
      <x:c r="P55" s="4" t="str">
        <x:f>TEXT(C55,"yyyy-mm")</x:f>
        <x:v>2025-04</x:v>
      </x:c>
      <x:c r="Q55" s="4" t="str">
        <x:f>TEXT(C55,"mmmm")</x:f>
        <x:v>April</x:v>
      </x:c>
    </x:row>
    <x:row r="56" ht="20" customHeight="1">
      <x:c r="A56" s="4" t="inlineStr">
        <x:is>
          <x:t xml:space="preserve">LINE-00055</x:t>
        </x:is>
      </x:c>
      <x:c r="B56" s="4" t="inlineStr">
        <x:is>
          <x:t xml:space="preserve">ORD-2025-0034</x:t>
        </x:is>
      </x:c>
      <x:c r="C56" s="17" t="n">
        <x:v>45748</x:v>
      </x:c>
      <x:c r="D56" s="4" t="inlineStr">
        <x:is>
          <x:t xml:space="preserve">CUS-0212</x:t>
        </x:is>
      </x:c>
      <x:c r="E56" s="4" t="inlineStr">
        <x:is>
          <x:t xml:space="preserve">Headphones</x:t>
        </x:is>
      </x:c>
      <x:c r="F56" s="4" t="inlineStr">
        <x:is>
          <x:t xml:space="preserve">Audio</x:t>
        </x:is>
      </x:c>
      <x:c r="G56" s="4" t="inlineStr">
        <x:is>
          <x:t xml:space="preserve">New York</x:t>
        </x:is>
      </x:c>
      <x:c r="H56" s="18" t="n">
        <x:v>1</x:v>
      </x:c>
      <x:c r="I56" s="19" t="n">
        <x:v>135.98</x:v>
      </x:c>
      <x:c r="J56" s="20" t="n">
        <x:v>0</x:v>
      </x:c>
      <x:c r="K56" s="4" t="inlineStr">
        <x:is>
          <x:t xml:space="preserve">Debit Card</x:t>
        </x:is>
      </x:c>
      <x:c r="L56" s="19" t="n">
        <x:v>135.98</x:v>
      </x:c>
      <x:c r="M56" s="19" t="n">
        <x:v>0</x:v>
      </x:c>
      <x:c r="N56" s="19" t="n">
        <x:v>135.98</x:v>
      </x:c>
      <x:c r="O56" s="4" t="n">
        <x:f>YEAR(C56)</x:f>
        <x:v>2025</x:v>
      </x:c>
      <x:c r="P56" s="4" t="str">
        <x:f>TEXT(C56,"yyyy-mm")</x:f>
        <x:v>2025-04</x:v>
      </x:c>
      <x:c r="Q56" s="4" t="str">
        <x:f>TEXT(C56,"mmmm")</x:f>
        <x:v>April</x:v>
      </x:c>
    </x:row>
    <x:row r="57" ht="20" customHeight="1">
      <x:c r="A57" s="4" t="inlineStr">
        <x:is>
          <x:t xml:space="preserve">LINE-00056</x:t>
        </x:is>
      </x:c>
      <x:c r="B57" s="4" t="inlineStr">
        <x:is>
          <x:t xml:space="preserve">ORD-2025-0035</x:t>
        </x:is>
      </x:c>
      <x:c r="C57" s="17" t="n">
        <x:v>45677</x:v>
      </x:c>
      <x:c r="D57" s="4" t="inlineStr">
        <x:is>
          <x:t xml:space="preserve">CUS-0241</x:t>
        </x:is>
      </x:c>
      <x:c r="E57" s="4" t="inlineStr">
        <x:is>
          <x:t xml:space="preserve">Bluetooth Speaker</x:t>
        </x:is>
      </x:c>
      <x:c r="F57" s="4" t="inlineStr">
        <x:is>
          <x:t xml:space="preserve">Audio</x:t>
        </x:is>
      </x:c>
      <x:c r="G57" s="4" t="inlineStr">
        <x:is>
          <x:t xml:space="preserve">Chicago</x:t>
        </x:is>
      </x:c>
      <x:c r="H57" s="18" t="n">
        <x:v>1</x:v>
      </x:c>
      <x:c r="I57" s="19" t="n">
        <x:v>115.2</x:v>
      </x:c>
      <x:c r="J57" s="20" t="n">
        <x:v>0</x:v>
      </x:c>
      <x:c r="K57" s="4" t="inlineStr">
        <x:is>
          <x:t xml:space="preserve">Debit Card</x:t>
        </x:is>
      </x:c>
      <x:c r="L57" s="19" t="n">
        <x:v>115.2</x:v>
      </x:c>
      <x:c r="M57" s="19" t="n">
        <x:v>0</x:v>
      </x:c>
      <x:c r="N57" s="19" t="n">
        <x:v>115.2</x:v>
      </x:c>
      <x:c r="O57" s="4" t="n">
        <x:f>YEAR(C57)</x:f>
        <x:v>2025</x:v>
      </x:c>
      <x:c r="P57" s="4" t="str">
        <x:f>TEXT(C57,"yyyy-mm")</x:f>
        <x:v>2025-01</x:v>
      </x:c>
      <x:c r="Q57" s="4" t="str">
        <x:f>TEXT(C57,"mmmm")</x:f>
        <x:v>January</x:v>
      </x:c>
    </x:row>
    <x:row r="58" ht="20" customHeight="1">
      <x:c r="A58" s="4" t="inlineStr">
        <x:is>
          <x:t xml:space="preserve">LINE-00057</x:t>
        </x:is>
      </x:c>
      <x:c r="B58" s="4" t="inlineStr">
        <x:is>
          <x:t xml:space="preserve">ORD-2025-0035</x:t>
        </x:is>
      </x:c>
      <x:c r="C58" s="17" t="n">
        <x:v>45677</x:v>
      </x:c>
      <x:c r="D58" s="4" t="inlineStr">
        <x:is>
          <x:t xml:space="preserve">CUS-0241</x:t>
        </x:is>
      </x:c>
      <x:c r="E58" s="4" t="inlineStr">
        <x:is>
          <x:t xml:space="preserve">Webcam</x:t>
        </x:is>
      </x:c>
      <x:c r="F58" s="4" t="inlineStr">
        <x:is>
          <x:t xml:space="preserve">Accessories</x:t>
        </x:is>
      </x:c>
      <x:c r="G58" s="4" t="inlineStr">
        <x:is>
          <x:t xml:space="preserve">Chicago</x:t>
        </x:is>
      </x:c>
      <x:c r="H58" s="18" t="n">
        <x:v>1</x:v>
      </x:c>
      <x:c r="I58" s="19" t="n">
        <x:v>85.58</x:v>
      </x:c>
      <x:c r="J58" s="20" t="n">
        <x:v>0</x:v>
      </x:c>
      <x:c r="K58" s="4" t="inlineStr">
        <x:is>
          <x:t xml:space="preserve">Debit Card</x:t>
        </x:is>
      </x:c>
      <x:c r="L58" s="19" t="n">
        <x:v>85.58</x:v>
      </x:c>
      <x:c r="M58" s="19" t="n">
        <x:v>0</x:v>
      </x:c>
      <x:c r="N58" s="19" t="n">
        <x:v>85.58</x:v>
      </x:c>
      <x:c r="O58" s="4" t="n">
        <x:f>YEAR(C58)</x:f>
        <x:v>2025</x:v>
      </x:c>
      <x:c r="P58" s="4" t="str">
        <x:f>TEXT(C58,"yyyy-mm")</x:f>
        <x:v>2025-01</x:v>
      </x:c>
      <x:c r="Q58" s="4" t="str">
        <x:f>TEXT(C58,"mmmm")</x:f>
        <x:v>January</x:v>
      </x:c>
    </x:row>
    <x:row r="59" ht="20" customHeight="1">
      <x:c r="A59" s="4" t="inlineStr">
        <x:is>
          <x:t xml:space="preserve">LINE-00058</x:t>
        </x:is>
      </x:c>
      <x:c r="B59" s="4" t="inlineStr">
        <x:is>
          <x:t xml:space="preserve">ORD-2025-0036</x:t>
        </x:is>
      </x:c>
      <x:c r="C59" s="17" t="n">
        <x:v>45693</x:v>
      </x:c>
      <x:c r="D59" s="4" t="inlineStr">
        <x:is>
          <x:t xml:space="preserve">CUS-0143</x:t>
        </x:is>
      </x:c>
      <x:c r="E59" s="4" t="inlineStr">
        <x:is>
          <x:t xml:space="preserve">External SSD</x:t>
        </x:is>
      </x:c>
      <x:c r="F59" s="4" t="inlineStr">
        <x:is>
          <x:t xml:space="preserve">Storage</x:t>
        </x:is>
      </x:c>
      <x:c r="G59" s="4" t="inlineStr">
        <x:is>
          <x:t xml:space="preserve">Austin</x:t>
        </x:is>
      </x:c>
      <x:c r="H59" s="18" t="n">
        <x:v>4</x:v>
      </x:c>
      <x:c r="I59" s="19" t="n">
        <x:v>140.77</x:v>
      </x:c>
      <x:c r="J59" s="20" t="n">
        <x:v>0.2</x:v>
      </x:c>
      <x:c r="K59" s="4" t="inlineStr">
        <x:is>
          <x:t xml:space="preserve">Bank Transfer</x:t>
        </x:is>
      </x:c>
      <x:c r="L59" s="19" t="n">
        <x:v>563.08</x:v>
      </x:c>
      <x:c r="M59" s="19" t="n">
        <x:v>112.62</x:v>
      </x:c>
      <x:c r="N59" s="19" t="n">
        <x:v>450.46</x:v>
      </x:c>
      <x:c r="O59" s="4" t="n">
        <x:f>YEAR(C59)</x:f>
        <x:v>2025</x:v>
      </x:c>
      <x:c r="P59" s="4" t="str">
        <x:f>TEXT(C59,"yyyy-mm")</x:f>
        <x:v>2025-02</x:v>
      </x:c>
      <x:c r="Q59" s="4" t="str">
        <x:f>TEXT(C59,"mmmm")</x:f>
        <x:v>February</x:v>
      </x:c>
    </x:row>
    <x:row r="60" ht="20" customHeight="1">
      <x:c r="A60" s="4" t="inlineStr">
        <x:is>
          <x:t xml:space="preserve">LINE-00059</x:t>
        </x:is>
      </x:c>
      <x:c r="B60" s="4" t="inlineStr">
        <x:is>
          <x:t xml:space="preserve">ORD-2025-0036</x:t>
        </x:is>
      </x:c>
      <x:c r="C60" s="17" t="n">
        <x:v>45693</x:v>
      </x:c>
      <x:c r="D60" s="4" t="inlineStr">
        <x:is>
          <x:t xml:space="preserve">CUS-0143</x:t>
        </x:is>
      </x:c>
      <x:c r="E60" s="4" t="inlineStr">
        <x:is>
          <x:t xml:space="preserve">Webcam</x:t>
        </x:is>
      </x:c>
      <x:c r="F60" s="4" t="inlineStr">
        <x:is>
          <x:t xml:space="preserve">Accessories</x:t>
        </x:is>
      </x:c>
      <x:c r="G60" s="4" t="inlineStr">
        <x:is>
          <x:t xml:space="preserve">Austin</x:t>
        </x:is>
      </x:c>
      <x:c r="H60" s="18" t="n">
        <x:v>1</x:v>
      </x:c>
      <x:c r="I60" s="19" t="n">
        <x:v>96.66</x:v>
      </x:c>
      <x:c r="J60" s="20" t="n">
        <x:v>0</x:v>
      </x:c>
      <x:c r="K60" s="4" t="inlineStr">
        <x:is>
          <x:t xml:space="preserve">Bank Transfer</x:t>
        </x:is>
      </x:c>
      <x:c r="L60" s="19" t="n">
        <x:v>96.66</x:v>
      </x:c>
      <x:c r="M60" s="19" t="n">
        <x:v>0</x:v>
      </x:c>
      <x:c r="N60" s="19" t="n">
        <x:v>96.66</x:v>
      </x:c>
      <x:c r="O60" s="4" t="n">
        <x:f>YEAR(C60)</x:f>
        <x:v>2025</x:v>
      </x:c>
      <x:c r="P60" s="4" t="str">
        <x:f>TEXT(C60,"yyyy-mm")</x:f>
        <x:v>2025-02</x:v>
      </x:c>
      <x:c r="Q60" s="4" t="str">
        <x:f>TEXT(C60,"mmmm")</x:f>
        <x:v>February</x:v>
      </x:c>
    </x:row>
    <x:row r="61" ht="20" customHeight="1">
      <x:c r="A61" s="4" t="inlineStr">
        <x:is>
          <x:t xml:space="preserve">LINE-00060</x:t>
        </x:is>
      </x:c>
      <x:c r="B61" s="4" t="inlineStr">
        <x:is>
          <x:t xml:space="preserve">ORD-2025-0037</x:t>
        </x:is>
      </x:c>
      <x:c r="C61" s="17" t="n">
        <x:v>45713</x:v>
      </x:c>
      <x:c r="D61" s="4" t="inlineStr">
        <x:is>
          <x:t xml:space="preserve">CUS-0306</x:t>
        </x:is>
      </x:c>
      <x:c r="E61" s="4" t="inlineStr">
        <x:is>
          <x:t xml:space="preserve">Webcam</x:t>
        </x:is>
      </x:c>
      <x:c r="F61" s="4" t="inlineStr">
        <x:is>
          <x:t xml:space="preserve">Accessories</x:t>
        </x:is>
      </x:c>
      <x:c r="G61" s="4" t="inlineStr">
        <x:is>
          <x:t xml:space="preserve">Seattle</x:t>
        </x:is>
      </x:c>
      <x:c r="H61" s="18" t="n">
        <x:v>2</x:v>
      </x:c>
      <x:c r="I61" s="19" t="n">
        <x:v>90.16</x:v>
      </x:c>
      <x:c r="J61" s="20" t="n">
        <x:v>0</x:v>
      </x:c>
      <x:c r="K61" s="4" t="inlineStr">
        <x:is>
          <x:t xml:space="preserve">PayPal</x:t>
        </x:is>
      </x:c>
      <x:c r="L61" s="19" t="n">
        <x:v>180.32</x:v>
      </x:c>
      <x:c r="M61" s="19" t="n">
        <x:v>0</x:v>
      </x:c>
      <x:c r="N61" s="19" t="n">
        <x:v>180.32</x:v>
      </x:c>
      <x:c r="O61" s="4" t="n">
        <x:f>YEAR(C61)</x:f>
        <x:v>2025</x:v>
      </x:c>
      <x:c r="P61" s="4" t="str">
        <x:f>TEXT(C61,"yyyy-mm")</x:f>
        <x:v>2025-02</x:v>
      </x:c>
      <x:c r="Q61" s="4" t="str">
        <x:f>TEXT(C61,"mmmm")</x:f>
        <x:v>February</x:v>
      </x:c>
    </x:row>
    <x:row r="62" ht="20" customHeight="1">
      <x:c r="A62" s="4" t="inlineStr">
        <x:is>
          <x:t xml:space="preserve">LINE-00061</x:t>
        </x:is>
      </x:c>
      <x:c r="B62" s="4" t="inlineStr">
        <x:is>
          <x:t xml:space="preserve">ORD-2025-0037</x:t>
        </x:is>
      </x:c>
      <x:c r="C62" s="17" t="n">
        <x:v>45713</x:v>
      </x:c>
      <x:c r="D62" s="4" t="inlineStr">
        <x:is>
          <x:t xml:space="preserve">CUS-0306</x:t>
        </x:is>
      </x:c>
      <x:c r="E62" s="4" t="inlineStr">
        <x:is>
          <x:t xml:space="preserve">Headphones</x:t>
        </x:is>
      </x:c>
      <x:c r="F62" s="4" t="inlineStr">
        <x:is>
          <x:t xml:space="preserve">Audio</x:t>
        </x:is>
      </x:c>
      <x:c r="G62" s="4" t="inlineStr">
        <x:is>
          <x:t xml:space="preserve">Seattle</x:t>
        </x:is>
      </x:c>
      <x:c r="H62" s="18" t="n">
        <x:v>2</x:v>
      </x:c>
      <x:c r="I62" s="19" t="n">
        <x:v>124.9</x:v>
      </x:c>
      <x:c r="J62" s="20" t="n">
        <x:v>0.1</x:v>
      </x:c>
      <x:c r="K62" s="4" t="inlineStr">
        <x:is>
          <x:t xml:space="preserve">PayPal</x:t>
        </x:is>
      </x:c>
      <x:c r="L62" s="19" t="n">
        <x:v>249.8</x:v>
      </x:c>
      <x:c r="M62" s="19" t="n">
        <x:v>24.98</x:v>
      </x:c>
      <x:c r="N62" s="19" t="n">
        <x:v>224.82</x:v>
      </x:c>
      <x:c r="O62" s="4" t="n">
        <x:f>YEAR(C62)</x:f>
        <x:v>2025</x:v>
      </x:c>
      <x:c r="P62" s="4" t="str">
        <x:f>TEXT(C62,"yyyy-mm")</x:f>
        <x:v>2025-02</x:v>
      </x:c>
      <x:c r="Q62" s="4" t="str">
        <x:f>TEXT(C62,"mmmm")</x:f>
        <x:v>February</x:v>
      </x:c>
    </x:row>
    <x:row r="63" ht="20" customHeight="1">
      <x:c r="A63" s="4" t="inlineStr">
        <x:is>
          <x:t xml:space="preserve">LINE-00062</x:t>
        </x:is>
      </x:c>
      <x:c r="B63" s="4" t="inlineStr">
        <x:is>
          <x:t xml:space="preserve">ORD-2025-0038</x:t>
        </x:is>
      </x:c>
      <x:c r="C63" s="17" t="n">
        <x:v>45658</x:v>
      </x:c>
      <x:c r="D63" s="4" t="inlineStr">
        <x:is>
          <x:t xml:space="preserve">CUS-0267</x:t>
        </x:is>
      </x:c>
      <x:c r="E63" s="4" t="inlineStr">
        <x:is>
          <x:t xml:space="preserve">Monitor</x:t>
        </x:is>
      </x:c>
      <x:c r="F63" s="4" t="inlineStr">
        <x:is>
          <x:t xml:space="preserve">Computers</x:t>
        </x:is>
      </x:c>
      <x:c r="G63" s="4" t="inlineStr">
        <x:is>
          <x:t xml:space="preserve">Boston</x:t>
        </x:is>
      </x:c>
      <x:c r="H63" s="18" t="n">
        <x:v>4</x:v>
      </x:c>
      <x:c r="I63" s="19" t="n">
        <x:v>298.85</x:v>
      </x:c>
      <x:c r="J63" s="20" t="n">
        <x:v>0.05</x:v>
      </x:c>
      <x:c r="K63" s="4" t="inlineStr">
        <x:is>
          <x:t xml:space="preserve">Debit Card</x:t>
        </x:is>
      </x:c>
      <x:c r="L63" s="19" t="n">
        <x:v>1195.4</x:v>
      </x:c>
      <x:c r="M63" s="19" t="n">
        <x:v>59.77</x:v>
      </x:c>
      <x:c r="N63" s="19" t="n">
        <x:v>1135.63</x:v>
      </x:c>
      <x:c r="O63" s="4" t="n">
        <x:f>YEAR(C63)</x:f>
        <x:v>2025</x:v>
      </x:c>
      <x:c r="P63" s="4" t="str">
        <x:f>TEXT(C63,"yyyy-mm")</x:f>
        <x:v>2025-01</x:v>
      </x:c>
      <x:c r="Q63" s="4" t="str">
        <x:f>TEXT(C63,"mmmm")</x:f>
        <x:v>January</x:v>
      </x:c>
    </x:row>
    <x:row r="64" ht="20" customHeight="1">
      <x:c r="A64" s="4" t="inlineStr">
        <x:is>
          <x:t xml:space="preserve">LINE-00063</x:t>
        </x:is>
      </x:c>
      <x:c r="B64" s="4" t="inlineStr">
        <x:is>
          <x:t xml:space="preserve">ORD-2025-0039</x:t>
        </x:is>
      </x:c>
      <x:c r="C64" s="17" t="n">
        <x:v>45997</x:v>
      </x:c>
      <x:c r="D64" s="4" t="inlineStr">
        <x:is>
          <x:t xml:space="preserve">CUS-0064</x:t>
        </x:is>
      </x:c>
      <x:c r="E64" s="4" t="inlineStr">
        <x:is>
          <x:t xml:space="preserve">Office Chair</x:t>
        </x:is>
      </x:c>
      <x:c r="F64" s="4" t="inlineStr">
        <x:is>
          <x:t xml:space="preserve">Furniture</x:t>
        </x:is>
      </x:c>
      <x:c r="G64" s="4" t="inlineStr">
        <x:is>
          <x:t xml:space="preserve">San Francisco</x:t>
        </x:is>
      </x:c>
      <x:c r="H64" s="18" t="n">
        <x:v>1</x:v>
      </x:c>
      <x:c r="I64" s="19" t="n">
        <x:v>247.57</x:v>
      </x:c>
      <x:c r="J64" s="20" t="n">
        <x:v>0.05</x:v>
      </x:c>
      <x:c r="K64" s="4" t="inlineStr">
        <x:is>
          <x:t xml:space="preserve">PayPal</x:t>
        </x:is>
      </x:c>
      <x:c r="L64" s="19" t="n">
        <x:v>247.57</x:v>
      </x:c>
      <x:c r="M64" s="19" t="n">
        <x:v>12.38</x:v>
      </x:c>
      <x:c r="N64" s="19" t="n">
        <x:v>235.19</x:v>
      </x:c>
      <x:c r="O64" s="4" t="n">
        <x:f>YEAR(C64)</x:f>
        <x:v>2025</x:v>
      </x:c>
      <x:c r="P64" s="4" t="str">
        <x:f>TEXT(C64,"yyyy-mm")</x:f>
        <x:v>2025-12</x:v>
      </x:c>
      <x:c r="Q64" s="4" t="str">
        <x:f>TEXT(C64,"mmmm")</x:f>
        <x:v>December</x:v>
      </x:c>
    </x:row>
    <x:row r="65" ht="20" customHeight="1">
      <x:c r="A65" s="4" t="inlineStr">
        <x:is>
          <x:t xml:space="preserve">LINE-00064</x:t>
        </x:is>
      </x:c>
      <x:c r="B65" s="4" t="inlineStr">
        <x:is>
          <x:t xml:space="preserve">ORD-2025-0039</x:t>
        </x:is>
      </x:c>
      <x:c r="C65" s="17" t="n">
        <x:v>45997</x:v>
      </x:c>
      <x:c r="D65" s="4" t="inlineStr">
        <x:is>
          <x:t xml:space="preserve">CUS-0064</x:t>
        </x:is>
      </x:c>
      <x:c r="E65" s="4" t="inlineStr">
        <x:is>
          <x:t xml:space="preserve">Headphones</x:t>
        </x:is>
      </x:c>
      <x:c r="F65" s="4" t="inlineStr">
        <x:is>
          <x:t xml:space="preserve">Audio</x:t>
        </x:is>
      </x:c>
      <x:c r="G65" s="4" t="inlineStr">
        <x:is>
          <x:t xml:space="preserve">San Francisco</x:t>
        </x:is>
      </x:c>
      <x:c r="H65" s="18" t="n">
        <x:v>1</x:v>
      </x:c>
      <x:c r="I65" s="19" t="n">
        <x:v>133.43</x:v>
      </x:c>
      <x:c r="J65" s="20" t="n">
        <x:v>0</x:v>
      </x:c>
      <x:c r="K65" s="4" t="inlineStr">
        <x:is>
          <x:t xml:space="preserve">PayPal</x:t>
        </x:is>
      </x:c>
      <x:c r="L65" s="19" t="n">
        <x:v>133.43</x:v>
      </x:c>
      <x:c r="M65" s="19" t="n">
        <x:v>0</x:v>
      </x:c>
      <x:c r="N65" s="19" t="n">
        <x:v>133.43</x:v>
      </x:c>
      <x:c r="O65" s="4" t="n">
        <x:f>YEAR(C65)</x:f>
        <x:v>2025</x:v>
      </x:c>
      <x:c r="P65" s="4" t="str">
        <x:f>TEXT(C65,"yyyy-mm")</x:f>
        <x:v>2025-12</x:v>
      </x:c>
      <x:c r="Q65" s="4" t="str">
        <x:f>TEXT(C65,"mmmm")</x:f>
        <x:v>December</x:v>
      </x:c>
    </x:row>
    <x:row r="66" ht="20" customHeight="1">
      <x:c r="A66" s="4" t="inlineStr">
        <x:is>
          <x:t xml:space="preserve">LINE-00065</x:t>
        </x:is>
      </x:c>
      <x:c r="B66" s="4" t="inlineStr">
        <x:is>
          <x:t xml:space="preserve">ORD-2025-0040</x:t>
        </x:is>
      </x:c>
      <x:c r="C66" s="17" t="n">
        <x:v>45747</x:v>
      </x:c>
      <x:c r="D66" s="4" t="inlineStr">
        <x:is>
          <x:t xml:space="preserve">CUS-0316</x:t>
        </x:is>
      </x:c>
      <x:c r="E66" s="4" t="inlineStr">
        <x:is>
          <x:t xml:space="preserve">Laptop</x:t>
        </x:is>
      </x:c>
      <x:c r="F66" s="4" t="inlineStr">
        <x:is>
          <x:t xml:space="preserve">Computers</x:t>
        </x:is>
      </x:c>
      <x:c r="G66" s="4" t="inlineStr">
        <x:is>
          <x:t xml:space="preserve">Unknown</x:t>
        </x:is>
      </x:c>
      <x:c r="H66" s="18" t="n">
        <x:v>1</x:v>
      </x:c>
      <x:c r="I66" s="19" t="n">
        <x:v>905.95</x:v>
      </x:c>
      <x:c r="J66" s="20" t="n">
        <x:v>0.1</x:v>
      </x:c>
      <x:c r="K66" s="4" t="inlineStr">
        <x:is>
          <x:t xml:space="preserve">PayPal</x:t>
        </x:is>
      </x:c>
      <x:c r="L66" s="19" t="n">
        <x:v>905.95</x:v>
      </x:c>
      <x:c r="M66" s="19" t="n">
        <x:v>90.59999999999999</x:v>
      </x:c>
      <x:c r="N66" s="19" t="n">
        <x:v>815.35</x:v>
      </x:c>
      <x:c r="O66" s="4" t="n">
        <x:f>YEAR(C66)</x:f>
        <x:v>2025</x:v>
      </x:c>
      <x:c r="P66" s="4" t="str">
        <x:f>TEXT(C66,"yyyy-mm")</x:f>
        <x:v>2025-03</x:v>
      </x:c>
      <x:c r="Q66" s="4" t="str">
        <x:f>TEXT(C66,"mmmm")</x:f>
        <x:v>March</x:v>
      </x:c>
    </x:row>
    <x:row r="67" ht="20" customHeight="1">
      <x:c r="A67" s="4" t="inlineStr">
        <x:is>
          <x:t xml:space="preserve">LINE-00066</x:t>
        </x:is>
      </x:c>
      <x:c r="B67" s="4" t="inlineStr">
        <x:is>
          <x:t xml:space="preserve">ORD-2025-0041</x:t>
        </x:is>
      </x:c>
      <x:c r="C67" s="17" t="n">
        <x:v>45968</x:v>
      </x:c>
      <x:c r="D67" s="4" t="inlineStr">
        <x:is>
          <x:t xml:space="preserve">CUS-0336</x:t>
        </x:is>
      </x:c>
      <x:c r="E67" s="4" t="inlineStr">
        <x:is>
          <x:t xml:space="preserve">Office Chair</x:t>
        </x:is>
      </x:c>
      <x:c r="F67" s="4" t="inlineStr">
        <x:is>
          <x:t xml:space="preserve">Furniture</x:t>
        </x:is>
      </x:c>
      <x:c r="G67" s="4" t="inlineStr">
        <x:is>
          <x:t xml:space="preserve">Austin</x:t>
        </x:is>
      </x:c>
      <x:c r="H67" s="18" t="n">
        <x:v>1</x:v>
      </x:c>
      <x:c r="I67" s="19" t="n">
        <x:v>238.97</x:v>
      </x:c>
      <x:c r="J67" s="20" t="n">
        <x:v>0.15</x:v>
      </x:c>
      <x:c r="K67" s="4" t="inlineStr">
        <x:is>
          <x:t xml:space="preserve">Bank Transfer</x:t>
        </x:is>
      </x:c>
      <x:c r="L67" s="19" t="n">
        <x:v>238.97</x:v>
      </x:c>
      <x:c r="M67" s="19" t="n">
        <x:v>35.85</x:v>
      </x:c>
      <x:c r="N67" s="19" t="n">
        <x:v>203.12</x:v>
      </x:c>
      <x:c r="O67" s="4" t="n">
        <x:f>YEAR(C67)</x:f>
        <x:v>2025</x:v>
      </x:c>
      <x:c r="P67" s="4" t="str">
        <x:f>TEXT(C67,"yyyy-mm")</x:f>
        <x:v>2025-11</x:v>
      </x:c>
      <x:c r="Q67" s="4" t="str">
        <x:f>TEXT(C67,"mmmm")</x:f>
        <x:v>November</x:v>
      </x:c>
    </x:row>
    <x:row r="68" ht="20" customHeight="1">
      <x:c r="A68" s="4" t="inlineStr">
        <x:is>
          <x:t xml:space="preserve">LINE-00067</x:t>
        </x:is>
      </x:c>
      <x:c r="B68" s="4" t="inlineStr">
        <x:is>
          <x:t xml:space="preserve">ORD-2025-0042</x:t>
        </x:is>
      </x:c>
      <x:c r="C68" s="17" t="n">
        <x:v>45744</x:v>
      </x:c>
      <x:c r="D68" s="4" t="inlineStr">
        <x:is>
          <x:t xml:space="preserve">CUS-0338</x:t>
        </x:is>
      </x:c>
      <x:c r="E68" s="4" t="inlineStr">
        <x:is>
          <x:t xml:space="preserve">Office Chair</x:t>
        </x:is>
      </x:c>
      <x:c r="F68" s="4" t="inlineStr">
        <x:is>
          <x:t xml:space="preserve">Furniture</x:t>
        </x:is>
      </x:c>
      <x:c r="G68" s="4" t="inlineStr">
        <x:is>
          <x:t xml:space="preserve">New York</x:t>
        </x:is>
      </x:c>
      <x:c r="H68" s="18" t="n">
        <x:v>1</x:v>
      </x:c>
      <x:c r="I68" s="19" t="n">
        <x:v>252.23</x:v>
      </x:c>
      <x:c r="J68" s="20" t="n">
        <x:v>0.1</x:v>
      </x:c>
      <x:c r="K68" s="4" t="inlineStr">
        <x:is>
          <x:t xml:space="preserve">PayPal</x:t>
        </x:is>
      </x:c>
      <x:c r="L68" s="19" t="n">
        <x:v>252.23</x:v>
      </x:c>
      <x:c r="M68" s="19" t="n">
        <x:v>25.22</x:v>
      </x:c>
      <x:c r="N68" s="19" t="n">
        <x:v>227.01</x:v>
      </x:c>
      <x:c r="O68" s="4" t="n">
        <x:f>YEAR(C68)</x:f>
        <x:v>2025</x:v>
      </x:c>
      <x:c r="P68" s="4" t="str">
        <x:f>TEXT(C68,"yyyy-mm")</x:f>
        <x:v>2025-03</x:v>
      </x:c>
      <x:c r="Q68" s="4" t="str">
        <x:f>TEXT(C68,"mmmm")</x:f>
        <x:v>March</x:v>
      </x:c>
    </x:row>
    <x:row r="69" ht="20" customHeight="1">
      <x:c r="A69" s="4" t="inlineStr">
        <x:is>
          <x:t xml:space="preserve">LINE-00068</x:t>
        </x:is>
      </x:c>
      <x:c r="B69" s="4" t="inlineStr">
        <x:is>
          <x:t xml:space="preserve">ORD-2025-0042</x:t>
        </x:is>
      </x:c>
      <x:c r="C69" s="17" t="n">
        <x:v>45744</x:v>
      </x:c>
      <x:c r="D69" s="4" t="inlineStr">
        <x:is>
          <x:t xml:space="preserve">CUS-0338</x:t>
        </x:is>
      </x:c>
      <x:c r="E69" s="4" t="inlineStr">
        <x:is>
          <x:t xml:space="preserve">USB Flash Drive</x:t>
        </x:is>
      </x:c>
      <x:c r="F69" s="4" t="inlineStr">
        <x:is>
          <x:t xml:space="preserve">Storage</x:t>
        </x:is>
      </x:c>
      <x:c r="G69" s="4" t="inlineStr">
        <x:is>
          <x:t xml:space="preserve">New York</x:t>
        </x:is>
      </x:c>
      <x:c r="H69" s="18" t="n">
        <x:v>2</x:v>
      </x:c>
      <x:c r="I69" s="19" t="n">
        <x:v>28.68</x:v>
      </x:c>
      <x:c r="J69" s="20" t="n">
        <x:v>0</x:v>
      </x:c>
      <x:c r="K69" s="4" t="inlineStr">
        <x:is>
          <x:t xml:space="preserve">PayPal</x:t>
        </x:is>
      </x:c>
      <x:c r="L69" s="19" t="n">
        <x:v>57.36</x:v>
      </x:c>
      <x:c r="M69" s="19" t="n">
        <x:v>0</x:v>
      </x:c>
      <x:c r="N69" s="19" t="n">
        <x:v>57.36</x:v>
      </x:c>
      <x:c r="O69" s="4" t="n">
        <x:f>YEAR(C69)</x:f>
        <x:v>2025</x:v>
      </x:c>
      <x:c r="P69" s="4" t="str">
        <x:f>TEXT(C69,"yyyy-mm")</x:f>
        <x:v>2025-03</x:v>
      </x:c>
      <x:c r="Q69" s="4" t="str">
        <x:f>TEXT(C69,"mmmm")</x:f>
        <x:v>March</x:v>
      </x:c>
    </x:row>
    <x:row r="70" ht="20" customHeight="1">
      <x:c r="A70" s="4" t="inlineStr">
        <x:is>
          <x:t xml:space="preserve">LINE-00069</x:t>
        </x:is>
      </x:c>
      <x:c r="B70" s="4" t="inlineStr">
        <x:is>
          <x:t xml:space="preserve">ORD-2025-0043</x:t>
        </x:is>
      </x:c>
      <x:c r="C70" s="17" t="n">
        <x:v>45670</x:v>
      </x:c>
      <x:c r="D70" s="4" t="inlineStr">
        <x:is>
          <x:t xml:space="preserve">CUS-0024</x:t>
        </x:is>
      </x:c>
      <x:c r="E70" s="4" t="inlineStr">
        <x:is>
          <x:t xml:space="preserve">Monitor</x:t>
        </x:is>
      </x:c>
      <x:c r="F70" s="4" t="inlineStr">
        <x:is>
          <x:t xml:space="preserve">Computers</x:t>
        </x:is>
      </x:c>
      <x:c r="G70" s="4" t="inlineStr">
        <x:is>
          <x:t xml:space="preserve">Chicago</x:t>
        </x:is>
      </x:c>
      <x:c r="H70" s="18" t="n">
        <x:v>2</x:v>
      </x:c>
      <x:c r="I70" s="19" t="n">
        <x:v>285.81</x:v>
      </x:c>
      <x:c r="J70" s="20" t="n">
        <x:v>0</x:v>
      </x:c>
      <x:c r="K70" s="4" t="inlineStr">
        <x:is>
          <x:t xml:space="preserve">Bank Transfer</x:t>
        </x:is>
      </x:c>
      <x:c r="L70" s="19" t="n">
        <x:v>571.62</x:v>
      </x:c>
      <x:c r="M70" s="19" t="n">
        <x:v>0</x:v>
      </x:c>
      <x:c r="N70" s="19" t="n">
        <x:v>571.62</x:v>
      </x:c>
      <x:c r="O70" s="4" t="n">
        <x:f>YEAR(C70)</x:f>
        <x:v>2025</x:v>
      </x:c>
      <x:c r="P70" s="4" t="str">
        <x:f>TEXT(C70,"yyyy-mm")</x:f>
        <x:v>2025-01</x:v>
      </x:c>
      <x:c r="Q70" s="4" t="str">
        <x:f>TEXT(C70,"mmmm")</x:f>
        <x:v>January</x:v>
      </x:c>
    </x:row>
    <x:row r="71" ht="20" customHeight="1">
      <x:c r="A71" s="4" t="inlineStr">
        <x:is>
          <x:t xml:space="preserve">LINE-00071</x:t>
        </x:is>
      </x:c>
      <x:c r="B71" s="4" t="inlineStr">
        <x:is>
          <x:t xml:space="preserve">ORD-2025-0044</x:t>
        </x:is>
      </x:c>
      <x:c r="C71" s="17" t="n">
        <x:v>45993</x:v>
      </x:c>
      <x:c r="D71" s="4" t="inlineStr">
        <x:is>
          <x:t xml:space="preserve">CUS-0003</x:t>
        </x:is>
      </x:c>
      <x:c r="E71" s="4" t="inlineStr">
        <x:is>
          <x:t xml:space="preserve">Desk Lamp</x:t>
        </x:is>
      </x:c>
      <x:c r="F71" s="4" t="inlineStr">
        <x:is>
          <x:t xml:space="preserve">Furniture</x:t>
        </x:is>
      </x:c>
      <x:c r="G71" s="4" t="inlineStr">
        <x:is>
          <x:t xml:space="preserve">New York</x:t>
        </x:is>
      </x:c>
      <x:c r="H71" s="18" t="n">
        <x:v>2</x:v>
      </x:c>
      <x:c r="I71" s="19" t="n">
        <x:v>51.04</x:v>
      </x:c>
      <x:c r="J71" s="20" t="n">
        <x:v>0</x:v>
      </x:c>
      <x:c r="K71" s="4" t="inlineStr">
        <x:is>
          <x:t xml:space="preserve">Bank Transfer</x:t>
        </x:is>
      </x:c>
      <x:c r="L71" s="19" t="n">
        <x:v>102.08</x:v>
      </x:c>
      <x:c r="M71" s="19" t="n">
        <x:v>0</x:v>
      </x:c>
      <x:c r="N71" s="19" t="n">
        <x:v>102.08</x:v>
      </x:c>
      <x:c r="O71" s="4" t="n">
        <x:f>YEAR(C71)</x:f>
        <x:v>2025</x:v>
      </x:c>
      <x:c r="P71" s="4" t="str">
        <x:f>TEXT(C71,"yyyy-mm")</x:f>
        <x:v>2025-12</x:v>
      </x:c>
      <x:c r="Q71" s="4" t="str">
        <x:f>TEXT(C71,"mmmm")</x:f>
        <x:v>December</x:v>
      </x:c>
    </x:row>
    <x:row r="72" ht="20" customHeight="1">
      <x:c r="A72" s="4" t="inlineStr">
        <x:is>
          <x:t xml:space="preserve">LINE-00072</x:t>
        </x:is>
      </x:c>
      <x:c r="B72" s="4" t="inlineStr">
        <x:is>
          <x:t xml:space="preserve">ORD-2025-0045</x:t>
        </x:is>
      </x:c>
      <x:c r="C72" s="17" t="n">
        <x:v>45720</x:v>
      </x:c>
      <x:c r="D72" s="4" t="inlineStr">
        <x:is>
          <x:t xml:space="preserve">CUS-0234</x:t>
        </x:is>
      </x:c>
      <x:c r="E72" s="4" t="inlineStr">
        <x:is>
          <x:t xml:space="preserve">External SSD</x:t>
        </x:is>
      </x:c>
      <x:c r="F72" s="4" t="inlineStr">
        <x:is>
          <x:t xml:space="preserve">Storage</x:t>
        </x:is>
      </x:c>
      <x:c r="G72" s="4" t="inlineStr">
        <x:is>
          <x:t xml:space="preserve">Chicago</x:t>
        </x:is>
      </x:c>
      <x:c r="H72" s="18" t="n">
        <x:v>1</x:v>
      </x:c>
      <x:c r="I72" s="19" t="n">
        <x:v>156.13</x:v>
      </x:c>
      <x:c r="J72" s="20" t="n">
        <x:v>0</x:v>
      </x:c>
      <x:c r="K72" s="4" t="inlineStr">
        <x:is>
          <x:t xml:space="preserve">Bank Transfer</x:t>
        </x:is>
      </x:c>
      <x:c r="L72" s="19" t="n">
        <x:v>156.13</x:v>
      </x:c>
      <x:c r="M72" s="19" t="n">
        <x:v>0</x:v>
      </x:c>
      <x:c r="N72" s="19" t="n">
        <x:v>156.13</x:v>
      </x:c>
      <x:c r="O72" s="4" t="n">
        <x:f>YEAR(C72)</x:f>
        <x:v>2025</x:v>
      </x:c>
      <x:c r="P72" s="4" t="str">
        <x:f>TEXT(C72,"yyyy-mm")</x:f>
        <x:v>2025-03</x:v>
      </x:c>
      <x:c r="Q72" s="4" t="str">
        <x:f>TEXT(C72,"mmmm")</x:f>
        <x:v>March</x:v>
      </x:c>
    </x:row>
    <x:row r="73" ht="20" customHeight="1">
      <x:c r="A73" s="4" t="inlineStr">
        <x:is>
          <x:t xml:space="preserve">LINE-00073</x:t>
        </x:is>
      </x:c>
      <x:c r="B73" s="4" t="inlineStr">
        <x:is>
          <x:t xml:space="preserve">ORD-2025-0045</x:t>
        </x:is>
      </x:c>
      <x:c r="C73" s="17" t="n">
        <x:v>45720</x:v>
      </x:c>
      <x:c r="D73" s="4" t="inlineStr">
        <x:is>
          <x:t xml:space="preserve">CUS-0234</x:t>
        </x:is>
      </x:c>
      <x:c r="E73" s="4" t="inlineStr">
        <x:is>
          <x:t xml:space="preserve">USB Flash Drive</x:t>
        </x:is>
      </x:c>
      <x:c r="F73" s="4" t="inlineStr">
        <x:is>
          <x:t xml:space="preserve">Storage</x:t>
        </x:is>
      </x:c>
      <x:c r="G73" s="4" t="inlineStr">
        <x:is>
          <x:t xml:space="preserve">Chicago</x:t>
        </x:is>
      </x:c>
      <x:c r="H73" s="18" t="n">
        <x:v>3</x:v>
      </x:c>
      <x:c r="I73" s="19" t="n">
        <x:v>31.88</x:v>
      </x:c>
      <x:c r="J73" s="20" t="n">
        <x:v>0</x:v>
      </x:c>
      <x:c r="K73" s="4" t="inlineStr">
        <x:is>
          <x:t xml:space="preserve">Bank Transfer</x:t>
        </x:is>
      </x:c>
      <x:c r="L73" s="19" t="n">
        <x:v>95.64</x:v>
      </x:c>
      <x:c r="M73" s="19" t="n">
        <x:v>0</x:v>
      </x:c>
      <x:c r="N73" s="19" t="n">
        <x:v>95.64</x:v>
      </x:c>
      <x:c r="O73" s="4" t="n">
        <x:f>YEAR(C73)</x:f>
        <x:v>2025</x:v>
      </x:c>
      <x:c r="P73" s="4" t="str">
        <x:f>TEXT(C73,"yyyy-mm")</x:f>
        <x:v>2025-03</x:v>
      </x:c>
      <x:c r="Q73" s="4" t="str">
        <x:f>TEXT(C73,"mmmm")</x:f>
        <x:v>March</x:v>
      </x:c>
    </x:row>
    <x:row r="74" ht="20" customHeight="1">
      <x:c r="A74" s="4" t="inlineStr">
        <x:is>
          <x:t xml:space="preserve">LINE-00074</x:t>
        </x:is>
      </x:c>
      <x:c r="B74" s="4" t="inlineStr">
        <x:is>
          <x:t xml:space="preserve">ORD-2025-0046</x:t>
        </x:is>
      </x:c>
      <x:c r="C74" s="17" t="n">
        <x:v>45938</x:v>
      </x:c>
      <x:c r="D74" s="4" t="inlineStr">
        <x:is>
          <x:t xml:space="preserve">CUS-0229</x:t>
        </x:is>
      </x:c>
      <x:c r="E74" s="4" t="inlineStr">
        <x:is>
          <x:t xml:space="preserve">Wireless Mouse</x:t>
        </x:is>
      </x:c>
      <x:c r="F74" s="4" t="inlineStr">
        <x:is>
          <x:t xml:space="preserve">Accessories</x:t>
        </x:is>
      </x:c>
      <x:c r="G74" s="4" t="inlineStr">
        <x:is>
          <x:t xml:space="preserve">Chicago</x:t>
        </x:is>
      </x:c>
      <x:c r="H74" s="18" t="n">
        <x:v>3</x:v>
      </x:c>
      <x:c r="I74" s="19" t="n">
        <x:v>43.4</x:v>
      </x:c>
      <x:c r="J74" s="20" t="n">
        <x:v>0.1</x:v>
      </x:c>
      <x:c r="K74" s="4" t="inlineStr">
        <x:is>
          <x:t xml:space="preserve">Bank Transfer</x:t>
        </x:is>
      </x:c>
      <x:c r="L74" s="19" t="n">
        <x:v>130.2</x:v>
      </x:c>
      <x:c r="M74" s="19" t="n">
        <x:v>13.02</x:v>
      </x:c>
      <x:c r="N74" s="19" t="n">
        <x:v>117.18</x:v>
      </x:c>
      <x:c r="O74" s="4" t="n">
        <x:f>YEAR(C74)</x:f>
        <x:v>2025</x:v>
      </x:c>
      <x:c r="P74" s="4" t="str">
        <x:f>TEXT(C74,"yyyy-mm")</x:f>
        <x:v>2025-10</x:v>
      </x:c>
      <x:c r="Q74" s="4" t="str">
        <x:f>TEXT(C74,"mmmm")</x:f>
        <x:v>October</x:v>
      </x:c>
    </x:row>
    <x:row r="75" ht="20" customHeight="1">
      <x:c r="A75" s="4" t="inlineStr">
        <x:is>
          <x:t xml:space="preserve">LINE-00075</x:t>
        </x:is>
      </x:c>
      <x:c r="B75" s="4" t="inlineStr">
        <x:is>
          <x:t xml:space="preserve">ORD-2025-0047</x:t>
        </x:is>
      </x:c>
      <x:c r="C75" s="17" t="n">
        <x:v>45906</x:v>
      </x:c>
      <x:c r="D75" s="4" t="inlineStr">
        <x:is>
          <x:t xml:space="preserve">CUS-0321</x:t>
        </x:is>
      </x:c>
      <x:c r="E75" s="4" t="inlineStr">
        <x:is>
          <x:t xml:space="preserve">Desk Lamp</x:t>
        </x:is>
      </x:c>
      <x:c r="F75" s="4" t="inlineStr">
        <x:is>
          <x:t xml:space="preserve">Furniture</x:t>
        </x:is>
      </x:c>
      <x:c r="G75" s="4" t="inlineStr">
        <x:is>
          <x:t xml:space="preserve">Chicago</x:t>
        </x:is>
      </x:c>
      <x:c r="H75" s="18" t="n">
        <x:v>1</x:v>
      </x:c>
      <x:c r="I75" s="19" t="n">
        <x:v>52.99</x:v>
      </x:c>
      <x:c r="J75" s="20" t="n">
        <x:v>0</x:v>
      </x:c>
      <x:c r="K75" s="4" t="inlineStr">
        <x:is>
          <x:t xml:space="preserve">PayPal</x:t>
        </x:is>
      </x:c>
      <x:c r="L75" s="19" t="n">
        <x:v>52.99</x:v>
      </x:c>
      <x:c r="M75" s="19" t="n">
        <x:v>0</x:v>
      </x:c>
      <x:c r="N75" s="19" t="n">
        <x:v>52.99</x:v>
      </x:c>
      <x:c r="O75" s="4" t="n">
        <x:f>YEAR(C75)</x:f>
        <x:v>2025</x:v>
      </x:c>
      <x:c r="P75" s="4" t="str">
        <x:f>TEXT(C75,"yyyy-mm")</x:f>
        <x:v>2025-09</x:v>
      </x:c>
      <x:c r="Q75" s="4" t="str">
        <x:f>TEXT(C75,"mmmm")</x:f>
        <x:v>September</x:v>
      </x:c>
    </x:row>
    <x:row r="76" ht="20" customHeight="1">
      <x:c r="A76" s="4" t="inlineStr">
        <x:is>
          <x:t xml:space="preserve">LINE-00076</x:t>
        </x:is>
      </x:c>
      <x:c r="B76" s="4" t="inlineStr">
        <x:is>
          <x:t xml:space="preserve">ORD-2025-0048</x:t>
        </x:is>
      </x:c>
      <x:c r="C76" s="17" t="n">
        <x:v>45934</x:v>
      </x:c>
      <x:c r="D76" s="4" t="inlineStr">
        <x:is>
          <x:t xml:space="preserve">CUS-0042</x:t>
        </x:is>
      </x:c>
      <x:c r="E76" s="4" t="inlineStr">
        <x:is>
          <x:t xml:space="preserve">Desk Lamp</x:t>
        </x:is>
      </x:c>
      <x:c r="F76" s="4" t="inlineStr">
        <x:is>
          <x:t xml:space="preserve">Furniture</x:t>
        </x:is>
      </x:c>
      <x:c r="G76" s="4" t="inlineStr">
        <x:is>
          <x:t xml:space="preserve">Chicago</x:t>
        </x:is>
      </x:c>
      <x:c r="H76" s="18" t="n">
        <x:v>1</x:v>
      </x:c>
      <x:c r="I76" s="19" t="n">
        <x:v>52.48</x:v>
      </x:c>
      <x:c r="J76" s="20" t="n">
        <x:v>0</x:v>
      </x:c>
      <x:c r="K76" s="4" t="inlineStr">
        <x:is>
          <x:t xml:space="preserve">Debit Card</x:t>
        </x:is>
      </x:c>
      <x:c r="L76" s="19" t="n">
        <x:v>52.48</x:v>
      </x:c>
      <x:c r="M76" s="19" t="n">
        <x:v>0</x:v>
      </x:c>
      <x:c r="N76" s="19" t="n">
        <x:v>52.48</x:v>
      </x:c>
      <x:c r="O76" s="4" t="n">
        <x:f>YEAR(C76)</x:f>
        <x:v>2025</x:v>
      </x:c>
      <x:c r="P76" s="4" t="str">
        <x:f>TEXT(C76,"yyyy-mm")</x:f>
        <x:v>2025-10</x:v>
      </x:c>
      <x:c r="Q76" s="4" t="str">
        <x:f>TEXT(C76,"mmmm")</x:f>
        <x:v>October</x:v>
      </x:c>
    </x:row>
    <x:row r="77" ht="20" customHeight="1">
      <x:c r="A77" s="4" t="inlineStr">
        <x:is>
          <x:t xml:space="preserve">LINE-00077</x:t>
        </x:is>
      </x:c>
      <x:c r="B77" s="4" t="inlineStr">
        <x:is>
          <x:t xml:space="preserve">ORD-2025-0049</x:t>
        </x:is>
      </x:c>
      <x:c r="C77" s="17" t="n">
        <x:v>45827</x:v>
      </x:c>
      <x:c r="D77" s="4" t="inlineStr">
        <x:is>
          <x:t xml:space="preserve">CUS-0278</x:t>
        </x:is>
      </x:c>
      <x:c r="E77" s="4" t="inlineStr">
        <x:is>
          <x:t xml:space="preserve">Headphones</x:t>
        </x:is>
      </x:c>
      <x:c r="F77" s="4" t="inlineStr">
        <x:is>
          <x:t xml:space="preserve">Audio</x:t>
        </x:is>
      </x:c>
      <x:c r="G77" s="4" t="inlineStr">
        <x:is>
          <x:t xml:space="preserve">Seattle</x:t>
        </x:is>
      </x:c>
      <x:c r="H77" s="18" t="n">
        <x:v>1</x:v>
      </x:c>
      <x:c r="I77" s="19" t="n">
        <x:v>135.61</x:v>
      </x:c>
      <x:c r="J77" s="20" t="n">
        <x:v>0.15</x:v>
      </x:c>
      <x:c r="K77" s="4" t="inlineStr">
        <x:is>
          <x:t xml:space="preserve">Bank Transfer</x:t>
        </x:is>
      </x:c>
      <x:c r="L77" s="19" t="n">
        <x:v>135.61</x:v>
      </x:c>
      <x:c r="M77" s="19" t="n">
        <x:v>20.34</x:v>
      </x:c>
      <x:c r="N77" s="19" t="n">
        <x:v>115.27</x:v>
      </x:c>
      <x:c r="O77" s="4" t="n">
        <x:f>YEAR(C77)</x:f>
        <x:v>2025</x:v>
      </x:c>
      <x:c r="P77" s="4" t="str">
        <x:f>TEXT(C77,"yyyy-mm")</x:f>
        <x:v>2025-06</x:v>
      </x:c>
      <x:c r="Q77" s="4" t="str">
        <x:f>TEXT(C77,"mmmm")</x:f>
        <x:v>June</x:v>
      </x:c>
    </x:row>
    <x:row r="78" ht="20" customHeight="1">
      <x:c r="A78" s="4" t="inlineStr">
        <x:is>
          <x:t xml:space="preserve">LINE-00078</x:t>
        </x:is>
      </x:c>
      <x:c r="B78" s="4" t="inlineStr">
        <x:is>
          <x:t xml:space="preserve">ORD-2025-0050</x:t>
        </x:is>
      </x:c>
      <x:c r="C78" s="17" t="n">
        <x:v>45668</x:v>
      </x:c>
      <x:c r="D78" s="4" t="inlineStr">
        <x:is>
          <x:t xml:space="preserve">CUS-0295</x:t>
        </x:is>
      </x:c>
      <x:c r="E78" s="4" t="inlineStr">
        <x:is>
          <x:t xml:space="preserve">Webcam</x:t>
        </x:is>
      </x:c>
      <x:c r="F78" s="4" t="inlineStr">
        <x:is>
          <x:t xml:space="preserve">Accessories</x:t>
        </x:is>
      </x:c>
      <x:c r="G78" s="4" t="inlineStr">
        <x:is>
          <x:t xml:space="preserve">Seattle</x:t>
        </x:is>
      </x:c>
      <x:c r="H78" s="18" t="n">
        <x:v>1</x:v>
      </x:c>
      <x:c r="I78" s="19" t="n">
        <x:v>88.42</x:v>
      </x:c>
      <x:c r="J78" s="20" t="n">
        <x:v>0.15</x:v>
      </x:c>
      <x:c r="K78" s="4" t="inlineStr">
        <x:is>
          <x:t xml:space="preserve">Bank Transfer</x:t>
        </x:is>
      </x:c>
      <x:c r="L78" s="19" t="n">
        <x:v>88.42</x:v>
      </x:c>
      <x:c r="M78" s="19" t="n">
        <x:v>13.26</x:v>
      </x:c>
      <x:c r="N78" s="19" t="n">
        <x:v>75.16</x:v>
      </x:c>
      <x:c r="O78" s="4" t="n">
        <x:f>YEAR(C78)</x:f>
        <x:v>2025</x:v>
      </x:c>
      <x:c r="P78" s="4" t="str">
        <x:f>TEXT(C78,"yyyy-mm")</x:f>
        <x:v>2025-01</x:v>
      </x:c>
      <x:c r="Q78" s="4" t="str">
        <x:f>TEXT(C78,"mmmm")</x:f>
        <x:v>January</x:v>
      </x:c>
    </x:row>
    <x:row r="79" ht="20" customHeight="1">
      <x:c r="A79" s="4" t="inlineStr">
        <x:is>
          <x:t xml:space="preserve">LINE-00079</x:t>
        </x:is>
      </x:c>
      <x:c r="B79" s="4" t="inlineStr">
        <x:is>
          <x:t xml:space="preserve">ORD-2025-0051</x:t>
        </x:is>
      </x:c>
      <x:c r="C79" s="17" t="n">
        <x:v>45872</x:v>
      </x:c>
      <x:c r="D79" s="4" t="inlineStr">
        <x:is>
          <x:t xml:space="preserve">CUS-0276</x:t>
        </x:is>
      </x:c>
      <x:c r="E79" s="4" t="inlineStr">
        <x:is>
          <x:t xml:space="preserve">USB-C Hub</x:t>
        </x:is>
      </x:c>
      <x:c r="F79" s="4" t="inlineStr">
        <x:is>
          <x:t xml:space="preserve">Accessories</x:t>
        </x:is>
      </x:c>
      <x:c r="G79" s="4" t="inlineStr">
        <x:is>
          <x:t xml:space="preserve">San Francisco</x:t>
        </x:is>
      </x:c>
      <x:c r="H79" s="18" t="n">
        <x:v>2</x:v>
      </x:c>
      <x:c r="I79" s="19" t="n">
        <x:v>60.1</x:v>
      </x:c>
      <x:c r="J79" s="20" t="n">
        <x:v>0</x:v>
      </x:c>
      <x:c r="K79" s="4" t="inlineStr">
        <x:is>
          <x:t xml:space="preserve">Debit Card</x:t>
        </x:is>
      </x:c>
      <x:c r="L79" s="19" t="n">
        <x:v>120.2</x:v>
      </x:c>
      <x:c r="M79" s="19" t="n">
        <x:v>0</x:v>
      </x:c>
      <x:c r="N79" s="19" t="n">
        <x:v>120.2</x:v>
      </x:c>
      <x:c r="O79" s="4" t="n">
        <x:f>YEAR(C79)</x:f>
        <x:v>2025</x:v>
      </x:c>
      <x:c r="P79" s="4" t="str">
        <x:f>TEXT(C79,"yyyy-mm")</x:f>
        <x:v>2025-08</x:v>
      </x:c>
      <x:c r="Q79" s="4" t="str">
        <x:f>TEXT(C79,"mmmm")</x:f>
        <x:v>August</x:v>
      </x:c>
    </x:row>
    <x:row r="80" ht="20" customHeight="1">
      <x:c r="A80" s="4" t="inlineStr">
        <x:is>
          <x:t xml:space="preserve">LINE-00080</x:t>
        </x:is>
      </x:c>
      <x:c r="B80" s="4" t="inlineStr">
        <x:is>
          <x:t xml:space="preserve">ORD-2025-0052</x:t>
        </x:is>
      </x:c>
      <x:c r="C80" s="17" t="n">
        <x:v>46005</x:v>
      </x:c>
      <x:c r="D80" s="4" t="inlineStr">
        <x:is>
          <x:t xml:space="preserve">CUS-0208</x:t>
        </x:is>
      </x:c>
      <x:c r="E80" s="4" t="inlineStr">
        <x:is>
          <x:t xml:space="preserve">Keyboard</x:t>
        </x:is>
      </x:c>
      <x:c r="F80" s="4" t="inlineStr">
        <x:is>
          <x:t xml:space="preserve">Accessories</x:t>
        </x:is>
      </x:c>
      <x:c r="G80" s="4" t="inlineStr">
        <x:is>
          <x:t xml:space="preserve">San Francisco</x:t>
        </x:is>
      </x:c>
      <x:c r="H80" s="18" t="n">
        <x:v>2</x:v>
      </x:c>
      <x:c r="I80" s="19" t="n">
        <x:v>79.88</x:v>
      </x:c>
      <x:c r="J80" s="20" t="n">
        <x:v>0.05</x:v>
      </x:c>
      <x:c r="K80" s="4" t="inlineStr">
        <x:is>
          <x:t xml:space="preserve">Debit Card</x:t>
        </x:is>
      </x:c>
      <x:c r="L80" s="19" t="n">
        <x:v>159.76</x:v>
      </x:c>
      <x:c r="M80" s="19" t="n">
        <x:v>7.99</x:v>
      </x:c>
      <x:c r="N80" s="19" t="n">
        <x:v>151.77</x:v>
      </x:c>
      <x:c r="O80" s="4" t="n">
        <x:f>YEAR(C80)</x:f>
        <x:v>2025</x:v>
      </x:c>
      <x:c r="P80" s="4" t="str">
        <x:f>TEXT(C80,"yyyy-mm")</x:f>
        <x:v>2025-12</x:v>
      </x:c>
      <x:c r="Q80" s="4" t="str">
        <x:f>TEXT(C80,"mmmm")</x:f>
        <x:v>December</x:v>
      </x:c>
    </x:row>
    <x:row r="81" ht="20" customHeight="1">
      <x:c r="A81" s="4" t="inlineStr">
        <x:is>
          <x:t xml:space="preserve">LINE-00081</x:t>
        </x:is>
      </x:c>
      <x:c r="B81" s="4" t="inlineStr">
        <x:is>
          <x:t xml:space="preserve">ORD-2025-0052</x:t>
        </x:is>
      </x:c>
      <x:c r="C81" s="17" t="n">
        <x:v>46005</x:v>
      </x:c>
      <x:c r="D81" s="4" t="inlineStr">
        <x:is>
          <x:t xml:space="preserve">CUS-0208</x:t>
        </x:is>
      </x:c>
      <x:c r="E81" s="4" t="inlineStr">
        <x:is>
          <x:t xml:space="preserve">USB Flash Drive</x:t>
        </x:is>
      </x:c>
      <x:c r="F81" s="4" t="inlineStr">
        <x:is>
          <x:t xml:space="preserve">Storage</x:t>
        </x:is>
      </x:c>
      <x:c r="G81" s="4" t="inlineStr">
        <x:is>
          <x:t xml:space="preserve">San Francisco</x:t>
        </x:is>
      </x:c>
      <x:c r="H81" s="18" t="n">
        <x:v>2</x:v>
      </x:c>
      <x:c r="I81" s="19" t="n">
        <x:v>28</x:v>
      </x:c>
      <x:c r="J81" s="20" t="n">
        <x:v>0</x:v>
      </x:c>
      <x:c r="K81" s="4" t="inlineStr">
        <x:is>
          <x:t xml:space="preserve">Debit Card</x:t>
        </x:is>
      </x:c>
      <x:c r="L81" s="19" t="n">
        <x:v>56</x:v>
      </x:c>
      <x:c r="M81" s="19" t="n">
        <x:v>0</x:v>
      </x:c>
      <x:c r="N81" s="19" t="n">
        <x:v>56</x:v>
      </x:c>
      <x:c r="O81" s="4" t="n">
        <x:f>YEAR(C81)</x:f>
        <x:v>2025</x:v>
      </x:c>
      <x:c r="P81" s="4" t="str">
        <x:f>TEXT(C81,"yyyy-mm")</x:f>
        <x:v>2025-12</x:v>
      </x:c>
      <x:c r="Q81" s="4" t="str">
        <x:f>TEXT(C81,"mmmm")</x:f>
        <x:v>December</x:v>
      </x:c>
    </x:row>
    <x:row r="82" ht="20" customHeight="1">
      <x:c r="A82" s="4" t="inlineStr">
        <x:is>
          <x:t xml:space="preserve">LINE-00082</x:t>
        </x:is>
      </x:c>
      <x:c r="B82" s="4" t="inlineStr">
        <x:is>
          <x:t xml:space="preserve">ORD-2025-0053</x:t>
        </x:is>
      </x:c>
      <x:c r="C82" s="17" t="n">
        <x:v>45894</x:v>
      </x:c>
      <x:c r="D82" s="4" t="inlineStr">
        <x:is>
          <x:t xml:space="preserve">CUS-0094</x:t>
        </x:is>
      </x:c>
      <x:c r="E82" s="4" t="inlineStr">
        <x:is>
          <x:t xml:space="preserve">Wireless Mouse</x:t>
        </x:is>
      </x:c>
      <x:c r="F82" s="4" t="inlineStr">
        <x:is>
          <x:t xml:space="preserve">Accessories</x:t>
        </x:is>
      </x:c>
      <x:c r="G82" s="4" t="inlineStr">
        <x:is>
          <x:t xml:space="preserve">New York</x:t>
        </x:is>
      </x:c>
      <x:c r="H82" s="18" t="n">
        <x:v>2</x:v>
      </x:c>
      <x:c r="I82" s="19" t="n">
        <x:v>43.83</x:v>
      </x:c>
      <x:c r="J82" s="20" t="n">
        <x:v>0.15</x:v>
      </x:c>
      <x:c r="K82" s="4" t="inlineStr">
        <x:is>
          <x:t xml:space="preserve">PayPal</x:t>
        </x:is>
      </x:c>
      <x:c r="L82" s="19" t="n">
        <x:v>87.66</x:v>
      </x:c>
      <x:c r="M82" s="19" t="n">
        <x:v>13.15</x:v>
      </x:c>
      <x:c r="N82" s="19" t="n">
        <x:v>74.51000000000001</x:v>
      </x:c>
      <x:c r="O82" s="4" t="n">
        <x:f>YEAR(C82)</x:f>
        <x:v>2025</x:v>
      </x:c>
      <x:c r="P82" s="4" t="str">
        <x:f>TEXT(C82,"yyyy-mm")</x:f>
        <x:v>2025-08</x:v>
      </x:c>
      <x:c r="Q82" s="4" t="str">
        <x:f>TEXT(C82,"mmmm")</x:f>
        <x:v>August</x:v>
      </x:c>
    </x:row>
    <x:row r="83" ht="20" customHeight="1">
      <x:c r="A83" s="4" t="inlineStr">
        <x:is>
          <x:t xml:space="preserve">LINE-00083</x:t>
        </x:is>
      </x:c>
      <x:c r="B83" s="4" t="inlineStr">
        <x:is>
          <x:t xml:space="preserve">ORD-2025-0054</x:t>
        </x:is>
      </x:c>
      <x:c r="C83" s="17" t="n">
        <x:v>45800</x:v>
      </x:c>
      <x:c r="D83" s="4" t="inlineStr">
        <x:is>
          <x:t xml:space="preserve">CUS-0216</x:t>
        </x:is>
      </x:c>
      <x:c r="E83" s="4" t="inlineStr">
        <x:is>
          <x:t xml:space="preserve">Desk Lamp</x:t>
        </x:is>
      </x:c>
      <x:c r="F83" s="4" t="inlineStr">
        <x:is>
          <x:t xml:space="preserve">Furniture</x:t>
        </x:is>
      </x:c>
      <x:c r="G83" s="4" t="inlineStr">
        <x:is>
          <x:t xml:space="preserve">Austin</x:t>
        </x:is>
      </x:c>
      <x:c r="H83" s="18" t="n">
        <x:v>2</x:v>
      </x:c>
      <x:c r="I83" s="19" t="n">
        <x:v>59.4</x:v>
      </x:c>
      <x:c r="J83" s="20" t="n">
        <x:v>0</x:v>
      </x:c>
      <x:c r="K83" s="4" t="inlineStr">
        <x:is>
          <x:t xml:space="preserve">Credit Card</x:t>
        </x:is>
      </x:c>
      <x:c r="L83" s="19" t="n">
        <x:v>118.8</x:v>
      </x:c>
      <x:c r="M83" s="19" t="n">
        <x:v>0</x:v>
      </x:c>
      <x:c r="N83" s="19" t="n">
        <x:v>118.8</x:v>
      </x:c>
      <x:c r="O83" s="4" t="n">
        <x:f>YEAR(C83)</x:f>
        <x:v>2025</x:v>
      </x:c>
      <x:c r="P83" s="4" t="str">
        <x:f>TEXT(C83,"yyyy-mm")</x:f>
        <x:v>2025-05</x:v>
      </x:c>
      <x:c r="Q83" s="4" t="str">
        <x:f>TEXT(C83,"mmmm")</x:f>
        <x:v>May</x:v>
      </x:c>
    </x:row>
    <x:row r="84" ht="20" customHeight="1">
      <x:c r="A84" s="4" t="inlineStr">
        <x:is>
          <x:t xml:space="preserve">LINE-00084</x:t>
        </x:is>
      </x:c>
      <x:c r="B84" s="4" t="inlineStr">
        <x:is>
          <x:t xml:space="preserve">ORD-2025-0055</x:t>
        </x:is>
      </x:c>
      <x:c r="C84" s="17" t="n">
        <x:v>45990</x:v>
      </x:c>
      <x:c r="D84" s="4" t="inlineStr">
        <x:is>
          <x:t xml:space="preserve">CUS-0036</x:t>
        </x:is>
      </x:c>
      <x:c r="E84" s="4" t="inlineStr">
        <x:is>
          <x:t xml:space="preserve">Wireless Mouse</x:t>
        </x:is>
      </x:c>
      <x:c r="F84" s="4" t="inlineStr">
        <x:is>
          <x:t xml:space="preserve">Accessories</x:t>
        </x:is>
      </x:c>
      <x:c r="G84" s="4" t="inlineStr">
        <x:is>
          <x:t xml:space="preserve">San Francisco</x:t>
        </x:is>
      </x:c>
      <x:c r="H84" s="18" t="n">
        <x:v>3</x:v>
      </x:c>
      <x:c r="I84" s="19" t="n">
        <x:v>45.87</x:v>
      </x:c>
      <x:c r="J84" s="20" t="n">
        <x:v>0</x:v>
      </x:c>
      <x:c r="K84" s="4" t="inlineStr">
        <x:is>
          <x:t xml:space="preserve">Credit Card</x:t>
        </x:is>
      </x:c>
      <x:c r="L84" s="19" t="n">
        <x:v>137.61</x:v>
      </x:c>
      <x:c r="M84" s="19" t="n">
        <x:v>0</x:v>
      </x:c>
      <x:c r="N84" s="19" t="n">
        <x:v>137.61</x:v>
      </x:c>
      <x:c r="O84" s="4" t="n">
        <x:f>YEAR(C84)</x:f>
        <x:v>2025</x:v>
      </x:c>
      <x:c r="P84" s="4" t="str">
        <x:f>TEXT(C84,"yyyy-mm")</x:f>
        <x:v>2025-11</x:v>
      </x:c>
      <x:c r="Q84" s="4" t="str">
        <x:f>TEXT(C84,"mmmm")</x:f>
        <x:v>November</x:v>
      </x:c>
    </x:row>
    <x:row r="85" ht="20" customHeight="1">
      <x:c r="A85" s="4" t="inlineStr">
        <x:is>
          <x:t xml:space="preserve">LINE-00085</x:t>
        </x:is>
      </x:c>
      <x:c r="B85" s="4" t="inlineStr">
        <x:is>
          <x:t xml:space="preserve">ORD-2025-0055</x:t>
        </x:is>
      </x:c>
      <x:c r="C85" s="17" t="n">
        <x:v>45990</x:v>
      </x:c>
      <x:c r="D85" s="4" t="inlineStr">
        <x:is>
          <x:t xml:space="preserve">CUS-0036</x:t>
        </x:is>
      </x:c>
      <x:c r="E85" s="4" t="inlineStr">
        <x:is>
          <x:t xml:space="preserve">Desk Lamp</x:t>
        </x:is>
      </x:c>
      <x:c r="F85" s="4" t="inlineStr">
        <x:is>
          <x:t xml:space="preserve">Furniture</x:t>
        </x:is>
      </x:c>
      <x:c r="G85" s="4" t="inlineStr">
        <x:is>
          <x:t xml:space="preserve">San Francisco</x:t>
        </x:is>
      </x:c>
      <x:c r="H85" s="18" t="n">
        <x:v>2</x:v>
      </x:c>
      <x:c r="I85" s="19" t="n">
        <x:v>51.61</x:v>
      </x:c>
      <x:c r="J85" s="20" t="n">
        <x:v>0.15</x:v>
      </x:c>
      <x:c r="K85" s="4" t="inlineStr">
        <x:is>
          <x:t xml:space="preserve">Credit Card</x:t>
        </x:is>
      </x:c>
      <x:c r="L85" s="19" t="n">
        <x:v>103.22</x:v>
      </x:c>
      <x:c r="M85" s="19" t="n">
        <x:v>15.48</x:v>
      </x:c>
      <x:c r="N85" s="19" t="n">
        <x:v>87.73999999999999</x:v>
      </x:c>
      <x:c r="O85" s="4" t="n">
        <x:f>YEAR(C85)</x:f>
        <x:v>2025</x:v>
      </x:c>
      <x:c r="P85" s="4" t="str">
        <x:f>TEXT(C85,"yyyy-mm")</x:f>
        <x:v>2025-11</x:v>
      </x:c>
      <x:c r="Q85" s="4" t="str">
        <x:f>TEXT(C85,"mmmm")</x:f>
        <x:v>November</x:v>
      </x:c>
    </x:row>
    <x:row r="86" ht="20" customHeight="1">
      <x:c r="A86" s="4" t="inlineStr">
        <x:is>
          <x:t xml:space="preserve">LINE-00086</x:t>
        </x:is>
      </x:c>
      <x:c r="B86" s="4" t="inlineStr">
        <x:is>
          <x:t xml:space="preserve">ORD-2025-0056</x:t>
        </x:is>
      </x:c>
      <x:c r="C86" s="17" t="n">
        <x:v>45896</x:v>
      </x:c>
      <x:c r="D86" s="4" t="inlineStr">
        <x:is>
          <x:t xml:space="preserve">CUS-0132</x:t>
        </x:is>
      </x:c>
      <x:c r="E86" s="4" t="inlineStr">
        <x:is>
          <x:t xml:space="preserve">Desk Lamp</x:t>
        </x:is>
      </x:c>
      <x:c r="F86" s="4" t="inlineStr">
        <x:is>
          <x:t xml:space="preserve">Furniture</x:t>
        </x:is>
      </x:c>
      <x:c r="G86" s="4" t="inlineStr">
        <x:is>
          <x:t xml:space="preserve">Austin</x:t>
        </x:is>
      </x:c>
      <x:c r="H86" s="18" t="n">
        <x:v>3</x:v>
      </x:c>
      <x:c r="I86" s="19" t="n">
        <x:v>52.04</x:v>
      </x:c>
      <x:c r="J86" s="20" t="n">
        <x:v>0</x:v>
      </x:c>
      <x:c r="K86" s="4" t="inlineStr">
        <x:is>
          <x:t xml:space="preserve">Debit Card</x:t>
        </x:is>
      </x:c>
      <x:c r="L86" s="19" t="n">
        <x:v>156.12</x:v>
      </x:c>
      <x:c r="M86" s="19" t="n">
        <x:v>0</x:v>
      </x:c>
      <x:c r="N86" s="19" t="n">
        <x:v>156.12</x:v>
      </x:c>
      <x:c r="O86" s="4" t="n">
        <x:f>YEAR(C86)</x:f>
        <x:v>2025</x:v>
      </x:c>
      <x:c r="P86" s="4" t="str">
        <x:f>TEXT(C86,"yyyy-mm")</x:f>
        <x:v>2025-08</x:v>
      </x:c>
      <x:c r="Q86" s="4" t="str">
        <x:f>TEXT(C86,"mmmm")</x:f>
        <x:v>August</x:v>
      </x:c>
    </x:row>
    <x:row r="87" ht="20" customHeight="1">
      <x:c r="A87" s="4" t="inlineStr">
        <x:is>
          <x:t xml:space="preserve">LINE-00087</x:t>
        </x:is>
      </x:c>
      <x:c r="B87" s="4" t="inlineStr">
        <x:is>
          <x:t xml:space="preserve">ORD-2025-0056</x:t>
        </x:is>
      </x:c>
      <x:c r="C87" s="17" t="n">
        <x:v>45896</x:v>
      </x:c>
      <x:c r="D87" s="4" t="inlineStr">
        <x:is>
          <x:t xml:space="preserve">CUS-0132</x:t>
        </x:is>
      </x:c>
      <x:c r="E87" s="4" t="inlineStr">
        <x:is>
          <x:t xml:space="preserve">Monitor</x:t>
        </x:is>
      </x:c>
      <x:c r="F87" s="4" t="inlineStr">
        <x:is>
          <x:t xml:space="preserve">Computers</x:t>
        </x:is>
      </x:c>
      <x:c r="G87" s="4" t="inlineStr">
        <x:is>
          <x:t xml:space="preserve">Austin</x:t>
        </x:is>
      </x:c>
      <x:c r="H87" s="18" t="n">
        <x:v>2</x:v>
      </x:c>
      <x:c r="I87" s="19" t="n">
        <x:v>299.21</x:v>
      </x:c>
      <x:c r="J87" s="20" t="n">
        <x:v>0.05</x:v>
      </x:c>
      <x:c r="K87" s="4" t="inlineStr">
        <x:is>
          <x:t xml:space="preserve">Debit Card</x:t>
        </x:is>
      </x:c>
      <x:c r="L87" s="19" t="n">
        <x:v>598.42</x:v>
      </x:c>
      <x:c r="M87" s="19" t="n">
        <x:v>29.92</x:v>
      </x:c>
      <x:c r="N87" s="19" t="n">
        <x:v>568.5</x:v>
      </x:c>
      <x:c r="O87" s="4" t="n">
        <x:f>YEAR(C87)</x:f>
        <x:v>2025</x:v>
      </x:c>
      <x:c r="P87" s="4" t="str">
        <x:f>TEXT(C87,"yyyy-mm")</x:f>
        <x:v>2025-08</x:v>
      </x:c>
      <x:c r="Q87" s="4" t="str">
        <x:f>TEXT(C87,"mmmm")</x:f>
        <x:v>August</x:v>
      </x:c>
    </x:row>
    <x:row r="88" ht="20" customHeight="1">
      <x:c r="A88" s="4" t="inlineStr">
        <x:is>
          <x:t xml:space="preserve">LINE-00088</x:t>
        </x:is>
      </x:c>
      <x:c r="B88" s="4" t="inlineStr">
        <x:is>
          <x:t xml:space="preserve">ORD-2025-0057</x:t>
        </x:is>
      </x:c>
      <x:c r="C88" s="17" t="n">
        <x:v>45850</x:v>
      </x:c>
      <x:c r="D88" s="4" t="inlineStr">
        <x:is>
          <x:t xml:space="preserve">CUS-0204</x:t>
        </x:is>
      </x:c>
      <x:c r="E88" s="4" t="inlineStr">
        <x:is>
          <x:t xml:space="preserve">Desk Lamp</x:t>
        </x:is>
      </x:c>
      <x:c r="F88" s="4" t="inlineStr">
        <x:is>
          <x:t xml:space="preserve">Furniture</x:t>
        </x:is>
      </x:c>
      <x:c r="G88" s="4" t="inlineStr">
        <x:is>
          <x:t xml:space="preserve">San Francisco</x:t>
        </x:is>
      </x:c>
      <x:c r="H88" s="18" t="n">
        <x:v>3</x:v>
      </x:c>
      <x:c r="I88" s="19" t="n">
        <x:v>52.74</x:v>
      </x:c>
      <x:c r="J88" s="20" t="n">
        <x:v>0.05</x:v>
      </x:c>
      <x:c r="K88" s="4" t="inlineStr">
        <x:is>
          <x:t xml:space="preserve">Debit Card</x:t>
        </x:is>
      </x:c>
      <x:c r="L88" s="19" t="n">
        <x:v>158.22</x:v>
      </x:c>
      <x:c r="M88" s="19" t="n">
        <x:v>7.91</x:v>
      </x:c>
      <x:c r="N88" s="19" t="n">
        <x:v>150.31</x:v>
      </x:c>
      <x:c r="O88" s="4" t="n">
        <x:f>YEAR(C88)</x:f>
        <x:v>2025</x:v>
      </x:c>
      <x:c r="P88" s="4" t="str">
        <x:f>TEXT(C88,"yyyy-mm")</x:f>
        <x:v>2025-07</x:v>
      </x:c>
      <x:c r="Q88" s="4" t="str">
        <x:f>TEXT(C88,"mmmm")</x:f>
        <x:v>July</x:v>
      </x:c>
    </x:row>
    <x:row r="89" ht="20" customHeight="1">
      <x:c r="A89" s="4" t="inlineStr">
        <x:is>
          <x:t xml:space="preserve">LINE-00089</x:t>
        </x:is>
      </x:c>
      <x:c r="B89" s="4" t="inlineStr">
        <x:is>
          <x:t xml:space="preserve">ORD-2025-0058</x:t>
        </x:is>
      </x:c>
      <x:c r="C89" s="17" t="n">
        <x:v>45812</x:v>
      </x:c>
      <x:c r="D89" s="4" t="inlineStr">
        <x:is>
          <x:t xml:space="preserve">CUS-0308</x:t>
        </x:is>
      </x:c>
      <x:c r="E89" s="4" t="inlineStr">
        <x:is>
          <x:t xml:space="preserve">Headphones</x:t>
        </x:is>
      </x:c>
      <x:c r="F89" s="4" t="inlineStr">
        <x:is>
          <x:t xml:space="preserve">Audio</x:t>
        </x:is>
      </x:c>
      <x:c r="G89" s="4" t="inlineStr">
        <x:is>
          <x:t xml:space="preserve">New York</x:t>
        </x:is>
      </x:c>
      <x:c r="H89" s="18" t="n">
        <x:v>2</x:v>
      </x:c>
      <x:c r="I89" s="19" t="n">
        <x:v>121.03</x:v>
      </x:c>
      <x:c r="J89" s="20" t="n">
        <x:v>0.05</x:v>
      </x:c>
      <x:c r="K89" s="4" t="inlineStr">
        <x:is>
          <x:t xml:space="preserve">Credit Card</x:t>
        </x:is>
      </x:c>
      <x:c r="L89" s="19" t="n">
        <x:v>242.06</x:v>
      </x:c>
      <x:c r="M89" s="19" t="n">
        <x:v>12.1</x:v>
      </x:c>
      <x:c r="N89" s="19" t="n">
        <x:v>229.96</x:v>
      </x:c>
      <x:c r="O89" s="4" t="n">
        <x:f>YEAR(C89)</x:f>
        <x:v>2025</x:v>
      </x:c>
      <x:c r="P89" s="4" t="str">
        <x:f>TEXT(C89,"yyyy-mm")</x:f>
        <x:v>2025-06</x:v>
      </x:c>
      <x:c r="Q89" s="4" t="str">
        <x:f>TEXT(C89,"mmmm")</x:f>
        <x:v>June</x:v>
      </x:c>
    </x:row>
    <x:row r="90" ht="20" customHeight="1">
      <x:c r="A90" s="4" t="inlineStr">
        <x:is>
          <x:t xml:space="preserve">LINE-00090</x:t>
        </x:is>
      </x:c>
      <x:c r="B90" s="4" t="inlineStr">
        <x:is>
          <x:t xml:space="preserve">ORD-2025-0059</x:t>
        </x:is>
      </x:c>
      <x:c r="C90" s="17" t="n">
        <x:v>45664</x:v>
      </x:c>
      <x:c r="D90" s="4" t="inlineStr">
        <x:is>
          <x:t xml:space="preserve">CUS-0216</x:t>
        </x:is>
      </x:c>
      <x:c r="E90" s="4" t="inlineStr">
        <x:is>
          <x:t xml:space="preserve">Webcam</x:t>
        </x:is>
      </x:c>
      <x:c r="F90" s="4" t="inlineStr">
        <x:is>
          <x:t xml:space="preserve">Accessories</x:t>
        </x:is>
      </x:c>
      <x:c r="G90" s="4" t="inlineStr">
        <x:is>
          <x:t xml:space="preserve">Seattle</x:t>
        </x:is>
      </x:c>
      <x:c r="H90" s="18" t="n">
        <x:v>2</x:v>
      </x:c>
      <x:c r="I90" s="19" t="n">
        <x:v>94.73</x:v>
      </x:c>
      <x:c r="J90" s="20" t="n">
        <x:v>0.1</x:v>
      </x:c>
      <x:c r="K90" s="4" t="inlineStr">
        <x:is>
          <x:t xml:space="preserve">Credit Card</x:t>
        </x:is>
      </x:c>
      <x:c r="L90" s="19" t="n">
        <x:v>189.46</x:v>
      </x:c>
      <x:c r="M90" s="19" t="n">
        <x:v>18.95</x:v>
      </x:c>
      <x:c r="N90" s="19" t="n">
        <x:v>170.51</x:v>
      </x:c>
      <x:c r="O90" s="4" t="n">
        <x:f>YEAR(C90)</x:f>
        <x:v>2025</x:v>
      </x:c>
      <x:c r="P90" s="4" t="str">
        <x:f>TEXT(C90,"yyyy-mm")</x:f>
        <x:v>2025-01</x:v>
      </x:c>
      <x:c r="Q90" s="4" t="str">
        <x:f>TEXT(C90,"mmmm")</x:f>
        <x:v>January</x:v>
      </x:c>
    </x:row>
    <x:row r="91" ht="20" customHeight="1">
      <x:c r="A91" s="4" t="inlineStr">
        <x:is>
          <x:t xml:space="preserve">LINE-00091</x:t>
        </x:is>
      </x:c>
      <x:c r="B91" s="4" t="inlineStr">
        <x:is>
          <x:t xml:space="preserve">ORD-2025-0060</x:t>
        </x:is>
      </x:c>
      <x:c r="C91" s="17" t="n">
        <x:v>45880</x:v>
      </x:c>
      <x:c r="D91" s="4" t="inlineStr">
        <x:is>
          <x:t xml:space="preserve">CUS-0091</x:t>
        </x:is>
      </x:c>
      <x:c r="E91" s="4" t="inlineStr">
        <x:is>
          <x:t xml:space="preserve">External SSD</x:t>
        </x:is>
      </x:c>
      <x:c r="F91" s="4" t="inlineStr">
        <x:is>
          <x:t xml:space="preserve">Storage</x:t>
        </x:is>
      </x:c>
      <x:c r="G91" s="4" t="inlineStr">
        <x:is>
          <x:t xml:space="preserve">San Francisco</x:t>
        </x:is>
      </x:c>
      <x:c r="H91" s="18" t="n">
        <x:v>2</x:v>
      </x:c>
      <x:c r="I91" s="19" t="n">
        <x:v>157.82</x:v>
      </x:c>
      <x:c r="J91" s="20" t="n">
        <x:v>0.05</x:v>
      </x:c>
      <x:c r="K91" s="4" t="inlineStr">
        <x:is>
          <x:t xml:space="preserve">PayPal</x:t>
        </x:is>
      </x:c>
      <x:c r="L91" s="19" t="n">
        <x:v>315.64</x:v>
      </x:c>
      <x:c r="M91" s="19" t="n">
        <x:v>15.78</x:v>
      </x:c>
      <x:c r="N91" s="19" t="n">
        <x:v>299.86</x:v>
      </x:c>
      <x:c r="O91" s="4" t="n">
        <x:f>YEAR(C91)</x:f>
        <x:v>2025</x:v>
      </x:c>
      <x:c r="P91" s="4" t="str">
        <x:f>TEXT(C91,"yyyy-mm")</x:f>
        <x:v>2025-08</x:v>
      </x:c>
      <x:c r="Q91" s="4" t="str">
        <x:f>TEXT(C91,"mmmm")</x:f>
        <x:v>August</x:v>
      </x:c>
    </x:row>
    <x:row r="92" ht="20" customHeight="1">
      <x:c r="A92" s="4" t="inlineStr">
        <x:is>
          <x:t xml:space="preserve">LINE-00092</x:t>
        </x:is>
      </x:c>
      <x:c r="B92" s="4" t="inlineStr">
        <x:is>
          <x:t xml:space="preserve">ORD-2025-0060</x:t>
        </x:is>
      </x:c>
      <x:c r="C92" s="17" t="n">
        <x:v>45880</x:v>
      </x:c>
      <x:c r="D92" s="4" t="inlineStr">
        <x:is>
          <x:t xml:space="preserve">CUS-0091</x:t>
        </x:is>
      </x:c>
      <x:c r="E92" s="4" t="inlineStr">
        <x:is>
          <x:t xml:space="preserve">Bluetooth Speaker</x:t>
        </x:is>
      </x:c>
      <x:c r="F92" s="4" t="inlineStr">
        <x:is>
          <x:t xml:space="preserve">Audio</x:t>
        </x:is>
      </x:c>
      <x:c r="G92" s="4" t="inlineStr">
        <x:is>
          <x:t xml:space="preserve">San Francisco</x:t>
        </x:is>
      </x:c>
      <x:c r="H92" s="18" t="n">
        <x:v>1</x:v>
      </x:c>
      <x:c r="I92" s="19" t="n">
        <x:v>105.52</x:v>
      </x:c>
      <x:c r="J92" s="20" t="n">
        <x:v>0.15</x:v>
      </x:c>
      <x:c r="K92" s="4" t="inlineStr">
        <x:is>
          <x:t xml:space="preserve">PayPal</x:t>
        </x:is>
      </x:c>
      <x:c r="L92" s="19" t="n">
        <x:v>105.52</x:v>
      </x:c>
      <x:c r="M92" s="19" t="n">
        <x:v>15.83</x:v>
      </x:c>
      <x:c r="N92" s="19" t="n">
        <x:v>89.69</x:v>
      </x:c>
      <x:c r="O92" s="4" t="n">
        <x:f>YEAR(C92)</x:f>
        <x:v>2025</x:v>
      </x:c>
      <x:c r="P92" s="4" t="str">
        <x:f>TEXT(C92,"yyyy-mm")</x:f>
        <x:v>2025-08</x:v>
      </x:c>
      <x:c r="Q92" s="4" t="str">
        <x:f>TEXT(C92,"mmmm")</x:f>
        <x:v>August</x:v>
      </x:c>
    </x:row>
    <x:row r="93" ht="20" customHeight="1">
      <x:c r="A93" s="4" t="inlineStr">
        <x:is>
          <x:t xml:space="preserve">LINE-00093</x:t>
        </x:is>
      </x:c>
      <x:c r="B93" s="4" t="inlineStr">
        <x:is>
          <x:t xml:space="preserve">ORD-2025-0061</x:t>
        </x:is>
      </x:c>
      <x:c r="C93" s="17" t="n">
        <x:v>45800</x:v>
      </x:c>
      <x:c r="D93" s="4" t="inlineStr">
        <x:is>
          <x:t xml:space="preserve">CUS-0231</x:t>
        </x:is>
      </x:c>
      <x:c r="E93" s="4" t="inlineStr">
        <x:is>
          <x:t xml:space="preserve">Office Chair</x:t>
        </x:is>
      </x:c>
      <x:c r="F93" s="4" t="inlineStr">
        <x:is>
          <x:t xml:space="preserve">Furniture</x:t>
        </x:is>
      </x:c>
      <x:c r="G93" s="4" t="inlineStr">
        <x:is>
          <x:t xml:space="preserve">Chicago</x:t>
        </x:is>
      </x:c>
      <x:c r="H93" s="18" t="n">
        <x:v>1</x:v>
      </x:c>
      <x:c r="I93" s="19" t="n">
        <x:v>239.78</x:v>
      </x:c>
      <x:c r="J93" s="20" t="n">
        <x:v>0</x:v>
      </x:c>
      <x:c r="K93" s="4" t="inlineStr">
        <x:is>
          <x:t xml:space="preserve">Bank Transfer</x:t>
        </x:is>
      </x:c>
      <x:c r="L93" s="19" t="n">
        <x:v>239.78</x:v>
      </x:c>
      <x:c r="M93" s="19" t="n">
        <x:v>0</x:v>
      </x:c>
      <x:c r="N93" s="19" t="n">
        <x:v>239.78</x:v>
      </x:c>
      <x:c r="O93" s="4" t="n">
        <x:f>YEAR(C93)</x:f>
        <x:v>2025</x:v>
      </x:c>
      <x:c r="P93" s="4" t="str">
        <x:f>TEXT(C93,"yyyy-mm")</x:f>
        <x:v>2025-05</x:v>
      </x:c>
      <x:c r="Q93" s="4" t="str">
        <x:f>TEXT(C93,"mmmm")</x:f>
        <x:v>May</x:v>
      </x:c>
    </x:row>
    <x:row r="94" ht="20" customHeight="1">
      <x:c r="A94" s="4" t="inlineStr">
        <x:is>
          <x:t xml:space="preserve">LINE-00094</x:t>
        </x:is>
      </x:c>
      <x:c r="B94" s="4" t="inlineStr">
        <x:is>
          <x:t xml:space="preserve">ORD-2025-0061</x:t>
        </x:is>
      </x:c>
      <x:c r="C94" s="17" t="n">
        <x:v>45800</x:v>
      </x:c>
      <x:c r="D94" s="4" t="inlineStr">
        <x:is>
          <x:t xml:space="preserve">CUS-0231</x:t>
        </x:is>
      </x:c>
      <x:c r="E94" s="4" t="inlineStr">
        <x:is>
          <x:t xml:space="preserve">Headphones</x:t>
        </x:is>
      </x:c>
      <x:c r="F94" s="4" t="inlineStr">
        <x:is>
          <x:t xml:space="preserve">Audio</x:t>
        </x:is>
      </x:c>
      <x:c r="G94" s="4" t="inlineStr">
        <x:is>
          <x:t xml:space="preserve">Chicago</x:t>
        </x:is>
      </x:c>
      <x:c r="H94" s="18" t="n">
        <x:v>2</x:v>
      </x:c>
      <x:c r="I94" s="19" t="n">
        <x:v>126.98</x:v>
      </x:c>
      <x:c r="J94" s="20" t="n">
        <x:v>0</x:v>
      </x:c>
      <x:c r="K94" s="4" t="inlineStr">
        <x:is>
          <x:t xml:space="preserve">Bank Transfer</x:t>
        </x:is>
      </x:c>
      <x:c r="L94" s="19" t="n">
        <x:v>253.96</x:v>
      </x:c>
      <x:c r="M94" s="19" t="n">
        <x:v>0</x:v>
      </x:c>
      <x:c r="N94" s="19" t="n">
        <x:v>253.96</x:v>
      </x:c>
      <x:c r="O94" s="4" t="n">
        <x:f>YEAR(C94)</x:f>
        <x:v>2025</x:v>
      </x:c>
      <x:c r="P94" s="4" t="str">
        <x:f>TEXT(C94,"yyyy-mm")</x:f>
        <x:v>2025-05</x:v>
      </x:c>
      <x:c r="Q94" s="4" t="str">
        <x:f>TEXT(C94,"mmmm")</x:f>
        <x:v>May</x:v>
      </x:c>
    </x:row>
    <x:row r="95" ht="20" customHeight="1">
      <x:c r="A95" s="4" t="inlineStr">
        <x:is>
          <x:t xml:space="preserve">LINE-00095</x:t>
        </x:is>
      </x:c>
      <x:c r="B95" s="4" t="inlineStr">
        <x:is>
          <x:t xml:space="preserve">ORD-2025-0062</x:t>
        </x:is>
      </x:c>
      <x:c r="C95" s="17" t="n">
        <x:v>45801</x:v>
      </x:c>
      <x:c r="D95" s="4" t="inlineStr">
        <x:is>
          <x:t xml:space="preserve">CUS-0306</x:t>
        </x:is>
      </x:c>
      <x:c r="E95" s="4" t="inlineStr">
        <x:is>
          <x:t xml:space="preserve">External SSD</x:t>
        </x:is>
      </x:c>
      <x:c r="F95" s="4" t="inlineStr">
        <x:is>
          <x:t xml:space="preserve">Storage</x:t>
        </x:is>
      </x:c>
      <x:c r="G95" s="4" t="inlineStr">
        <x:is>
          <x:t xml:space="preserve">San Francisco</x:t>
        </x:is>
      </x:c>
      <x:c r="H95" s="18" t="n">
        <x:v>1</x:v>
      </x:c>
      <x:c r="I95" s="19" t="n">
        <x:v>155.28</x:v>
      </x:c>
      <x:c r="J95" s="20" t="n">
        <x:v>0.05</x:v>
      </x:c>
      <x:c r="K95" s="4" t="inlineStr">
        <x:is>
          <x:t xml:space="preserve">PayPal</x:t>
        </x:is>
      </x:c>
      <x:c r="L95" s="19" t="n">
        <x:v>155.28</x:v>
      </x:c>
      <x:c r="M95" s="19" t="n">
        <x:v>7.76</x:v>
      </x:c>
      <x:c r="N95" s="19" t="n">
        <x:v>147.52</x:v>
      </x:c>
      <x:c r="O95" s="4" t="n">
        <x:f>YEAR(C95)</x:f>
        <x:v>2025</x:v>
      </x:c>
      <x:c r="P95" s="4" t="str">
        <x:f>TEXT(C95,"yyyy-mm")</x:f>
        <x:v>2025-05</x:v>
      </x:c>
      <x:c r="Q95" s="4" t="str">
        <x:f>TEXT(C95,"mmmm")</x:f>
        <x:v>May</x:v>
      </x:c>
    </x:row>
    <x:row r="96" ht="20" customHeight="1">
      <x:c r="A96" s="4" t="inlineStr">
        <x:is>
          <x:t xml:space="preserve">LINE-00096</x:t>
        </x:is>
      </x:c>
      <x:c r="B96" s="4" t="inlineStr">
        <x:is>
          <x:t xml:space="preserve">ORD-2025-0062</x:t>
        </x:is>
      </x:c>
      <x:c r="C96" s="17" t="n">
        <x:v>45801</x:v>
      </x:c>
      <x:c r="D96" s="4" t="inlineStr">
        <x:is>
          <x:t xml:space="preserve">CUS-0306</x:t>
        </x:is>
      </x:c>
      <x:c r="E96" s="4" t="inlineStr">
        <x:is>
          <x:t xml:space="preserve">Wireless Mouse</x:t>
        </x:is>
      </x:c>
      <x:c r="F96" s="4" t="inlineStr">
        <x:is>
          <x:t xml:space="preserve">Accessories</x:t>
        </x:is>
      </x:c>
      <x:c r="G96" s="4" t="inlineStr">
        <x:is>
          <x:t xml:space="preserve">San Francisco</x:t>
        </x:is>
      </x:c>
      <x:c r="H96" s="18" t="n">
        <x:v>3</x:v>
      </x:c>
      <x:c r="I96" s="19" t="n">
        <x:v>46.37</x:v>
      </x:c>
      <x:c r="J96" s="20" t="n">
        <x:v>0.05</x:v>
      </x:c>
      <x:c r="K96" s="4" t="inlineStr">
        <x:is>
          <x:t xml:space="preserve">PayPal</x:t>
        </x:is>
      </x:c>
      <x:c r="L96" s="19" t="n">
        <x:v>139.11</x:v>
      </x:c>
      <x:c r="M96" s="19" t="n">
        <x:v>6.96</x:v>
      </x:c>
      <x:c r="N96" s="19" t="n">
        <x:v>132.15</x:v>
      </x:c>
      <x:c r="O96" s="4" t="n">
        <x:f>YEAR(C96)</x:f>
        <x:v>2025</x:v>
      </x:c>
      <x:c r="P96" s="4" t="str">
        <x:f>TEXT(C96,"yyyy-mm")</x:f>
        <x:v>2025-05</x:v>
      </x:c>
      <x:c r="Q96" s="4" t="str">
        <x:f>TEXT(C96,"mmmm")</x:f>
        <x:v>May</x:v>
      </x:c>
    </x:row>
    <x:row r="97" ht="20" customHeight="1">
      <x:c r="A97" s="4" t="inlineStr">
        <x:is>
          <x:t xml:space="preserve">LINE-00097</x:t>
        </x:is>
      </x:c>
      <x:c r="B97" s="4" t="inlineStr">
        <x:is>
          <x:t xml:space="preserve">ORD-2025-0063</x:t>
        </x:is>
      </x:c>
      <x:c r="C97" s="17" t="n">
        <x:v>45909</x:v>
      </x:c>
      <x:c r="D97" s="4" t="inlineStr">
        <x:is>
          <x:t xml:space="preserve">CUS-0230</x:t>
        </x:is>
      </x:c>
      <x:c r="E97" s="4" t="inlineStr">
        <x:is>
          <x:t xml:space="preserve">Headphones</x:t>
        </x:is>
      </x:c>
      <x:c r="F97" s="4" t="inlineStr">
        <x:is>
          <x:t xml:space="preserve">Audio</x:t>
        </x:is>
      </x:c>
      <x:c r="G97" s="4" t="inlineStr">
        <x:is>
          <x:t xml:space="preserve">New York</x:t>
        </x:is>
      </x:c>
      <x:c r="H97" s="18" t="n">
        <x:v>3</x:v>
      </x:c>
      <x:c r="I97" s="19" t="n">
        <x:v>125.97</x:v>
      </x:c>
      <x:c r="J97" s="20" t="n">
        <x:v>0.05</x:v>
      </x:c>
      <x:c r="K97" s="4" t="inlineStr">
        <x:is>
          <x:t xml:space="preserve">Credit Card</x:t>
        </x:is>
      </x:c>
      <x:c r="L97" s="19" t="n">
        <x:v>377.91</x:v>
      </x:c>
      <x:c r="M97" s="19" t="n">
        <x:v>18.9</x:v>
      </x:c>
      <x:c r="N97" s="19" t="n">
        <x:v>359.01</x:v>
      </x:c>
      <x:c r="O97" s="4" t="n">
        <x:f>YEAR(C97)</x:f>
        <x:v>2025</x:v>
      </x:c>
      <x:c r="P97" s="4" t="str">
        <x:f>TEXT(C97,"yyyy-mm")</x:f>
        <x:v>2025-09</x:v>
      </x:c>
      <x:c r="Q97" s="4" t="str">
        <x:f>TEXT(C97,"mmmm")</x:f>
        <x:v>September</x:v>
      </x:c>
    </x:row>
    <x:row r="98" ht="20" customHeight="1">
      <x:c r="A98" s="4" t="inlineStr">
        <x:is>
          <x:t xml:space="preserve">LINE-00098</x:t>
        </x:is>
      </x:c>
      <x:c r="B98" s="4" t="inlineStr">
        <x:is>
          <x:t xml:space="preserve">ORD-2025-0064</x:t>
        </x:is>
      </x:c>
      <x:c r="C98" s="17" t="n">
        <x:v>45900</x:v>
      </x:c>
      <x:c r="D98" s="4" t="inlineStr">
        <x:is>
          <x:t xml:space="preserve">CUS-0284</x:t>
        </x:is>
      </x:c>
      <x:c r="E98" s="4" t="inlineStr">
        <x:is>
          <x:t xml:space="preserve">Desk Lamp</x:t>
        </x:is>
      </x:c>
      <x:c r="F98" s="4" t="inlineStr">
        <x:is>
          <x:t xml:space="preserve">Furniture</x:t>
        </x:is>
      </x:c>
      <x:c r="G98" s="4" t="inlineStr">
        <x:is>
          <x:t xml:space="preserve">Boston</x:t>
        </x:is>
      </x:c>
      <x:c r="H98" s="18" t="n">
        <x:v>2</x:v>
      </x:c>
      <x:c r="I98" s="19" t="n">
        <x:v>53.7</x:v>
      </x:c>
      <x:c r="J98" s="20" t="n">
        <x:v>0.05</x:v>
      </x:c>
      <x:c r="K98" s="4" t="inlineStr">
        <x:is>
          <x:t xml:space="preserve">PayPal</x:t>
        </x:is>
      </x:c>
      <x:c r="L98" s="19" t="n">
        <x:v>107.4</x:v>
      </x:c>
      <x:c r="M98" s="19" t="n">
        <x:v>5.37</x:v>
      </x:c>
      <x:c r="N98" s="19" t="n">
        <x:v>102.03</x:v>
      </x:c>
      <x:c r="O98" s="4" t="n">
        <x:f>YEAR(C98)</x:f>
        <x:v>2025</x:v>
      </x:c>
      <x:c r="P98" s="4" t="str">
        <x:f>TEXT(C98,"yyyy-mm")</x:f>
        <x:v>2025-08</x:v>
      </x:c>
      <x:c r="Q98" s="4" t="str">
        <x:f>TEXT(C98,"mmmm")</x:f>
        <x:v>August</x:v>
      </x:c>
    </x:row>
    <x:row r="99" ht="20" customHeight="1">
      <x:c r="A99" s="4" t="inlineStr">
        <x:is>
          <x:t xml:space="preserve">LINE-00099</x:t>
        </x:is>
      </x:c>
      <x:c r="B99" s="4" t="inlineStr">
        <x:is>
          <x:t xml:space="preserve">ORD-2025-0065</x:t>
        </x:is>
      </x:c>
      <x:c r="C99" s="17" t="n">
        <x:v>45814</x:v>
      </x:c>
      <x:c r="D99" s="4" t="inlineStr">
        <x:is>
          <x:t xml:space="preserve">CUS-0129</x:t>
        </x:is>
      </x:c>
      <x:c r="E99" s="4" t="inlineStr">
        <x:is>
          <x:t xml:space="preserve">Webcam</x:t>
        </x:is>
      </x:c>
      <x:c r="F99" s="4" t="inlineStr">
        <x:is>
          <x:t xml:space="preserve">Accessories</x:t>
        </x:is>
      </x:c>
      <x:c r="G99" s="4" t="inlineStr">
        <x:is>
          <x:t xml:space="preserve">Chicago</x:t>
        </x:is>
      </x:c>
      <x:c r="H99" s="18" t="n">
        <x:v>3</x:v>
      </x:c>
      <x:c r="I99" s="19" t="n">
        <x:v>96.48999999999999</x:v>
      </x:c>
      <x:c r="J99" s="20" t="n">
        <x:v>0.05</x:v>
      </x:c>
      <x:c r="K99" s="4" t="inlineStr">
        <x:is>
          <x:t xml:space="preserve">Credit Card</x:t>
        </x:is>
      </x:c>
      <x:c r="L99" s="19" t="n">
        <x:v>289.47</x:v>
      </x:c>
      <x:c r="M99" s="19" t="n">
        <x:v>14.47</x:v>
      </x:c>
      <x:c r="N99" s="19" t="n">
        <x:v>275</x:v>
      </x:c>
      <x:c r="O99" s="4" t="n">
        <x:f>YEAR(C99)</x:f>
        <x:v>2025</x:v>
      </x:c>
      <x:c r="P99" s="4" t="str">
        <x:f>TEXT(C99,"yyyy-mm")</x:f>
        <x:v>2025-06</x:v>
      </x:c>
      <x:c r="Q99" s="4" t="str">
        <x:f>TEXT(C99,"mmmm")</x:f>
        <x:v>June</x:v>
      </x:c>
    </x:row>
    <x:row r="100" ht="20" customHeight="1">
      <x:c r="A100" s="4" t="inlineStr">
        <x:is>
          <x:t xml:space="preserve">LINE-00100</x:t>
        </x:is>
      </x:c>
      <x:c r="B100" s="4" t="inlineStr">
        <x:is>
          <x:t xml:space="preserve">ORD-2025-0065</x:t>
        </x:is>
      </x:c>
      <x:c r="C100" s="17" t="n">
        <x:v>45814</x:v>
      </x:c>
      <x:c r="D100" s="4" t="inlineStr">
        <x:is>
          <x:t xml:space="preserve">CUS-0129</x:t>
        </x:is>
      </x:c>
      <x:c r="E100" s="4" t="inlineStr">
        <x:is>
          <x:t xml:space="preserve">Monitor</x:t>
        </x:is>
      </x:c>
      <x:c r="F100" s="4" t="inlineStr">
        <x:is>
          <x:t xml:space="preserve">Computers</x:t>
        </x:is>
      </x:c>
      <x:c r="G100" s="4" t="inlineStr">
        <x:is>
          <x:t xml:space="preserve">Chicago</x:t>
        </x:is>
      </x:c>
      <x:c r="H100" s="18" t="n">
        <x:v>1</x:v>
      </x:c>
      <x:c r="I100" s="19" t="n">
        <x:v>290.69</x:v>
      </x:c>
      <x:c r="J100" s="20" t="n">
        <x:v>0</x:v>
      </x:c>
      <x:c r="K100" s="4" t="inlineStr">
        <x:is>
          <x:t xml:space="preserve">Credit Card</x:t>
        </x:is>
      </x:c>
      <x:c r="L100" s="19" t="n">
        <x:v>290.69</x:v>
      </x:c>
      <x:c r="M100" s="19" t="n">
        <x:v>0</x:v>
      </x:c>
      <x:c r="N100" s="19" t="n">
        <x:v>290.69</x:v>
      </x:c>
      <x:c r="O100" s="4" t="n">
        <x:f>YEAR(C100)</x:f>
        <x:v>2025</x:v>
      </x:c>
      <x:c r="P100" s="4" t="str">
        <x:f>TEXT(C100,"yyyy-mm")</x:f>
        <x:v>2025-06</x:v>
      </x:c>
      <x:c r="Q100" s="4" t="str">
        <x:f>TEXT(C100,"mmmm")</x:f>
        <x:v>June</x:v>
      </x:c>
    </x:row>
    <x:row r="101" ht="20" customHeight="1">
      <x:c r="A101" s="4" t="inlineStr">
        <x:is>
          <x:t xml:space="preserve">LINE-00101</x:t>
        </x:is>
      </x:c>
      <x:c r="B101" s="4" t="inlineStr">
        <x:is>
          <x:t xml:space="preserve">ORD-2025-0066</x:t>
        </x:is>
      </x:c>
      <x:c r="C101" s="17" t="n">
        <x:v>45959</x:v>
      </x:c>
      <x:c r="D101" s="4" t="inlineStr">
        <x:is>
          <x:t xml:space="preserve">CUS-0269</x:t>
        </x:is>
      </x:c>
      <x:c r="E101" s="4" t="inlineStr">
        <x:is>
          <x:t xml:space="preserve">Wireless Mouse</x:t>
        </x:is>
      </x:c>
      <x:c r="F101" s="4" t="inlineStr">
        <x:is>
          <x:t xml:space="preserve">Accessories</x:t>
        </x:is>
      </x:c>
      <x:c r="G101" s="4" t="inlineStr">
        <x:is>
          <x:t xml:space="preserve">Boston</x:t>
        </x:is>
      </x:c>
      <x:c r="H101" s="18" t="n">
        <x:v>1</x:v>
      </x:c>
      <x:c r="I101" s="19" t="n">
        <x:v>43.58</x:v>
      </x:c>
      <x:c r="J101" s="20" t="n">
        <x:v>0.1</x:v>
      </x:c>
      <x:c r="K101" s="4" t="inlineStr">
        <x:is>
          <x:t xml:space="preserve">PayPal</x:t>
        </x:is>
      </x:c>
      <x:c r="L101" s="19" t="n">
        <x:v>43.58</x:v>
      </x:c>
      <x:c r="M101" s="19" t="n">
        <x:v>4.36</x:v>
      </x:c>
      <x:c r="N101" s="19" t="n">
        <x:v>39.22</x:v>
      </x:c>
      <x:c r="O101" s="4" t="n">
        <x:f>YEAR(C101)</x:f>
        <x:v>2025</x:v>
      </x:c>
      <x:c r="P101" s="4" t="str">
        <x:f>TEXT(C101,"yyyy-mm")</x:f>
        <x:v>2025-10</x:v>
      </x:c>
      <x:c r="Q101" s="4" t="str">
        <x:f>TEXT(C101,"mmmm")</x:f>
        <x:v>October</x:v>
      </x:c>
    </x:row>
    <x:row r="102" ht="20" customHeight="1">
      <x:c r="A102" s="4" t="inlineStr">
        <x:is>
          <x:t xml:space="preserve">LINE-00102</x:t>
        </x:is>
      </x:c>
      <x:c r="B102" s="4" t="inlineStr">
        <x:is>
          <x:t xml:space="preserve">ORD-2025-0066</x:t>
        </x:is>
      </x:c>
      <x:c r="C102" s="17" t="n">
        <x:v>45959</x:v>
      </x:c>
      <x:c r="D102" s="4" t="inlineStr">
        <x:is>
          <x:t xml:space="preserve">CUS-0269</x:t>
        </x:is>
      </x:c>
      <x:c r="E102" s="4" t="inlineStr">
        <x:is>
          <x:t xml:space="preserve">USB-C Hub</x:t>
        </x:is>
      </x:c>
      <x:c r="F102" s="4" t="inlineStr">
        <x:is>
          <x:t xml:space="preserve">Accessories</x:t>
        </x:is>
      </x:c>
      <x:c r="G102" s="4" t="inlineStr">
        <x:is>
          <x:t xml:space="preserve">Boston</x:t>
        </x:is>
      </x:c>
      <x:c r="H102" s="18" t="n">
        <x:v>1</x:v>
      </x:c>
      <x:c r="I102" s="19" t="n">
        <x:v>60.27</x:v>
      </x:c>
      <x:c r="J102" s="20" t="n">
        <x:v>0</x:v>
      </x:c>
      <x:c r="K102" s="4" t="inlineStr">
        <x:is>
          <x:t xml:space="preserve">PayPal</x:t>
        </x:is>
      </x:c>
      <x:c r="L102" s="19" t="n">
        <x:v>60.27</x:v>
      </x:c>
      <x:c r="M102" s="19" t="n">
        <x:v>0</x:v>
      </x:c>
      <x:c r="N102" s="19" t="n">
        <x:v>60.27</x:v>
      </x:c>
      <x:c r="O102" s="4" t="n">
        <x:f>YEAR(C102)</x:f>
        <x:v>2025</x:v>
      </x:c>
      <x:c r="P102" s="4" t="str">
        <x:f>TEXT(C102,"yyyy-mm")</x:f>
        <x:v>2025-10</x:v>
      </x:c>
      <x:c r="Q102" s="4" t="str">
        <x:f>TEXT(C102,"mmmm")</x:f>
        <x:v>October</x:v>
      </x:c>
    </x:row>
    <x:row r="103" ht="20" customHeight="1">
      <x:c r="A103" s="4" t="inlineStr">
        <x:is>
          <x:t xml:space="preserve">LINE-00103</x:t>
        </x:is>
      </x:c>
      <x:c r="B103" s="4" t="inlineStr">
        <x:is>
          <x:t xml:space="preserve">ORD-2025-0066</x:t>
        </x:is>
      </x:c>
      <x:c r="C103" s="17" t="n">
        <x:v>45959</x:v>
      </x:c>
      <x:c r="D103" s="4" t="inlineStr">
        <x:is>
          <x:t xml:space="preserve">CUS-0269</x:t>
        </x:is>
      </x:c>
      <x:c r="E103" s="4" t="inlineStr">
        <x:is>
          <x:t xml:space="preserve">Desk Lamp</x:t>
        </x:is>
      </x:c>
      <x:c r="F103" s="4" t="inlineStr">
        <x:is>
          <x:t xml:space="preserve">Furniture</x:t>
        </x:is>
      </x:c>
      <x:c r="G103" s="4" t="inlineStr">
        <x:is>
          <x:t xml:space="preserve">Boston</x:t>
        </x:is>
      </x:c>
      <x:c r="H103" s="18" t="n">
        <x:v>1</x:v>
      </x:c>
      <x:c r="I103" s="19" t="n">
        <x:v>58.91</x:v>
      </x:c>
      <x:c r="J103" s="20" t="n">
        <x:v>0.05</x:v>
      </x:c>
      <x:c r="K103" s="4" t="inlineStr">
        <x:is>
          <x:t xml:space="preserve">PayPal</x:t>
        </x:is>
      </x:c>
      <x:c r="L103" s="19" t="n">
        <x:v>58.91</x:v>
      </x:c>
      <x:c r="M103" s="19" t="n">
        <x:v>2.95</x:v>
      </x:c>
      <x:c r="N103" s="19" t="n">
        <x:v>55.96</x:v>
      </x:c>
      <x:c r="O103" s="4" t="n">
        <x:f>YEAR(C103)</x:f>
        <x:v>2025</x:v>
      </x:c>
      <x:c r="P103" s="4" t="str">
        <x:f>TEXT(C103,"yyyy-mm")</x:f>
        <x:v>2025-10</x:v>
      </x:c>
      <x:c r="Q103" s="4" t="str">
        <x:f>TEXT(C103,"mmmm")</x:f>
        <x:v>October</x:v>
      </x:c>
    </x:row>
    <x:row r="104" ht="20" customHeight="1">
      <x:c r="A104" s="4" t="inlineStr">
        <x:is>
          <x:t xml:space="preserve">LINE-00104</x:t>
        </x:is>
      </x:c>
      <x:c r="B104" s="4" t="inlineStr">
        <x:is>
          <x:t xml:space="preserve">ORD-2025-0067</x:t>
        </x:is>
      </x:c>
      <x:c r="C104" s="17" t="n">
        <x:v>45909</x:v>
      </x:c>
      <x:c r="D104" s="4" t="inlineStr">
        <x:is>
          <x:t xml:space="preserve">CUS-0053</x:t>
        </x:is>
      </x:c>
      <x:c r="E104" s="4" t="inlineStr">
        <x:is>
          <x:t xml:space="preserve">Bluetooth Speaker</x:t>
        </x:is>
      </x:c>
      <x:c r="F104" s="4" t="inlineStr">
        <x:is>
          <x:t xml:space="preserve">Audio</x:t>
        </x:is>
      </x:c>
      <x:c r="G104" s="4" t="inlineStr">
        <x:is>
          <x:t xml:space="preserve">New York</x:t>
        </x:is>
      </x:c>
      <x:c r="H104" s="18" t="n">
        <x:v>1</x:v>
      </x:c>
      <x:c r="I104" s="19" t="n">
        <x:v>118.19</x:v>
      </x:c>
      <x:c r="J104" s="20" t="n">
        <x:v>0</x:v>
      </x:c>
      <x:c r="K104" s="4" t="inlineStr">
        <x:is>
          <x:t xml:space="preserve">PayPal</x:t>
        </x:is>
      </x:c>
      <x:c r="L104" s="19" t="n">
        <x:v>118.19</x:v>
      </x:c>
      <x:c r="M104" s="19" t="n">
        <x:v>0</x:v>
      </x:c>
      <x:c r="N104" s="19" t="n">
        <x:v>118.19</x:v>
      </x:c>
      <x:c r="O104" s="4" t="n">
        <x:f>YEAR(C104)</x:f>
        <x:v>2025</x:v>
      </x:c>
      <x:c r="P104" s="4" t="str">
        <x:f>TEXT(C104,"yyyy-mm")</x:f>
        <x:v>2025-09</x:v>
      </x:c>
      <x:c r="Q104" s="4" t="str">
        <x:f>TEXT(C104,"mmmm")</x:f>
        <x:v>September</x:v>
      </x:c>
    </x:row>
    <x:row r="105" ht="20" customHeight="1">
      <x:c r="A105" s="4" t="inlineStr">
        <x:is>
          <x:t xml:space="preserve">LINE-00105</x:t>
        </x:is>
      </x:c>
      <x:c r="B105" s="4" t="inlineStr">
        <x:is>
          <x:t xml:space="preserve">ORD-2025-0068</x:t>
        </x:is>
      </x:c>
      <x:c r="C105" s="17" t="n">
        <x:v>45902</x:v>
      </x:c>
      <x:c r="D105" s="4" t="inlineStr">
        <x:is>
          <x:t xml:space="preserve">CUS-0059</x:t>
        </x:is>
      </x:c>
      <x:c r="E105" s="4" t="inlineStr">
        <x:is>
          <x:t xml:space="preserve">USB Flash Drive</x:t>
        </x:is>
      </x:c>
      <x:c r="F105" s="4" t="inlineStr">
        <x:is>
          <x:t xml:space="preserve">Storage</x:t>
        </x:is>
      </x:c>
      <x:c r="G105" s="4" t="inlineStr">
        <x:is>
          <x:t xml:space="preserve">New York</x:t>
        </x:is>
      </x:c>
      <x:c r="H105" s="18" t="n">
        <x:v>2</x:v>
      </x:c>
      <x:c r="I105" s="19" t="n">
        <x:v>27.86</x:v>
      </x:c>
      <x:c r="J105" s="20" t="n">
        <x:v>0</x:v>
      </x:c>
      <x:c r="K105" s="4" t="inlineStr">
        <x:is>
          <x:t xml:space="preserve">Bank Transfer</x:t>
        </x:is>
      </x:c>
      <x:c r="L105" s="19" t="n">
        <x:v>55.72</x:v>
      </x:c>
      <x:c r="M105" s="19" t="n">
        <x:v>0</x:v>
      </x:c>
      <x:c r="N105" s="19" t="n">
        <x:v>55.72</x:v>
      </x:c>
      <x:c r="O105" s="4" t="n">
        <x:f>YEAR(C105)</x:f>
        <x:v>2025</x:v>
      </x:c>
      <x:c r="P105" s="4" t="str">
        <x:f>TEXT(C105,"yyyy-mm")</x:f>
        <x:v>2025-09</x:v>
      </x:c>
      <x:c r="Q105" s="4" t="str">
        <x:f>TEXT(C105,"mmmm")</x:f>
        <x:v>September</x:v>
      </x:c>
    </x:row>
    <x:row r="106" ht="20" customHeight="1">
      <x:c r="A106" s="4" t="inlineStr">
        <x:is>
          <x:t xml:space="preserve">LINE-00106</x:t>
        </x:is>
      </x:c>
      <x:c r="B106" s="4" t="inlineStr">
        <x:is>
          <x:t xml:space="preserve">ORD-2025-0069</x:t>
        </x:is>
      </x:c>
      <x:c r="C106" s="17" t="n">
        <x:v>45946</x:v>
      </x:c>
      <x:c r="D106" s="4" t="inlineStr">
        <x:is>
          <x:t xml:space="preserve">CUS-0156</x:t>
        </x:is>
      </x:c>
      <x:c r="E106" s="4" t="inlineStr">
        <x:is>
          <x:t xml:space="preserve">Headphones</x:t>
        </x:is>
      </x:c>
      <x:c r="F106" s="4" t="inlineStr">
        <x:is>
          <x:t xml:space="preserve">Audio</x:t>
        </x:is>
      </x:c>
      <x:c r="G106" s="4" t="inlineStr">
        <x:is>
          <x:t xml:space="preserve">New York</x:t>
        </x:is>
      </x:c>
      <x:c r="H106" s="18" t="n">
        <x:v>2</x:v>
      </x:c>
      <x:c r="I106" s="19" t="n">
        <x:v>136.05</x:v>
      </x:c>
      <x:c r="J106" s="20" t="n">
        <x:v>0</x:v>
      </x:c>
      <x:c r="K106" s="4" t="inlineStr">
        <x:is>
          <x:t xml:space="preserve">Debit Card</x:t>
        </x:is>
      </x:c>
      <x:c r="L106" s="19" t="n">
        <x:v>272.1</x:v>
      </x:c>
      <x:c r="M106" s="19" t="n">
        <x:v>0</x:v>
      </x:c>
      <x:c r="N106" s="19" t="n">
        <x:v>272.1</x:v>
      </x:c>
      <x:c r="O106" s="4" t="n">
        <x:f>YEAR(C106)</x:f>
        <x:v>2025</x:v>
      </x:c>
      <x:c r="P106" s="4" t="str">
        <x:f>TEXT(C106,"yyyy-mm")</x:f>
        <x:v>2025-10</x:v>
      </x:c>
      <x:c r="Q106" s="4" t="str">
        <x:f>TEXT(C106,"mmmm")</x:f>
        <x:v>October</x:v>
      </x:c>
    </x:row>
    <x:row r="107" ht="20" customHeight="1">
      <x:c r="A107" s="4" t="inlineStr">
        <x:is>
          <x:t xml:space="preserve">LINE-00107</x:t>
        </x:is>
      </x:c>
      <x:c r="B107" s="4" t="inlineStr">
        <x:is>
          <x:t xml:space="preserve">ORD-2025-0070</x:t>
        </x:is>
      </x:c>
      <x:c r="C107" s="17" t="n">
        <x:v>45925</x:v>
      </x:c>
      <x:c r="D107" s="4" t="inlineStr">
        <x:is>
          <x:t xml:space="preserve">CUS-0195</x:t>
        </x:is>
      </x:c>
      <x:c r="E107" s="4" t="inlineStr">
        <x:is>
          <x:t xml:space="preserve">USB Flash Drive</x:t>
        </x:is>
      </x:c>
      <x:c r="F107" s="4" t="inlineStr">
        <x:is>
          <x:t xml:space="preserve">Storage</x:t>
        </x:is>
      </x:c>
      <x:c r="G107" s="4" t="inlineStr">
        <x:is>
          <x:t xml:space="preserve">Seattle</x:t>
        </x:is>
      </x:c>
      <x:c r="H107" s="18" t="n">
        <x:v>5</x:v>
      </x:c>
      <x:c r="I107" s="19" t="n">
        <x:v>29.07</x:v>
      </x:c>
      <x:c r="J107" s="20" t="n">
        <x:v>0.05</x:v>
      </x:c>
      <x:c r="K107" s="4" t="inlineStr">
        <x:is>
          <x:t xml:space="preserve">Bank Transfer</x:t>
        </x:is>
      </x:c>
      <x:c r="L107" s="19" t="n">
        <x:v>145.35</x:v>
      </x:c>
      <x:c r="M107" s="19" t="n">
        <x:v>7.27</x:v>
      </x:c>
      <x:c r="N107" s="19" t="n">
        <x:v>138.08</x:v>
      </x:c>
      <x:c r="O107" s="4" t="n">
        <x:f>YEAR(C107)</x:f>
        <x:v>2025</x:v>
      </x:c>
      <x:c r="P107" s="4" t="str">
        <x:f>TEXT(C107,"yyyy-mm")</x:f>
        <x:v>2025-09</x:v>
      </x:c>
      <x:c r="Q107" s="4" t="str">
        <x:f>TEXT(C107,"mmmm")</x:f>
        <x:v>September</x:v>
      </x:c>
    </x:row>
    <x:row r="108" ht="20" customHeight="1">
      <x:c r="A108" s="4" t="inlineStr">
        <x:is>
          <x:t xml:space="preserve">LINE-00108</x:t>
        </x:is>
      </x:c>
      <x:c r="B108" s="4" t="inlineStr">
        <x:is>
          <x:t xml:space="preserve">ORD-2025-0071</x:t>
        </x:is>
      </x:c>
      <x:c r="C108" s="17" t="n">
        <x:v>45970</x:v>
      </x:c>
      <x:c r="D108" s="4" t="inlineStr">
        <x:is>
          <x:t xml:space="preserve">CUS-0051</x:t>
        </x:is>
      </x:c>
      <x:c r="E108" s="4" t="inlineStr">
        <x:is>
          <x:t xml:space="preserve">Monitor</x:t>
        </x:is>
      </x:c>
      <x:c r="F108" s="4" t="inlineStr">
        <x:is>
          <x:t xml:space="preserve">Computers</x:t>
        </x:is>
      </x:c>
      <x:c r="G108" s="4" t="inlineStr">
        <x:is>
          <x:t xml:space="preserve">Chicago</x:t>
        </x:is>
      </x:c>
      <x:c r="H108" s="18" t="n">
        <x:v>1</x:v>
      </x:c>
      <x:c r="I108" s="19" t="n">
        <x:v>265.39</x:v>
      </x:c>
      <x:c r="J108" s="20" t="n">
        <x:v>0</x:v>
      </x:c>
      <x:c r="K108" s="4" t="inlineStr">
        <x:is>
          <x:t xml:space="preserve">Debit Card</x:t>
        </x:is>
      </x:c>
      <x:c r="L108" s="19" t="n">
        <x:v>265.39</x:v>
      </x:c>
      <x:c r="M108" s="19" t="n">
        <x:v>0</x:v>
      </x:c>
      <x:c r="N108" s="19" t="n">
        <x:v>265.39</x:v>
      </x:c>
      <x:c r="O108" s="4" t="n">
        <x:f>YEAR(C108)</x:f>
        <x:v>2025</x:v>
      </x:c>
      <x:c r="P108" s="4" t="str">
        <x:f>TEXT(C108,"yyyy-mm")</x:f>
        <x:v>2025-11</x:v>
      </x:c>
      <x:c r="Q108" s="4" t="str">
        <x:f>TEXT(C108,"mmmm")</x:f>
        <x:v>November</x:v>
      </x:c>
    </x:row>
    <x:row r="109" ht="20" customHeight="1">
      <x:c r="A109" s="4" t="inlineStr">
        <x:is>
          <x:t xml:space="preserve">LINE-00109</x:t>
        </x:is>
      </x:c>
      <x:c r="B109" s="4" t="inlineStr">
        <x:is>
          <x:t xml:space="preserve">ORD-2025-0072</x:t>
        </x:is>
      </x:c>
      <x:c r="C109" s="17" t="n">
        <x:v>45659</x:v>
      </x:c>
      <x:c r="D109" s="4" t="inlineStr">
        <x:is>
          <x:t xml:space="preserve">CUS-0210</x:t>
        </x:is>
      </x:c>
      <x:c r="E109" s="4" t="inlineStr">
        <x:is>
          <x:t xml:space="preserve">Wireless Mouse</x:t>
        </x:is>
      </x:c>
      <x:c r="F109" s="4" t="inlineStr">
        <x:is>
          <x:t xml:space="preserve">Accessories</x:t>
        </x:is>
      </x:c>
      <x:c r="G109" s="4" t="inlineStr">
        <x:is>
          <x:t xml:space="preserve">Seattle</x:t>
        </x:is>
      </x:c>
      <x:c r="H109" s="18" t="n">
        <x:v>1</x:v>
      </x:c>
      <x:c r="I109" s="19" t="n">
        <x:v>43.44</x:v>
      </x:c>
      <x:c r="J109" s="20" t="n">
        <x:v>0.1</x:v>
      </x:c>
      <x:c r="K109" s="4" t="inlineStr">
        <x:is>
          <x:t xml:space="preserve">Bank Transfer</x:t>
        </x:is>
      </x:c>
      <x:c r="L109" s="19" t="n">
        <x:v>43.44</x:v>
      </x:c>
      <x:c r="M109" s="19" t="n">
        <x:v>4.34</x:v>
      </x:c>
      <x:c r="N109" s="19" t="n">
        <x:v>39.1</x:v>
      </x:c>
      <x:c r="O109" s="4" t="n">
        <x:f>YEAR(C109)</x:f>
        <x:v>2025</x:v>
      </x:c>
      <x:c r="P109" s="4" t="str">
        <x:f>TEXT(C109,"yyyy-mm")</x:f>
        <x:v>2025-01</x:v>
      </x:c>
      <x:c r="Q109" s="4" t="str">
        <x:f>TEXT(C109,"mmmm")</x:f>
        <x:v>January</x:v>
      </x:c>
    </x:row>
    <x:row r="110" ht="20" customHeight="1">
      <x:c r="A110" s="4" t="inlineStr">
        <x:is>
          <x:t xml:space="preserve">LINE-00110</x:t>
        </x:is>
      </x:c>
      <x:c r="B110" s="4" t="inlineStr">
        <x:is>
          <x:t xml:space="preserve">ORD-2025-0073</x:t>
        </x:is>
      </x:c>
      <x:c r="C110" s="17" t="n">
        <x:v>45694</x:v>
      </x:c>
      <x:c r="D110" s="4" t="inlineStr">
        <x:is>
          <x:t xml:space="preserve">CUS-0120</x:t>
        </x:is>
      </x:c>
      <x:c r="E110" s="4" t="inlineStr">
        <x:is>
          <x:t xml:space="preserve">External SSD</x:t>
        </x:is>
      </x:c>
      <x:c r="F110" s="4" t="inlineStr">
        <x:is>
          <x:t xml:space="preserve">Storage</x:t>
        </x:is>
      </x:c>
      <x:c r="G110" s="4" t="inlineStr">
        <x:is>
          <x:t xml:space="preserve">Austin</x:t>
        </x:is>
      </x:c>
      <x:c r="H110" s="18" t="n">
        <x:v>1</x:v>
      </x:c>
      <x:c r="I110" s="19" t="n">
        <x:v>141.58</x:v>
      </x:c>
      <x:c r="J110" s="20" t="n">
        <x:v>0</x:v>
      </x:c>
      <x:c r="K110" s="4" t="inlineStr">
        <x:is>
          <x:t xml:space="preserve">Debit Card</x:t>
        </x:is>
      </x:c>
      <x:c r="L110" s="19" t="n">
        <x:v>141.58</x:v>
      </x:c>
      <x:c r="M110" s="19" t="n">
        <x:v>0</x:v>
      </x:c>
      <x:c r="N110" s="19" t="n">
        <x:v>141.58</x:v>
      </x:c>
      <x:c r="O110" s="4" t="n">
        <x:f>YEAR(C110)</x:f>
        <x:v>2025</x:v>
      </x:c>
      <x:c r="P110" s="4" t="str">
        <x:f>TEXT(C110,"yyyy-mm")</x:f>
        <x:v>2025-02</x:v>
      </x:c>
      <x:c r="Q110" s="4" t="str">
        <x:f>TEXT(C110,"mmmm")</x:f>
        <x:v>February</x:v>
      </x:c>
    </x:row>
    <x:row r="111" ht="20" customHeight="1">
      <x:c r="A111" s="4" t="inlineStr">
        <x:is>
          <x:t xml:space="preserve">LINE-00111</x:t>
        </x:is>
      </x:c>
      <x:c r="B111" s="4" t="inlineStr">
        <x:is>
          <x:t xml:space="preserve">ORD-2025-0074</x:t>
        </x:is>
      </x:c>
      <x:c r="C111" s="17" t="n">
        <x:v>45730</x:v>
      </x:c>
      <x:c r="D111" s="4" t="inlineStr">
        <x:is>
          <x:t xml:space="preserve">CUS-0037</x:t>
        </x:is>
      </x:c>
      <x:c r="E111" s="4" t="inlineStr">
        <x:is>
          <x:t xml:space="preserve">USB Flash Drive</x:t>
        </x:is>
      </x:c>
      <x:c r="F111" s="4" t="inlineStr">
        <x:is>
          <x:t xml:space="preserve">Storage</x:t>
        </x:is>
      </x:c>
      <x:c r="G111" s="4" t="inlineStr">
        <x:is>
          <x:t xml:space="preserve">New York</x:t>
        </x:is>
      </x:c>
      <x:c r="H111" s="18" t="n">
        <x:v>4</x:v>
      </x:c>
      <x:c r="I111" s="19" t="n">
        <x:v>29.71</x:v>
      </x:c>
      <x:c r="J111" s="20" t="n">
        <x:v>0.05</x:v>
      </x:c>
      <x:c r="K111" s="4" t="inlineStr">
        <x:is>
          <x:t xml:space="preserve">Debit Card</x:t>
        </x:is>
      </x:c>
      <x:c r="L111" s="19" t="n">
        <x:v>118.84</x:v>
      </x:c>
      <x:c r="M111" s="19" t="n">
        <x:v>5.94</x:v>
      </x:c>
      <x:c r="N111" s="19" t="n">
        <x:v>112.9</x:v>
      </x:c>
      <x:c r="O111" s="4" t="n">
        <x:f>YEAR(C111)</x:f>
        <x:v>2025</x:v>
      </x:c>
      <x:c r="P111" s="4" t="str">
        <x:f>TEXT(C111,"yyyy-mm")</x:f>
        <x:v>2025-03</x:v>
      </x:c>
      <x:c r="Q111" s="4" t="str">
        <x:f>TEXT(C111,"mmmm")</x:f>
        <x:v>March</x:v>
      </x:c>
    </x:row>
    <x:row r="112" ht="20" customHeight="1">
      <x:c r="A112" s="4" t="inlineStr">
        <x:is>
          <x:t xml:space="preserve">LINE-00112</x:t>
        </x:is>
      </x:c>
      <x:c r="B112" s="4" t="inlineStr">
        <x:is>
          <x:t xml:space="preserve">ORD-2025-0074</x:t>
        </x:is>
      </x:c>
      <x:c r="C112" s="17" t="n">
        <x:v>45730</x:v>
      </x:c>
      <x:c r="D112" s="4" t="inlineStr">
        <x:is>
          <x:t xml:space="preserve">CUS-0037</x:t>
        </x:is>
      </x:c>
      <x:c r="E112" s="4" t="inlineStr">
        <x:is>
          <x:t xml:space="preserve">Desk Lamp</x:t>
        </x:is>
      </x:c>
      <x:c r="F112" s="4" t="inlineStr">
        <x:is>
          <x:t xml:space="preserve">Furniture</x:t>
        </x:is>
      </x:c>
      <x:c r="G112" s="4" t="inlineStr">
        <x:is>
          <x:t xml:space="preserve">New York</x:t>
        </x:is>
      </x:c>
      <x:c r="H112" s="18" t="n">
        <x:v>1</x:v>
      </x:c>
      <x:c r="I112" s="19" t="n">
        <x:v>54.14</x:v>
      </x:c>
      <x:c r="J112" s="20" t="n">
        <x:v>0</x:v>
      </x:c>
      <x:c r="K112" s="4" t="inlineStr">
        <x:is>
          <x:t xml:space="preserve">Debit Card</x:t>
        </x:is>
      </x:c>
      <x:c r="L112" s="19" t="n">
        <x:v>54.14</x:v>
      </x:c>
      <x:c r="M112" s="19" t="n">
        <x:v>0</x:v>
      </x:c>
      <x:c r="N112" s="19" t="n">
        <x:v>54.14</x:v>
      </x:c>
      <x:c r="O112" s="4" t="n">
        <x:f>YEAR(C112)</x:f>
        <x:v>2025</x:v>
      </x:c>
      <x:c r="P112" s="4" t="str">
        <x:f>TEXT(C112,"yyyy-mm")</x:f>
        <x:v>2025-03</x:v>
      </x:c>
      <x:c r="Q112" s="4" t="str">
        <x:f>TEXT(C112,"mmmm")</x:f>
        <x:v>March</x:v>
      </x:c>
    </x:row>
    <x:row r="113" ht="20" customHeight="1">
      <x:c r="A113" s="4" t="inlineStr">
        <x:is>
          <x:t xml:space="preserve">LINE-00113</x:t>
        </x:is>
      </x:c>
      <x:c r="B113" s="4" t="inlineStr">
        <x:is>
          <x:t xml:space="preserve">ORD-2025-0075</x:t>
        </x:is>
      </x:c>
      <x:c r="C113" s="17" t="n">
        <x:v>45934</x:v>
      </x:c>
      <x:c r="D113" s="4" t="inlineStr">
        <x:is>
          <x:t xml:space="preserve">CUS-0253</x:t>
        </x:is>
      </x:c>
      <x:c r="E113" s="4" t="inlineStr">
        <x:is>
          <x:t xml:space="preserve">Headphones</x:t>
        </x:is>
      </x:c>
      <x:c r="F113" s="4" t="inlineStr">
        <x:is>
          <x:t xml:space="preserve">Audio</x:t>
        </x:is>
      </x:c>
      <x:c r="G113" s="4" t="inlineStr">
        <x:is>
          <x:t xml:space="preserve">Seattle</x:t>
        </x:is>
      </x:c>
      <x:c r="H113" s="18" t="n">
        <x:v>2</x:v>
      </x:c>
      <x:c r="I113" s="19" t="n">
        <x:v>120.14</x:v>
      </x:c>
      <x:c r="J113" s="20" t="n">
        <x:v>0</x:v>
      </x:c>
      <x:c r="K113" s="4" t="inlineStr">
        <x:is>
          <x:t xml:space="preserve">Credit Card</x:t>
        </x:is>
      </x:c>
      <x:c r="L113" s="19" t="n">
        <x:v>240.28</x:v>
      </x:c>
      <x:c r="M113" s="19" t="n">
        <x:v>0</x:v>
      </x:c>
      <x:c r="N113" s="19" t="n">
        <x:v>240.28</x:v>
      </x:c>
      <x:c r="O113" s="4" t="n">
        <x:f>YEAR(C113)</x:f>
        <x:v>2025</x:v>
      </x:c>
      <x:c r="P113" s="4" t="str">
        <x:f>TEXT(C113,"yyyy-mm")</x:f>
        <x:v>2025-10</x:v>
      </x:c>
      <x:c r="Q113" s="4" t="str">
        <x:f>TEXT(C113,"mmmm")</x:f>
        <x:v>October</x:v>
      </x:c>
    </x:row>
    <x:row r="114" ht="20" customHeight="1">
      <x:c r="A114" s="4" t="inlineStr">
        <x:is>
          <x:t xml:space="preserve">LINE-00114</x:t>
        </x:is>
      </x:c>
      <x:c r="B114" s="4" t="inlineStr">
        <x:is>
          <x:t xml:space="preserve">ORD-2025-0075</x:t>
        </x:is>
      </x:c>
      <x:c r="C114" s="17" t="n">
        <x:v>45934</x:v>
      </x:c>
      <x:c r="D114" s="4" t="inlineStr">
        <x:is>
          <x:t xml:space="preserve">CUS-0253</x:t>
        </x:is>
      </x:c>
      <x:c r="E114" s="4" t="inlineStr">
        <x:is>
          <x:t xml:space="preserve">Webcam</x:t>
        </x:is>
      </x:c>
      <x:c r="F114" s="4" t="inlineStr">
        <x:is>
          <x:t xml:space="preserve">Accessories</x:t>
        </x:is>
      </x:c>
      <x:c r="G114" s="4" t="inlineStr">
        <x:is>
          <x:t xml:space="preserve">Seattle</x:t>
        </x:is>
      </x:c>
      <x:c r="H114" s="18" t="n">
        <x:v>2</x:v>
      </x:c>
      <x:c r="I114" s="19" t="n">
        <x:v>95.19</x:v>
      </x:c>
      <x:c r="J114" s="20" t="n">
        <x:v>0.05</x:v>
      </x:c>
      <x:c r="K114" s="4" t="inlineStr">
        <x:is>
          <x:t xml:space="preserve">Credit Card</x:t>
        </x:is>
      </x:c>
      <x:c r="L114" s="19" t="n">
        <x:v>190.38</x:v>
      </x:c>
      <x:c r="M114" s="19" t="n">
        <x:v>9.52</x:v>
      </x:c>
      <x:c r="N114" s="19" t="n">
        <x:v>180.86</x:v>
      </x:c>
      <x:c r="O114" s="4" t="n">
        <x:f>YEAR(C114)</x:f>
        <x:v>2025</x:v>
      </x:c>
      <x:c r="P114" s="4" t="str">
        <x:f>TEXT(C114,"yyyy-mm")</x:f>
        <x:v>2025-10</x:v>
      </x:c>
      <x:c r="Q114" s="4" t="str">
        <x:f>TEXT(C114,"mmmm")</x:f>
        <x:v>October</x:v>
      </x:c>
    </x:row>
    <x:row r="115" ht="20" customHeight="1">
      <x:c r="A115" s="4" t="inlineStr">
        <x:is>
          <x:t xml:space="preserve">LINE-00115</x:t>
        </x:is>
      </x:c>
      <x:c r="B115" s="4" t="inlineStr">
        <x:is>
          <x:t xml:space="preserve">ORD-2025-0076</x:t>
        </x:is>
      </x:c>
      <x:c r="C115" s="17" t="n">
        <x:v>45668</x:v>
      </x:c>
      <x:c r="D115" s="4" t="inlineStr">
        <x:is>
          <x:t xml:space="preserve">CUS-0345</x:t>
        </x:is>
      </x:c>
      <x:c r="E115" s="4" t="inlineStr">
        <x:is>
          <x:t xml:space="preserve">Keyboard</x:t>
        </x:is>
      </x:c>
      <x:c r="F115" s="4" t="inlineStr">
        <x:is>
          <x:t xml:space="preserve">Accessories</x:t>
        </x:is>
      </x:c>
      <x:c r="G115" s="4" t="inlineStr">
        <x:is>
          <x:t xml:space="preserve">Austin</x:t>
        </x:is>
      </x:c>
      <x:c r="H115" s="18" t="n">
        <x:v>2</x:v>
      </x:c>
      <x:c r="I115" s="19" t="n">
        <x:v>74.31</x:v>
      </x:c>
      <x:c r="J115" s="20" t="n">
        <x:v>0</x:v>
      </x:c>
      <x:c r="K115" s="4" t="inlineStr">
        <x:is>
          <x:t xml:space="preserve">Credit Card</x:t>
        </x:is>
      </x:c>
      <x:c r="L115" s="19" t="n">
        <x:v>148.62</x:v>
      </x:c>
      <x:c r="M115" s="19" t="n">
        <x:v>0</x:v>
      </x:c>
      <x:c r="N115" s="19" t="n">
        <x:v>148.62</x:v>
      </x:c>
      <x:c r="O115" s="4" t="n">
        <x:f>YEAR(C115)</x:f>
        <x:v>2025</x:v>
      </x:c>
      <x:c r="P115" s="4" t="str">
        <x:f>TEXT(C115,"yyyy-mm")</x:f>
        <x:v>2025-01</x:v>
      </x:c>
      <x:c r="Q115" s="4" t="str">
        <x:f>TEXT(C115,"mmmm")</x:f>
        <x:v>January</x:v>
      </x:c>
    </x:row>
    <x:row r="116" ht="20" customHeight="1">
      <x:c r="A116" s="4" t="inlineStr">
        <x:is>
          <x:t xml:space="preserve">LINE-00116</x:t>
        </x:is>
      </x:c>
      <x:c r="B116" s="4" t="inlineStr">
        <x:is>
          <x:t xml:space="preserve">ORD-2025-0076</x:t>
        </x:is>
      </x:c>
      <x:c r="C116" s="17" t="n">
        <x:v>45668</x:v>
      </x:c>
      <x:c r="D116" s="4" t="inlineStr">
        <x:is>
          <x:t xml:space="preserve">CUS-0345</x:t>
        </x:is>
      </x:c>
      <x:c r="E116" s="4" t="inlineStr">
        <x:is>
          <x:t xml:space="preserve">Bluetooth Speaker</x:t>
        </x:is>
      </x:c>
      <x:c r="F116" s="4" t="inlineStr">
        <x:is>
          <x:t xml:space="preserve">Audio</x:t>
        </x:is>
      </x:c>
      <x:c r="G116" s="4" t="inlineStr">
        <x:is>
          <x:t xml:space="preserve">Austin</x:t>
        </x:is>
      </x:c>
      <x:c r="H116" s="18" t="n">
        <x:v>5</x:v>
      </x:c>
      <x:c r="I116" s="19" t="n">
        <x:v>108.87</x:v>
      </x:c>
      <x:c r="J116" s="20" t="n">
        <x:v>0.1</x:v>
      </x:c>
      <x:c r="K116" s="4" t="inlineStr">
        <x:is>
          <x:t xml:space="preserve">Credit Card</x:t>
        </x:is>
      </x:c>
      <x:c r="L116" s="19" t="n">
        <x:v>544.35</x:v>
      </x:c>
      <x:c r="M116" s="19" t="n">
        <x:v>54.44</x:v>
      </x:c>
      <x:c r="N116" s="19" t="n">
        <x:v>489.91</x:v>
      </x:c>
      <x:c r="O116" s="4" t="n">
        <x:f>YEAR(C116)</x:f>
        <x:v>2025</x:v>
      </x:c>
      <x:c r="P116" s="4" t="str">
        <x:f>TEXT(C116,"yyyy-mm")</x:f>
        <x:v>2025-01</x:v>
      </x:c>
      <x:c r="Q116" s="4" t="str">
        <x:f>TEXT(C116,"mmmm")</x:f>
        <x:v>January</x:v>
      </x:c>
    </x:row>
    <x:row r="117" ht="20" customHeight="1">
      <x:c r="A117" s="4" t="inlineStr">
        <x:is>
          <x:t xml:space="preserve">LINE-00117</x:t>
        </x:is>
      </x:c>
      <x:c r="B117" s="4" t="inlineStr">
        <x:is>
          <x:t xml:space="preserve">ORD-2025-0077</x:t>
        </x:is>
      </x:c>
      <x:c r="C117" s="17" t="n">
        <x:v>45704</x:v>
      </x:c>
      <x:c r="D117" s="4" t="inlineStr">
        <x:is>
          <x:t xml:space="preserve">CUS-0241</x:t>
        </x:is>
      </x:c>
      <x:c r="E117" s="4" t="inlineStr">
        <x:is>
          <x:t xml:space="preserve">Office Chair</x:t>
        </x:is>
      </x:c>
      <x:c r="F117" s="4" t="inlineStr">
        <x:is>
          <x:t xml:space="preserve">Furniture</x:t>
        </x:is>
      </x:c>
      <x:c r="G117" s="4" t="inlineStr">
        <x:is>
          <x:t xml:space="preserve">Austin</x:t>
        </x:is>
      </x:c>
      <x:c r="H117" s="18" t="n">
        <x:v>1</x:v>
      </x:c>
      <x:c r="I117" s="19" t="n">
        <x:v>226.98</x:v>
      </x:c>
      <x:c r="J117" s="20" t="n">
        <x:v>0</x:v>
      </x:c>
      <x:c r="K117" s="4" t="inlineStr">
        <x:is>
          <x:t xml:space="preserve">Bank Transfer</x:t>
        </x:is>
      </x:c>
      <x:c r="L117" s="19" t="n">
        <x:v>226.98</x:v>
      </x:c>
      <x:c r="M117" s="19" t="n">
        <x:v>0</x:v>
      </x:c>
      <x:c r="N117" s="19" t="n">
        <x:v>226.98</x:v>
      </x:c>
      <x:c r="O117" s="4" t="n">
        <x:f>YEAR(C117)</x:f>
        <x:v>2025</x:v>
      </x:c>
      <x:c r="P117" s="4" t="str">
        <x:f>TEXT(C117,"yyyy-mm")</x:f>
        <x:v>2025-02</x:v>
      </x:c>
      <x:c r="Q117" s="4" t="str">
        <x:f>TEXT(C117,"mmmm")</x:f>
        <x:v>February</x:v>
      </x:c>
    </x:row>
    <x:row r="118" ht="20" customHeight="1">
      <x:c r="A118" s="4" t="inlineStr">
        <x:is>
          <x:t xml:space="preserve">LINE-00118</x:t>
        </x:is>
      </x:c>
      <x:c r="B118" s="4" t="inlineStr">
        <x:is>
          <x:t xml:space="preserve">ORD-2025-0078</x:t>
        </x:is>
      </x:c>
      <x:c r="C118" s="17" t="n">
        <x:v>45911</x:v>
      </x:c>
      <x:c r="D118" s="4" t="inlineStr">
        <x:is>
          <x:t xml:space="preserve">CUS-0148</x:t>
        </x:is>
      </x:c>
      <x:c r="E118" s="4" t="inlineStr">
        <x:is>
          <x:t xml:space="preserve">External SSD</x:t>
        </x:is>
      </x:c>
      <x:c r="F118" s="4" t="inlineStr">
        <x:is>
          <x:t xml:space="preserve">Storage</x:t>
        </x:is>
      </x:c>
      <x:c r="G118" s="4" t="inlineStr">
        <x:is>
          <x:t xml:space="preserve">San Francisco</x:t>
        </x:is>
      </x:c>
      <x:c r="H118" s="18" t="n">
        <x:v>2</x:v>
      </x:c>
      <x:c r="I118" s="19" t="n">
        <x:v>145.55</x:v>
      </x:c>
      <x:c r="J118" s="20" t="n">
        <x:v>0</x:v>
      </x:c>
      <x:c r="K118" s="4" t="inlineStr">
        <x:is>
          <x:t xml:space="preserve">Bank Transfer</x:t>
        </x:is>
      </x:c>
      <x:c r="L118" s="19" t="n">
        <x:v>291.1</x:v>
      </x:c>
      <x:c r="M118" s="19" t="n">
        <x:v>0</x:v>
      </x:c>
      <x:c r="N118" s="19" t="n">
        <x:v>291.1</x:v>
      </x:c>
      <x:c r="O118" s="4" t="n">
        <x:f>YEAR(C118)</x:f>
        <x:v>2025</x:v>
      </x:c>
      <x:c r="P118" s="4" t="str">
        <x:f>TEXT(C118,"yyyy-mm")</x:f>
        <x:v>2025-09</x:v>
      </x:c>
      <x:c r="Q118" s="4" t="str">
        <x:f>TEXT(C118,"mmmm")</x:f>
        <x:v>September</x:v>
      </x:c>
    </x:row>
    <x:row r="119" ht="20" customHeight="1">
      <x:c r="A119" s="4" t="inlineStr">
        <x:is>
          <x:t xml:space="preserve">LINE-00119</x:t>
        </x:is>
      </x:c>
      <x:c r="B119" s="4" t="inlineStr">
        <x:is>
          <x:t xml:space="preserve">ORD-2025-0078</x:t>
        </x:is>
      </x:c>
      <x:c r="C119" s="17" t="n">
        <x:v>45911</x:v>
      </x:c>
      <x:c r="D119" s="4" t="inlineStr">
        <x:is>
          <x:t xml:space="preserve">CUS-0148</x:t>
        </x:is>
      </x:c>
      <x:c r="E119" s="4" t="inlineStr">
        <x:is>
          <x:t xml:space="preserve">Laptop</x:t>
        </x:is>
      </x:c>
      <x:c r="F119" s="4" t="inlineStr">
        <x:is>
          <x:t xml:space="preserve">Computers</x:t>
        </x:is>
      </x:c>
      <x:c r="G119" s="4" t="inlineStr">
        <x:is>
          <x:t xml:space="preserve">San Francisco</x:t>
        </x:is>
      </x:c>
      <x:c r="H119" s="18" t="n">
        <x:v>5</x:v>
      </x:c>
      <x:c r="I119" s="19" t="n">
        <x:v>935.4299999999999</x:v>
      </x:c>
      <x:c r="J119" s="20" t="n">
        <x:v>0.05</x:v>
      </x:c>
      <x:c r="K119" s="4" t="inlineStr">
        <x:is>
          <x:t xml:space="preserve">Bank Transfer</x:t>
        </x:is>
      </x:c>
      <x:c r="L119" s="19" t="n">
        <x:v>4677.15</x:v>
      </x:c>
      <x:c r="M119" s="19" t="n">
        <x:v>233.86</x:v>
      </x:c>
      <x:c r="N119" s="19" t="n">
        <x:v>4443.29</x:v>
      </x:c>
      <x:c r="O119" s="4" t="n">
        <x:f>YEAR(C119)</x:f>
        <x:v>2025</x:v>
      </x:c>
      <x:c r="P119" s="4" t="str">
        <x:f>TEXT(C119,"yyyy-mm")</x:f>
        <x:v>2025-09</x:v>
      </x:c>
      <x:c r="Q119" s="4" t="str">
        <x:f>TEXT(C119,"mmmm")</x:f>
        <x:v>September</x:v>
      </x:c>
    </x:row>
    <x:row r="120" ht="20" customHeight="1">
      <x:c r="A120" s="4" t="inlineStr">
        <x:is>
          <x:t xml:space="preserve">LINE-00120</x:t>
        </x:is>
      </x:c>
      <x:c r="B120" s="4" t="inlineStr">
        <x:is>
          <x:t xml:space="preserve">ORD-2025-0079</x:t>
        </x:is>
      </x:c>
      <x:c r="C120" s="17" t="n">
        <x:v>45658</x:v>
      </x:c>
      <x:c r="D120" s="4" t="inlineStr">
        <x:is>
          <x:t xml:space="preserve">CUS-0337</x:t>
        </x:is>
      </x:c>
      <x:c r="E120" s="4" t="inlineStr">
        <x:is>
          <x:t xml:space="preserve">Wireless Mouse</x:t>
        </x:is>
      </x:c>
      <x:c r="F120" s="4" t="inlineStr">
        <x:is>
          <x:t xml:space="preserve">Accessories</x:t>
        </x:is>
      </x:c>
      <x:c r="G120" s="4" t="inlineStr">
        <x:is>
          <x:t xml:space="preserve">Boston</x:t>
        </x:is>
      </x:c>
      <x:c r="H120" s="18" t="n">
        <x:v>2</x:v>
      </x:c>
      <x:c r="I120" s="19" t="n">
        <x:v>45.88</x:v>
      </x:c>
      <x:c r="J120" s="20" t="n">
        <x:v>0.05</x:v>
      </x:c>
      <x:c r="K120" s="4" t="inlineStr">
        <x:is>
          <x:t xml:space="preserve">Bank Transfer</x:t>
        </x:is>
      </x:c>
      <x:c r="L120" s="19" t="n">
        <x:v>91.76000000000001</x:v>
      </x:c>
      <x:c r="M120" s="19" t="n">
        <x:v>4.59</x:v>
      </x:c>
      <x:c r="N120" s="19" t="n">
        <x:v>87.17</x:v>
      </x:c>
      <x:c r="O120" s="4" t="n">
        <x:f>YEAR(C120)</x:f>
        <x:v>2025</x:v>
      </x:c>
      <x:c r="P120" s="4" t="str">
        <x:f>TEXT(C120,"yyyy-mm")</x:f>
        <x:v>2025-01</x:v>
      </x:c>
      <x:c r="Q120" s="4" t="str">
        <x:f>TEXT(C120,"mmmm")</x:f>
        <x:v>January</x:v>
      </x:c>
    </x:row>
    <x:row r="121" ht="20" customHeight="1">
      <x:c r="A121" s="4" t="inlineStr">
        <x:is>
          <x:t xml:space="preserve">LINE-00121</x:t>
        </x:is>
      </x:c>
      <x:c r="B121" s="4" t="inlineStr">
        <x:is>
          <x:t xml:space="preserve">ORD-2025-0080</x:t>
        </x:is>
      </x:c>
      <x:c r="C121" s="17" t="n">
        <x:v>45884</x:v>
      </x:c>
      <x:c r="D121" s="4" t="inlineStr">
        <x:is>
          <x:t xml:space="preserve">CUS-0027</x:t>
        </x:is>
      </x:c>
      <x:c r="E121" s="4" t="inlineStr">
        <x:is>
          <x:t xml:space="preserve">USB-C Hub</x:t>
        </x:is>
      </x:c>
      <x:c r="F121" s="4" t="inlineStr">
        <x:is>
          <x:t xml:space="preserve">Accessories</x:t>
        </x:is>
      </x:c>
      <x:c r="G121" s="4" t="inlineStr">
        <x:is>
          <x:t xml:space="preserve">Chicago</x:t>
        </x:is>
      </x:c>
      <x:c r="H121" s="18" t="n">
        <x:v>4</x:v>
      </x:c>
      <x:c r="I121" s="19" t="n">
        <x:v>64.84</x:v>
      </x:c>
      <x:c r="J121" s="20" t="n">
        <x:v>0</x:v>
      </x:c>
      <x:c r="K121" s="4" t="inlineStr">
        <x:is>
          <x:t xml:space="preserve">PayPal</x:t>
        </x:is>
      </x:c>
      <x:c r="L121" s="19" t="n">
        <x:v>259.36</x:v>
      </x:c>
      <x:c r="M121" s="19" t="n">
        <x:v>0</x:v>
      </x:c>
      <x:c r="N121" s="19" t="n">
        <x:v>259.36</x:v>
      </x:c>
      <x:c r="O121" s="4" t="n">
        <x:f>YEAR(C121)</x:f>
        <x:v>2025</x:v>
      </x:c>
      <x:c r="P121" s="4" t="str">
        <x:f>TEXT(C121,"yyyy-mm")</x:f>
        <x:v>2025-08</x:v>
      </x:c>
      <x:c r="Q121" s="4" t="str">
        <x:f>TEXT(C121,"mmmm")</x:f>
        <x:v>August</x:v>
      </x:c>
    </x:row>
    <x:row r="122" ht="20" customHeight="1">
      <x:c r="A122" s="4" t="inlineStr">
        <x:is>
          <x:t xml:space="preserve">LINE-00122</x:t>
        </x:is>
      </x:c>
      <x:c r="B122" s="4" t="inlineStr">
        <x:is>
          <x:t xml:space="preserve">ORD-2025-0080</x:t>
        </x:is>
      </x:c>
      <x:c r="C122" s="17" t="n">
        <x:v>45884</x:v>
      </x:c>
      <x:c r="D122" s="4" t="inlineStr">
        <x:is>
          <x:t xml:space="preserve">CUS-0027</x:t>
        </x:is>
      </x:c>
      <x:c r="E122" s="4" t="inlineStr">
        <x:is>
          <x:t xml:space="preserve">Bluetooth Speaker</x:t>
        </x:is>
      </x:c>
      <x:c r="F122" s="4" t="inlineStr">
        <x:is>
          <x:t xml:space="preserve">Audio</x:t>
        </x:is>
      </x:c>
      <x:c r="G122" s="4" t="inlineStr">
        <x:is>
          <x:t xml:space="preserve">Chicago</x:t>
        </x:is>
      </x:c>
      <x:c r="H122" s="18" t="n">
        <x:v>2</x:v>
      </x:c>
      <x:c r="I122" s="19" t="n">
        <x:v>115.27</x:v>
      </x:c>
      <x:c r="J122" s="20" t="n">
        <x:v>0.1</x:v>
      </x:c>
      <x:c r="K122" s="4" t="inlineStr">
        <x:is>
          <x:t xml:space="preserve">PayPal</x:t>
        </x:is>
      </x:c>
      <x:c r="L122" s="19" t="n">
        <x:v>230.54</x:v>
      </x:c>
      <x:c r="M122" s="19" t="n">
        <x:v>23.05</x:v>
      </x:c>
      <x:c r="N122" s="19" t="n">
        <x:v>207.49</x:v>
      </x:c>
      <x:c r="O122" s="4" t="n">
        <x:f>YEAR(C122)</x:f>
        <x:v>2025</x:v>
      </x:c>
      <x:c r="P122" s="4" t="str">
        <x:f>TEXT(C122,"yyyy-mm")</x:f>
        <x:v>2025-08</x:v>
      </x:c>
      <x:c r="Q122" s="4" t="str">
        <x:f>TEXT(C122,"mmmm")</x:f>
        <x:v>August</x:v>
      </x:c>
    </x:row>
    <x:row r="123" ht="20" customHeight="1">
      <x:c r="A123" s="4" t="inlineStr">
        <x:is>
          <x:t xml:space="preserve">LINE-00123</x:t>
        </x:is>
      </x:c>
      <x:c r="B123" s="4" t="inlineStr">
        <x:is>
          <x:t xml:space="preserve">ORD-2025-0081</x:t>
        </x:is>
      </x:c>
      <x:c r="C123" s="17" t="n">
        <x:v>45817</x:v>
      </x:c>
      <x:c r="D123" s="4" t="inlineStr">
        <x:is>
          <x:t xml:space="preserve">CUS-0283</x:t>
        </x:is>
      </x:c>
      <x:c r="E123" s="4" t="inlineStr">
        <x:is>
          <x:t xml:space="preserve">Monitor</x:t>
        </x:is>
      </x:c>
      <x:c r="F123" s="4" t="inlineStr">
        <x:is>
          <x:t xml:space="preserve">Computers</x:t>
        </x:is>
      </x:c>
      <x:c r="G123" s="4" t="inlineStr">
        <x:is>
          <x:t xml:space="preserve">New York</x:t>
        </x:is>
      </x:c>
      <x:c r="H123" s="18" t="n">
        <x:v>2</x:v>
      </x:c>
      <x:c r="I123" s="19" t="n">
        <x:v>262.86</x:v>
      </x:c>
      <x:c r="J123" s="20" t="n">
        <x:v>0.1</x:v>
      </x:c>
      <x:c r="K123" s="4" t="inlineStr">
        <x:is>
          <x:t xml:space="preserve">Bank Transfer</x:t>
        </x:is>
      </x:c>
      <x:c r="L123" s="19" t="n">
        <x:v>525.72</x:v>
      </x:c>
      <x:c r="M123" s="19" t="n">
        <x:v>52.57</x:v>
      </x:c>
      <x:c r="N123" s="19" t="n">
        <x:v>473.15</x:v>
      </x:c>
      <x:c r="O123" s="4" t="n">
        <x:f>YEAR(C123)</x:f>
        <x:v>2025</x:v>
      </x:c>
      <x:c r="P123" s="4" t="str">
        <x:f>TEXT(C123,"yyyy-mm")</x:f>
        <x:v>2025-06</x:v>
      </x:c>
      <x:c r="Q123" s="4" t="str">
        <x:f>TEXT(C123,"mmmm")</x:f>
        <x:v>June</x:v>
      </x:c>
    </x:row>
    <x:row r="124" ht="20" customHeight="1">
      <x:c r="A124" s="4" t="inlineStr">
        <x:is>
          <x:t xml:space="preserve">LINE-00124</x:t>
        </x:is>
      </x:c>
      <x:c r="B124" s="4" t="inlineStr">
        <x:is>
          <x:t xml:space="preserve">ORD-2025-0082</x:t>
        </x:is>
      </x:c>
      <x:c r="C124" s="17" t="n">
        <x:v>45913</x:v>
      </x:c>
      <x:c r="D124" s="4" t="inlineStr">
        <x:is>
          <x:t xml:space="preserve">CUS-0150</x:t>
        </x:is>
      </x:c>
      <x:c r="E124" s="4" t="inlineStr">
        <x:is>
          <x:t xml:space="preserve">Bluetooth Speaker</x:t>
        </x:is>
      </x:c>
      <x:c r="F124" s="4" t="inlineStr">
        <x:is>
          <x:t xml:space="preserve">Audio</x:t>
        </x:is>
      </x:c>
      <x:c r="G124" s="4" t="inlineStr">
        <x:is>
          <x:t xml:space="preserve">Boston</x:t>
        </x:is>
      </x:c>
      <x:c r="H124" s="18" t="n">
        <x:v>5</x:v>
      </x:c>
      <x:c r="I124" s="19" t="n">
        <x:v>105.49</x:v>
      </x:c>
      <x:c r="J124" s="20" t="n">
        <x:v>0.05</x:v>
      </x:c>
      <x:c r="K124" s="4" t="inlineStr">
        <x:is>
          <x:t xml:space="preserve">PayPal</x:t>
        </x:is>
      </x:c>
      <x:c r="L124" s="19" t="n">
        <x:v>527.45</x:v>
      </x:c>
      <x:c r="M124" s="19" t="n">
        <x:v>26.37</x:v>
      </x:c>
      <x:c r="N124" s="19" t="n">
        <x:v>501.08</x:v>
      </x:c>
      <x:c r="O124" s="4" t="n">
        <x:f>YEAR(C124)</x:f>
        <x:v>2025</x:v>
      </x:c>
      <x:c r="P124" s="4" t="str">
        <x:f>TEXT(C124,"yyyy-mm")</x:f>
        <x:v>2025-09</x:v>
      </x:c>
      <x:c r="Q124" s="4" t="str">
        <x:f>TEXT(C124,"mmmm")</x:f>
        <x:v>September</x:v>
      </x:c>
    </x:row>
    <x:row r="125" ht="20" customHeight="1">
      <x:c r="A125" s="4" t="inlineStr">
        <x:is>
          <x:t xml:space="preserve">LINE-00125</x:t>
        </x:is>
      </x:c>
      <x:c r="B125" s="4" t="inlineStr">
        <x:is>
          <x:t xml:space="preserve">ORD-2025-0083</x:t>
        </x:is>
      </x:c>
      <x:c r="C125" s="17" t="n">
        <x:v>45854</x:v>
      </x:c>
      <x:c r="D125" s="4" t="inlineStr">
        <x:is>
          <x:t xml:space="preserve">CUS-0098</x:t>
        </x:is>
      </x:c>
      <x:c r="E125" s="4" t="inlineStr">
        <x:is>
          <x:t xml:space="preserve">USB-C Hub</x:t>
        </x:is>
      </x:c>
      <x:c r="F125" s="4" t="inlineStr">
        <x:is>
          <x:t xml:space="preserve">Accessories</x:t>
        </x:is>
      </x:c>
      <x:c r="G125" s="4" t="inlineStr">
        <x:is>
          <x:t xml:space="preserve">Boston</x:t>
        </x:is>
      </x:c>
      <x:c r="H125" s="18" t="n">
        <x:v>4</x:v>
      </x:c>
      <x:c r="I125" s="19" t="n">
        <x:v>65.08</x:v>
      </x:c>
      <x:c r="J125" s="20" t="n">
        <x:v>0.1</x:v>
      </x:c>
      <x:c r="K125" s="4" t="inlineStr">
        <x:is>
          <x:t xml:space="preserve">Debit Card</x:t>
        </x:is>
      </x:c>
      <x:c r="L125" s="19" t="n">
        <x:v>260.32</x:v>
      </x:c>
      <x:c r="M125" s="19" t="n">
        <x:v>26.03</x:v>
      </x:c>
      <x:c r="N125" s="19" t="n">
        <x:v>234.29</x:v>
      </x:c>
      <x:c r="O125" s="4" t="n">
        <x:f>YEAR(C125)</x:f>
        <x:v>2025</x:v>
      </x:c>
      <x:c r="P125" s="4" t="str">
        <x:f>TEXT(C125,"yyyy-mm")</x:f>
        <x:v>2025-07</x:v>
      </x:c>
      <x:c r="Q125" s="4" t="str">
        <x:f>TEXT(C125,"mmmm")</x:f>
        <x:v>July</x:v>
      </x:c>
    </x:row>
    <x:row r="126" ht="20" customHeight="1">
      <x:c r="A126" s="4" t="inlineStr">
        <x:is>
          <x:t xml:space="preserve">LINE-00126</x:t>
        </x:is>
      </x:c>
      <x:c r="B126" s="4" t="inlineStr">
        <x:is>
          <x:t xml:space="preserve">ORD-2025-0083</x:t>
        </x:is>
      </x:c>
      <x:c r="C126" s="17" t="n">
        <x:v>45854</x:v>
      </x:c>
      <x:c r="D126" s="4" t="inlineStr">
        <x:is>
          <x:t xml:space="preserve">CUS-0098</x:t>
        </x:is>
      </x:c>
      <x:c r="E126" s="4" t="inlineStr">
        <x:is>
          <x:t xml:space="preserve">Headphones</x:t>
        </x:is>
      </x:c>
      <x:c r="F126" s="4" t="inlineStr">
        <x:is>
          <x:t xml:space="preserve">Audio</x:t>
        </x:is>
      </x:c>
      <x:c r="G126" s="4" t="inlineStr">
        <x:is>
          <x:t xml:space="preserve">Boston</x:t>
        </x:is>
      </x:c>
      <x:c r="H126" s="18" t="n">
        <x:v>1</x:v>
      </x:c>
      <x:c r="I126" s="19" t="n">
        <x:v>125.81</x:v>
      </x:c>
      <x:c r="J126" s="20" t="n">
        <x:v>0.05</x:v>
      </x:c>
      <x:c r="K126" s="4" t="inlineStr">
        <x:is>
          <x:t xml:space="preserve">Debit Card</x:t>
        </x:is>
      </x:c>
      <x:c r="L126" s="19" t="n">
        <x:v>125.81</x:v>
      </x:c>
      <x:c r="M126" s="19" t="n">
        <x:v>6.29</x:v>
      </x:c>
      <x:c r="N126" s="19" t="n">
        <x:v>119.52</x:v>
      </x:c>
      <x:c r="O126" s="4" t="n">
        <x:f>YEAR(C126)</x:f>
        <x:v>2025</x:v>
      </x:c>
      <x:c r="P126" s="4" t="str">
        <x:f>TEXT(C126,"yyyy-mm")</x:f>
        <x:v>2025-07</x:v>
      </x:c>
      <x:c r="Q126" s="4" t="str">
        <x:f>TEXT(C126,"mmmm")</x:f>
        <x:v>July</x:v>
      </x:c>
    </x:row>
    <x:row r="127" ht="20" customHeight="1">
      <x:c r="A127" s="4" t="inlineStr">
        <x:is>
          <x:t xml:space="preserve">LINE-00127</x:t>
        </x:is>
      </x:c>
      <x:c r="B127" s="4" t="inlineStr">
        <x:is>
          <x:t xml:space="preserve">ORD-2025-0083</x:t>
        </x:is>
      </x:c>
      <x:c r="C127" s="17" t="n">
        <x:v>45854</x:v>
      </x:c>
      <x:c r="D127" s="4" t="inlineStr">
        <x:is>
          <x:t xml:space="preserve">CUS-0098</x:t>
        </x:is>
      </x:c>
      <x:c r="E127" s="4" t="inlineStr">
        <x:is>
          <x:t xml:space="preserve">Webcam</x:t>
        </x:is>
      </x:c>
      <x:c r="F127" s="4" t="inlineStr">
        <x:is>
          <x:t xml:space="preserve">Accessories</x:t>
        </x:is>
      </x:c>
      <x:c r="G127" s="4" t="inlineStr">
        <x:is>
          <x:t xml:space="preserve">Boston</x:t>
        </x:is>
      </x:c>
      <x:c r="H127" s="18" t="n">
        <x:v>5</x:v>
      </x:c>
      <x:c r="I127" s="19" t="n">
        <x:v>89.84999999999999</x:v>
      </x:c>
      <x:c r="J127" s="20" t="n">
        <x:v>0</x:v>
      </x:c>
      <x:c r="K127" s="4" t="inlineStr">
        <x:is>
          <x:t xml:space="preserve">Debit Card</x:t>
        </x:is>
      </x:c>
      <x:c r="L127" s="19" t="n">
        <x:v>449.25</x:v>
      </x:c>
      <x:c r="M127" s="19" t="n">
        <x:v>0</x:v>
      </x:c>
      <x:c r="N127" s="19" t="n">
        <x:v>449.25</x:v>
      </x:c>
      <x:c r="O127" s="4" t="n">
        <x:f>YEAR(C127)</x:f>
        <x:v>2025</x:v>
      </x:c>
      <x:c r="P127" s="4" t="str">
        <x:f>TEXT(C127,"yyyy-mm")</x:f>
        <x:v>2025-07</x:v>
      </x:c>
      <x:c r="Q127" s="4" t="str">
        <x:f>TEXT(C127,"mmmm")</x:f>
        <x:v>July</x:v>
      </x:c>
    </x:row>
    <x:row r="128" ht="20" customHeight="1">
      <x:c r="A128" s="4" t="inlineStr">
        <x:is>
          <x:t xml:space="preserve">LINE-00128</x:t>
        </x:is>
      </x:c>
      <x:c r="B128" s="4" t="inlineStr">
        <x:is>
          <x:t xml:space="preserve">ORD-2025-0084</x:t>
        </x:is>
      </x:c>
      <x:c r="C128" s="17" t="n">
        <x:v>45933</x:v>
      </x:c>
      <x:c r="D128" s="4" t="inlineStr">
        <x:is>
          <x:t xml:space="preserve">CUS-0248</x:t>
        </x:is>
      </x:c>
      <x:c r="E128" s="4" t="inlineStr">
        <x:is>
          <x:t xml:space="preserve">External SSD</x:t>
        </x:is>
      </x:c>
      <x:c r="F128" s="4" t="inlineStr">
        <x:is>
          <x:t xml:space="preserve">Storage</x:t>
        </x:is>
      </x:c>
      <x:c r="G128" s="4" t="inlineStr">
        <x:is>
          <x:t xml:space="preserve">Austin</x:t>
        </x:is>
      </x:c>
      <x:c r="H128" s="18" t="n">
        <x:v>2</x:v>
      </x:c>
      <x:c r="I128" s="19" t="n">
        <x:v>145.72</x:v>
      </x:c>
      <x:c r="J128" s="20" t="n">
        <x:v>0</x:v>
      </x:c>
      <x:c r="K128" s="4" t="inlineStr">
        <x:is>
          <x:t xml:space="preserve">PayPal</x:t>
        </x:is>
      </x:c>
      <x:c r="L128" s="19" t="n">
        <x:v>291.44</x:v>
      </x:c>
      <x:c r="M128" s="19" t="n">
        <x:v>0</x:v>
      </x:c>
      <x:c r="N128" s="19" t="n">
        <x:v>291.44</x:v>
      </x:c>
      <x:c r="O128" s="4" t="n">
        <x:f>YEAR(C128)</x:f>
        <x:v>2025</x:v>
      </x:c>
      <x:c r="P128" s="4" t="str">
        <x:f>TEXT(C128,"yyyy-mm")</x:f>
        <x:v>2025-10</x:v>
      </x:c>
      <x:c r="Q128" s="4" t="str">
        <x:f>TEXT(C128,"mmmm")</x:f>
        <x:v>October</x:v>
      </x:c>
    </x:row>
    <x:row r="129" ht="20" customHeight="1">
      <x:c r="A129" s="4" t="inlineStr">
        <x:is>
          <x:t xml:space="preserve">LINE-00129</x:t>
        </x:is>
      </x:c>
      <x:c r="B129" s="4" t="inlineStr">
        <x:is>
          <x:t xml:space="preserve">ORD-2025-0084</x:t>
        </x:is>
      </x:c>
      <x:c r="C129" s="17" t="n">
        <x:v>45933</x:v>
      </x:c>
      <x:c r="D129" s="4" t="inlineStr">
        <x:is>
          <x:t xml:space="preserve">CUS-0248</x:t>
        </x:is>
      </x:c>
      <x:c r="E129" s="4" t="inlineStr">
        <x:is>
          <x:t xml:space="preserve">Headphones</x:t>
        </x:is>
      </x:c>
      <x:c r="F129" s="4" t="inlineStr">
        <x:is>
          <x:t xml:space="preserve">Audio</x:t>
        </x:is>
      </x:c>
      <x:c r="G129" s="4" t="inlineStr">
        <x:is>
          <x:t xml:space="preserve">Austin</x:t>
        </x:is>
      </x:c>
      <x:c r="H129" s="18" t="n">
        <x:v>3</x:v>
      </x:c>
      <x:c r="I129" s="19" t="n">
        <x:v>131.49</x:v>
      </x:c>
      <x:c r="J129" s="20" t="n">
        <x:v>0</x:v>
      </x:c>
      <x:c r="K129" s="4" t="inlineStr">
        <x:is>
          <x:t xml:space="preserve">PayPal</x:t>
        </x:is>
      </x:c>
      <x:c r="L129" s="19" t="n">
        <x:v>394.47</x:v>
      </x:c>
      <x:c r="M129" s="19" t="n">
        <x:v>0</x:v>
      </x:c>
      <x:c r="N129" s="19" t="n">
        <x:v>394.47</x:v>
      </x:c>
      <x:c r="O129" s="4" t="n">
        <x:f>YEAR(C129)</x:f>
        <x:v>2025</x:v>
      </x:c>
      <x:c r="P129" s="4" t="str">
        <x:f>TEXT(C129,"yyyy-mm")</x:f>
        <x:v>2025-10</x:v>
      </x:c>
      <x:c r="Q129" s="4" t="str">
        <x:f>TEXT(C129,"mmmm")</x:f>
        <x:v>October</x:v>
      </x:c>
    </x:row>
    <x:row r="130" ht="20" customHeight="1">
      <x:c r="A130" s="4" t="inlineStr">
        <x:is>
          <x:t xml:space="preserve">LINE-00130</x:t>
        </x:is>
      </x:c>
      <x:c r="B130" s="4" t="inlineStr">
        <x:is>
          <x:t xml:space="preserve">ORD-2025-0085</x:t>
        </x:is>
      </x:c>
      <x:c r="C130" s="17" t="n">
        <x:v>45868</x:v>
      </x:c>
      <x:c r="D130" s="4" t="inlineStr">
        <x:is>
          <x:t xml:space="preserve">CUS-0023</x:t>
        </x:is>
      </x:c>
      <x:c r="E130" s="4" t="inlineStr">
        <x:is>
          <x:t xml:space="preserve">Headphones</x:t>
        </x:is>
      </x:c>
      <x:c r="F130" s="4" t="inlineStr">
        <x:is>
          <x:t xml:space="preserve">Audio</x:t>
        </x:is>
      </x:c>
      <x:c r="G130" s="4" t="inlineStr">
        <x:is>
          <x:t xml:space="preserve">Austin</x:t>
        </x:is>
      </x:c>
      <x:c r="H130" s="18" t="n">
        <x:v>5</x:v>
      </x:c>
      <x:c r="I130" s="19" t="n">
        <x:v>136.08</x:v>
      </x:c>
      <x:c r="J130" s="20" t="n">
        <x:v>0.05</x:v>
      </x:c>
      <x:c r="K130" s="4" t="inlineStr">
        <x:is>
          <x:t xml:space="preserve">Bank Transfer</x:t>
        </x:is>
      </x:c>
      <x:c r="L130" s="19" t="n">
        <x:v>680.4</x:v>
      </x:c>
      <x:c r="M130" s="19" t="n">
        <x:v>34.02</x:v>
      </x:c>
      <x:c r="N130" s="19" t="n">
        <x:v>646.38</x:v>
      </x:c>
      <x:c r="O130" s="4" t="n">
        <x:f>YEAR(C130)</x:f>
        <x:v>2025</x:v>
      </x:c>
      <x:c r="P130" s="4" t="str">
        <x:f>TEXT(C130,"yyyy-mm")</x:f>
        <x:v>2025-07</x:v>
      </x:c>
      <x:c r="Q130" s="4" t="str">
        <x:f>TEXT(C130,"mmmm")</x:f>
        <x:v>July</x:v>
      </x:c>
    </x:row>
    <x:row r="131" ht="20" customHeight="1">
      <x:c r="A131" s="4" t="inlineStr">
        <x:is>
          <x:t xml:space="preserve">LINE-00131</x:t>
        </x:is>
      </x:c>
      <x:c r="B131" s="4" t="inlineStr">
        <x:is>
          <x:t xml:space="preserve">ORD-2025-0085</x:t>
        </x:is>
      </x:c>
      <x:c r="C131" s="17" t="n">
        <x:v>45868</x:v>
      </x:c>
      <x:c r="D131" s="4" t="inlineStr">
        <x:is>
          <x:t xml:space="preserve">CUS-0023</x:t>
        </x:is>
      </x:c>
      <x:c r="E131" s="4" t="inlineStr">
        <x:is>
          <x:t xml:space="preserve">Desk Lamp</x:t>
        </x:is>
      </x:c>
      <x:c r="F131" s="4" t="inlineStr">
        <x:is>
          <x:t xml:space="preserve">Furniture</x:t>
        </x:is>
      </x:c>
      <x:c r="G131" s="4" t="inlineStr">
        <x:is>
          <x:t xml:space="preserve">Austin</x:t>
        </x:is>
      </x:c>
      <x:c r="H131" s="18" t="n">
        <x:v>1</x:v>
      </x:c>
      <x:c r="I131" s="19" t="n">
        <x:v>59.09</x:v>
      </x:c>
      <x:c r="J131" s="20" t="n">
        <x:v>0</x:v>
      </x:c>
      <x:c r="K131" s="4" t="inlineStr">
        <x:is>
          <x:t xml:space="preserve">Bank Transfer</x:t>
        </x:is>
      </x:c>
      <x:c r="L131" s="19" t="n">
        <x:v>59.09</x:v>
      </x:c>
      <x:c r="M131" s="19" t="n">
        <x:v>0</x:v>
      </x:c>
      <x:c r="N131" s="19" t="n">
        <x:v>59.09</x:v>
      </x:c>
      <x:c r="O131" s="4" t="n">
        <x:f>YEAR(C131)</x:f>
        <x:v>2025</x:v>
      </x:c>
      <x:c r="P131" s="4" t="str">
        <x:f>TEXT(C131,"yyyy-mm")</x:f>
        <x:v>2025-07</x:v>
      </x:c>
      <x:c r="Q131" s="4" t="str">
        <x:f>TEXT(C131,"mmmm")</x:f>
        <x:v>July</x:v>
      </x:c>
    </x:row>
    <x:row r="132" ht="20" customHeight="1">
      <x:c r="A132" s="4" t="inlineStr">
        <x:is>
          <x:t xml:space="preserve">LINE-00132</x:t>
        </x:is>
      </x:c>
      <x:c r="B132" s="4" t="inlineStr">
        <x:is>
          <x:t xml:space="preserve">ORD-2025-0086</x:t>
        </x:is>
      </x:c>
      <x:c r="C132" s="17" t="n">
        <x:v>45960</x:v>
      </x:c>
      <x:c r="D132" s="4" t="inlineStr">
        <x:is>
          <x:t xml:space="preserve">CUS-0170</x:t>
        </x:is>
      </x:c>
      <x:c r="E132" s="4" t="inlineStr">
        <x:is>
          <x:t xml:space="preserve">Bluetooth Speaker</x:t>
        </x:is>
      </x:c>
      <x:c r="F132" s="4" t="inlineStr">
        <x:is>
          <x:t xml:space="preserve">Audio</x:t>
        </x:is>
      </x:c>
      <x:c r="G132" s="4" t="inlineStr">
        <x:is>
          <x:t xml:space="preserve">New York</x:t>
        </x:is>
      </x:c>
      <x:c r="H132" s="18" t="n">
        <x:v>1</x:v>
      </x:c>
      <x:c r="I132" s="19" t="n">
        <x:v>103.74</x:v>
      </x:c>
      <x:c r="J132" s="20" t="n">
        <x:v>0.15</x:v>
      </x:c>
      <x:c r="K132" s="4" t="inlineStr">
        <x:is>
          <x:t xml:space="preserve">Bank Transfer</x:t>
        </x:is>
      </x:c>
      <x:c r="L132" s="19" t="n">
        <x:v>103.74</x:v>
      </x:c>
      <x:c r="M132" s="19" t="n">
        <x:v>15.56</x:v>
      </x:c>
      <x:c r="N132" s="19" t="n">
        <x:v>88.18000000000001</x:v>
      </x:c>
      <x:c r="O132" s="4" t="n">
        <x:f>YEAR(C132)</x:f>
        <x:v>2025</x:v>
      </x:c>
      <x:c r="P132" s="4" t="str">
        <x:f>TEXT(C132,"yyyy-mm")</x:f>
        <x:v>2025-10</x:v>
      </x:c>
      <x:c r="Q132" s="4" t="str">
        <x:f>TEXT(C132,"mmmm")</x:f>
        <x:v>October</x:v>
      </x:c>
    </x:row>
    <x:row r="133" ht="20" customHeight="1">
      <x:c r="A133" s="4" t="inlineStr">
        <x:is>
          <x:t xml:space="preserve">LINE-00133</x:t>
        </x:is>
      </x:c>
      <x:c r="B133" s="4" t="inlineStr">
        <x:is>
          <x:t xml:space="preserve">ORD-2025-0087</x:t>
        </x:is>
      </x:c>
      <x:c r="C133" s="17" t="n">
        <x:v>45737</x:v>
      </x:c>
      <x:c r="D133" s="4" t="inlineStr">
        <x:is>
          <x:t xml:space="preserve">CUS-0039</x:t>
        </x:is>
      </x:c>
      <x:c r="E133" s="4" t="inlineStr">
        <x:is>
          <x:t xml:space="preserve">Desk Lamp</x:t>
        </x:is>
      </x:c>
      <x:c r="F133" s="4" t="inlineStr">
        <x:is>
          <x:t xml:space="preserve">Furniture</x:t>
        </x:is>
      </x:c>
      <x:c r="G133" s="4" t="inlineStr">
        <x:is>
          <x:t xml:space="preserve">Seattle</x:t>
        </x:is>
      </x:c>
      <x:c r="H133" s="18" t="n">
        <x:v>1</x:v>
      </x:c>
      <x:c r="I133" s="19" t="n">
        <x:v>51.31</x:v>
      </x:c>
      <x:c r="J133" s="20" t="n">
        <x:v>0</x:v>
      </x:c>
      <x:c r="K133" s="4" t="inlineStr">
        <x:is>
          <x:t xml:space="preserve">PayPal</x:t>
        </x:is>
      </x:c>
      <x:c r="L133" s="19" t="n">
        <x:v>51.31</x:v>
      </x:c>
      <x:c r="M133" s="19" t="n">
        <x:v>0</x:v>
      </x:c>
      <x:c r="N133" s="19" t="n">
        <x:v>51.31</x:v>
      </x:c>
      <x:c r="O133" s="4" t="n">
        <x:f>YEAR(C133)</x:f>
        <x:v>2025</x:v>
      </x:c>
      <x:c r="P133" s="4" t="str">
        <x:f>TEXT(C133,"yyyy-mm")</x:f>
        <x:v>2025-03</x:v>
      </x:c>
      <x:c r="Q133" s="4" t="str">
        <x:f>TEXT(C133,"mmmm")</x:f>
        <x:v>March</x:v>
      </x:c>
    </x:row>
    <x:row r="134" ht="20" customHeight="1">
      <x:c r="A134" s="4" t="inlineStr">
        <x:is>
          <x:t xml:space="preserve">LINE-00134</x:t>
        </x:is>
      </x:c>
      <x:c r="B134" s="4" t="inlineStr">
        <x:is>
          <x:t xml:space="preserve">ORD-2025-0088</x:t>
        </x:is>
      </x:c>
      <x:c r="C134" s="17" t="n">
        <x:v>46003</x:v>
      </x:c>
      <x:c r="D134" s="4" t="inlineStr">
        <x:is>
          <x:t xml:space="preserve">CUS-0274</x:t>
        </x:is>
      </x:c>
      <x:c r="E134" s="4" t="inlineStr">
        <x:is>
          <x:t xml:space="preserve">Bluetooth Speaker</x:t>
        </x:is>
      </x:c>
      <x:c r="F134" s="4" t="inlineStr">
        <x:is>
          <x:t xml:space="preserve">Audio</x:t>
        </x:is>
      </x:c>
      <x:c r="G134" s="4" t="inlineStr">
        <x:is>
          <x:t xml:space="preserve">Seattle</x:t>
        </x:is>
      </x:c>
      <x:c r="H134" s="18" t="n">
        <x:v>1</x:v>
      </x:c>
      <x:c r="I134" s="19" t="n">
        <x:v>102.4</x:v>
      </x:c>
      <x:c r="J134" s="20" t="n">
        <x:v>0.05</x:v>
      </x:c>
      <x:c r="K134" s="4" t="inlineStr">
        <x:is>
          <x:t xml:space="preserve">PayPal</x:t>
        </x:is>
      </x:c>
      <x:c r="L134" s="19" t="n">
        <x:v>102.4</x:v>
      </x:c>
      <x:c r="M134" s="19" t="n">
        <x:v>5.12</x:v>
      </x:c>
      <x:c r="N134" s="19" t="n">
        <x:v>97.28</x:v>
      </x:c>
      <x:c r="O134" s="4" t="n">
        <x:f>YEAR(C134)</x:f>
        <x:v>2025</x:v>
      </x:c>
      <x:c r="P134" s="4" t="str">
        <x:f>TEXT(C134,"yyyy-mm")</x:f>
        <x:v>2025-12</x:v>
      </x:c>
      <x:c r="Q134" s="4" t="str">
        <x:f>TEXT(C134,"mmmm")</x:f>
        <x:v>December</x:v>
      </x:c>
    </x:row>
    <x:row r="135" ht="20" customHeight="1">
      <x:c r="A135" s="4" t="inlineStr">
        <x:is>
          <x:t xml:space="preserve">LINE-00135</x:t>
        </x:is>
      </x:c>
      <x:c r="B135" s="4" t="inlineStr">
        <x:is>
          <x:t xml:space="preserve">ORD-2025-0088</x:t>
        </x:is>
      </x:c>
      <x:c r="C135" s="17" t="n">
        <x:v>46003</x:v>
      </x:c>
      <x:c r="D135" s="4" t="inlineStr">
        <x:is>
          <x:t xml:space="preserve">CUS-0274</x:t>
        </x:is>
      </x:c>
      <x:c r="E135" s="4" t="inlineStr">
        <x:is>
          <x:t xml:space="preserve">External SSD</x:t>
        </x:is>
      </x:c>
      <x:c r="F135" s="4" t="inlineStr">
        <x:is>
          <x:t xml:space="preserve">Storage</x:t>
        </x:is>
      </x:c>
      <x:c r="G135" s="4" t="inlineStr">
        <x:is>
          <x:t xml:space="preserve">Seattle</x:t>
        </x:is>
      </x:c>
      <x:c r="H135" s="18" t="n">
        <x:v>4</x:v>
      </x:c>
      <x:c r="I135" s="19" t="n">
        <x:v>161.94</x:v>
      </x:c>
      <x:c r="J135" s="20" t="n">
        <x:v>0.1</x:v>
      </x:c>
      <x:c r="K135" s="4" t="inlineStr">
        <x:is>
          <x:t xml:space="preserve">PayPal</x:t>
        </x:is>
      </x:c>
      <x:c r="L135" s="19" t="n">
        <x:v>647.76</x:v>
      </x:c>
      <x:c r="M135" s="19" t="n">
        <x:v>64.78</x:v>
      </x:c>
      <x:c r="N135" s="19" t="n">
        <x:v>582.98</x:v>
      </x:c>
      <x:c r="O135" s="4" t="n">
        <x:f>YEAR(C135)</x:f>
        <x:v>2025</x:v>
      </x:c>
      <x:c r="P135" s="4" t="str">
        <x:f>TEXT(C135,"yyyy-mm")</x:f>
        <x:v>2025-12</x:v>
      </x:c>
      <x:c r="Q135" s="4" t="str">
        <x:f>TEXT(C135,"mmmm")</x:f>
        <x:v>December</x:v>
      </x:c>
    </x:row>
    <x:row r="136" ht="20" customHeight="1">
      <x:c r="A136" s="4" t="inlineStr">
        <x:is>
          <x:t xml:space="preserve">LINE-00136</x:t>
        </x:is>
      </x:c>
      <x:c r="B136" s="4" t="inlineStr">
        <x:is>
          <x:t xml:space="preserve">ORD-2025-0089</x:t>
        </x:is>
      </x:c>
      <x:c r="C136" s="17" t="n">
        <x:v>45880</x:v>
      </x:c>
      <x:c r="D136" s="4" t="inlineStr">
        <x:is>
          <x:t xml:space="preserve">CUS-0051</x:t>
        </x:is>
      </x:c>
      <x:c r="E136" s="4" t="inlineStr">
        <x:is>
          <x:t xml:space="preserve">Desk Lamp</x:t>
        </x:is>
      </x:c>
      <x:c r="F136" s="4" t="inlineStr">
        <x:is>
          <x:t xml:space="preserve">Furniture</x:t>
        </x:is>
      </x:c>
      <x:c r="G136" s="4" t="inlineStr">
        <x:is>
          <x:t xml:space="preserve">San Francisco</x:t>
        </x:is>
      </x:c>
      <x:c r="H136" s="18" t="n">
        <x:v>1</x:v>
      </x:c>
      <x:c r="I136" s="19" t="n">
        <x:v>50.85</x:v>
      </x:c>
      <x:c r="J136" s="20" t="n">
        <x:v>0</x:v>
      </x:c>
      <x:c r="K136" s="4" t="inlineStr">
        <x:is>
          <x:t xml:space="preserve">Credit Card</x:t>
        </x:is>
      </x:c>
      <x:c r="L136" s="19" t="n">
        <x:v>50.85</x:v>
      </x:c>
      <x:c r="M136" s="19" t="n">
        <x:v>0</x:v>
      </x:c>
      <x:c r="N136" s="19" t="n">
        <x:v>50.85</x:v>
      </x:c>
      <x:c r="O136" s="4" t="n">
        <x:f>YEAR(C136)</x:f>
        <x:v>2025</x:v>
      </x:c>
      <x:c r="P136" s="4" t="str">
        <x:f>TEXT(C136,"yyyy-mm")</x:f>
        <x:v>2025-08</x:v>
      </x:c>
      <x:c r="Q136" s="4" t="str">
        <x:f>TEXT(C136,"mmmm")</x:f>
        <x:v>August</x:v>
      </x:c>
    </x:row>
    <x:row r="137" ht="20" customHeight="1">
      <x:c r="A137" s="4" t="inlineStr">
        <x:is>
          <x:t xml:space="preserve">LINE-00137</x:t>
        </x:is>
      </x:c>
      <x:c r="B137" s="4" t="inlineStr">
        <x:is>
          <x:t xml:space="preserve">ORD-2025-0090</x:t>
        </x:is>
      </x:c>
      <x:c r="C137" s="17" t="n">
        <x:v>45686</x:v>
      </x:c>
      <x:c r="D137" s="4" t="inlineStr">
        <x:is>
          <x:t xml:space="preserve">CUS-0151</x:t>
        </x:is>
      </x:c>
      <x:c r="E137" s="4" t="inlineStr">
        <x:is>
          <x:t xml:space="preserve">Wireless Mouse</x:t>
        </x:is>
      </x:c>
      <x:c r="F137" s="4" t="inlineStr">
        <x:is>
          <x:t xml:space="preserve">Accessories</x:t>
        </x:is>
      </x:c>
      <x:c r="G137" s="4" t="inlineStr">
        <x:is>
          <x:t xml:space="preserve">Austin</x:t>
        </x:is>
      </x:c>
      <x:c r="H137" s="18" t="n">
        <x:v>2</x:v>
      </x:c>
      <x:c r="I137" s="19" t="n">
        <x:v>45.47</x:v>
      </x:c>
      <x:c r="J137" s="20" t="n">
        <x:v>0.1</x:v>
      </x:c>
      <x:c r="K137" s="4" t="inlineStr">
        <x:is>
          <x:t xml:space="preserve">PayPal</x:t>
        </x:is>
      </x:c>
      <x:c r="L137" s="19" t="n">
        <x:v>90.94</x:v>
      </x:c>
      <x:c r="M137" s="19" t="n">
        <x:v>9.09</x:v>
      </x:c>
      <x:c r="N137" s="19" t="n">
        <x:v>81.84999999999999</x:v>
      </x:c>
      <x:c r="O137" s="4" t="n">
        <x:f>YEAR(C137)</x:f>
        <x:v>2025</x:v>
      </x:c>
      <x:c r="P137" s="4" t="str">
        <x:f>TEXT(C137,"yyyy-mm")</x:f>
        <x:v>2025-01</x:v>
      </x:c>
      <x:c r="Q137" s="4" t="str">
        <x:f>TEXT(C137,"mmmm")</x:f>
        <x:v>January</x:v>
      </x:c>
    </x:row>
    <x:row r="138" ht="20" customHeight="1">
      <x:c r="A138" s="4" t="inlineStr">
        <x:is>
          <x:t xml:space="preserve">LINE-00138</x:t>
        </x:is>
      </x:c>
      <x:c r="B138" s="4" t="inlineStr">
        <x:is>
          <x:t xml:space="preserve">ORD-2025-0091</x:t>
        </x:is>
      </x:c>
      <x:c r="C138" s="17" t="n">
        <x:v>45745</x:v>
      </x:c>
      <x:c r="D138" s="4" t="inlineStr">
        <x:is>
          <x:t xml:space="preserve">CUS-0090</x:t>
        </x:is>
      </x:c>
      <x:c r="E138" s="4" t="inlineStr">
        <x:is>
          <x:t xml:space="preserve">Wireless Mouse</x:t>
        </x:is>
      </x:c>
      <x:c r="F138" s="4" t="inlineStr">
        <x:is>
          <x:t xml:space="preserve">Accessories</x:t>
        </x:is>
      </x:c>
      <x:c r="G138" s="4" t="inlineStr">
        <x:is>
          <x:t xml:space="preserve">New York</x:t>
        </x:is>
      </x:c>
      <x:c r="H138" s="18" t="n">
        <x:v>4</x:v>
      </x:c>
      <x:c r="I138" s="19" t="n">
        <x:v>42.43</x:v>
      </x:c>
      <x:c r="J138" s="20" t="n">
        <x:v>0.05</x:v>
      </x:c>
      <x:c r="K138" s="4" t="inlineStr">
        <x:is>
          <x:t xml:space="preserve">Bank Transfer</x:t>
        </x:is>
      </x:c>
      <x:c r="L138" s="19" t="n">
        <x:v>169.72</x:v>
      </x:c>
      <x:c r="M138" s="19" t="n">
        <x:v>8.49</x:v>
      </x:c>
      <x:c r="N138" s="19" t="n">
        <x:v>161.23</x:v>
      </x:c>
      <x:c r="O138" s="4" t="n">
        <x:f>YEAR(C138)</x:f>
        <x:v>2025</x:v>
      </x:c>
      <x:c r="P138" s="4" t="str">
        <x:f>TEXT(C138,"yyyy-mm")</x:f>
        <x:v>2025-03</x:v>
      </x:c>
      <x:c r="Q138" s="4" t="str">
        <x:f>TEXT(C138,"mmmm")</x:f>
        <x:v>March</x:v>
      </x:c>
    </x:row>
    <x:row r="139" ht="20" customHeight="1">
      <x:c r="A139" s="4" t="inlineStr">
        <x:is>
          <x:t xml:space="preserve">LINE-00139</x:t>
        </x:is>
      </x:c>
      <x:c r="B139" s="4" t="inlineStr">
        <x:is>
          <x:t xml:space="preserve">ORD-2025-0091</x:t>
        </x:is>
      </x:c>
      <x:c r="C139" s="17" t="n">
        <x:v>45745</x:v>
      </x:c>
      <x:c r="D139" s="4" t="inlineStr">
        <x:is>
          <x:t xml:space="preserve">CUS-0090</x:t>
        </x:is>
      </x:c>
      <x:c r="E139" s="4" t="inlineStr">
        <x:is>
          <x:t xml:space="preserve">Bluetooth Speaker</x:t>
        </x:is>
      </x:c>
      <x:c r="F139" s="4" t="inlineStr">
        <x:is>
          <x:t xml:space="preserve">Audio</x:t>
        </x:is>
      </x:c>
      <x:c r="G139" s="4" t="inlineStr">
        <x:is>
          <x:t xml:space="preserve">New York</x:t>
        </x:is>
      </x:c>
      <x:c r="H139" s="18" t="n">
        <x:v>1</x:v>
      </x:c>
      <x:c r="I139" s="19" t="n">
        <x:v>105.69</x:v>
      </x:c>
      <x:c r="J139" s="20" t="n">
        <x:v>0</x:v>
      </x:c>
      <x:c r="K139" s="4" t="inlineStr">
        <x:is>
          <x:t xml:space="preserve">Bank Transfer</x:t>
        </x:is>
      </x:c>
      <x:c r="L139" s="19" t="n">
        <x:v>105.69</x:v>
      </x:c>
      <x:c r="M139" s="19" t="n">
        <x:v>0</x:v>
      </x:c>
      <x:c r="N139" s="19" t="n">
        <x:v>105.69</x:v>
      </x:c>
      <x:c r="O139" s="4" t="n">
        <x:f>YEAR(C139)</x:f>
        <x:v>2025</x:v>
      </x:c>
      <x:c r="P139" s="4" t="str">
        <x:f>TEXT(C139,"yyyy-mm")</x:f>
        <x:v>2025-03</x:v>
      </x:c>
      <x:c r="Q139" s="4" t="str">
        <x:f>TEXT(C139,"mmmm")</x:f>
        <x:v>March</x:v>
      </x:c>
    </x:row>
    <x:row r="140" ht="20" customHeight="1">
      <x:c r="A140" s="4" t="inlineStr">
        <x:is>
          <x:t xml:space="preserve">LINE-00140</x:t>
        </x:is>
      </x:c>
      <x:c r="B140" s="4" t="inlineStr">
        <x:is>
          <x:t xml:space="preserve">ORD-2025-0092</x:t>
        </x:is>
      </x:c>
      <x:c r="C140" s="17" t="n">
        <x:v>45896</x:v>
      </x:c>
      <x:c r="D140" s="4" t="inlineStr">
        <x:is>
          <x:t xml:space="preserve">CUS-0148</x:t>
        </x:is>
      </x:c>
      <x:c r="E140" s="4" t="inlineStr">
        <x:is>
          <x:t xml:space="preserve">Webcam</x:t>
        </x:is>
      </x:c>
      <x:c r="F140" s="4" t="inlineStr">
        <x:is>
          <x:t xml:space="preserve">Accessories</x:t>
        </x:is>
      </x:c>
      <x:c r="G140" s="4" t="inlineStr">
        <x:is>
          <x:t xml:space="preserve">San Francisco</x:t>
        </x:is>
      </x:c>
      <x:c r="H140" s="18" t="n">
        <x:v>5</x:v>
      </x:c>
      <x:c r="I140" s="19" t="n">
        <x:v>87.11</x:v>
      </x:c>
      <x:c r="J140" s="20" t="n">
        <x:v>0.2</x:v>
      </x:c>
      <x:c r="K140" s="4" t="inlineStr">
        <x:is>
          <x:t xml:space="preserve">Debit Card</x:t>
        </x:is>
      </x:c>
      <x:c r="L140" s="19" t="n">
        <x:v>435.55</x:v>
      </x:c>
      <x:c r="M140" s="19" t="n">
        <x:v>87.11</x:v>
      </x:c>
      <x:c r="N140" s="19" t="n">
        <x:v>348.44</x:v>
      </x:c>
      <x:c r="O140" s="4" t="n">
        <x:f>YEAR(C140)</x:f>
        <x:v>2025</x:v>
      </x:c>
      <x:c r="P140" s="4" t="str">
        <x:f>TEXT(C140,"yyyy-mm")</x:f>
        <x:v>2025-08</x:v>
      </x:c>
      <x:c r="Q140" s="4" t="str">
        <x:f>TEXT(C140,"mmmm")</x:f>
        <x:v>August</x:v>
      </x:c>
    </x:row>
    <x:row r="141" ht="20" customHeight="1">
      <x:c r="A141" s="4" t="inlineStr">
        <x:is>
          <x:t xml:space="preserve">LINE-00141</x:t>
        </x:is>
      </x:c>
      <x:c r="B141" s="4" t="inlineStr">
        <x:is>
          <x:t xml:space="preserve">ORD-2025-0093</x:t>
        </x:is>
      </x:c>
      <x:c r="C141" s="17" t="n">
        <x:v>46011</x:v>
      </x:c>
      <x:c r="D141" s="4" t="inlineStr">
        <x:is>
          <x:t xml:space="preserve">CUS-0129</x:t>
        </x:is>
      </x:c>
      <x:c r="E141" s="4" t="inlineStr">
        <x:is>
          <x:t xml:space="preserve">Headphones</x:t>
        </x:is>
      </x:c>
      <x:c r="F141" s="4" t="inlineStr">
        <x:is>
          <x:t xml:space="preserve">Audio</x:t>
        </x:is>
      </x:c>
      <x:c r="G141" s="4" t="inlineStr">
        <x:is>
          <x:t xml:space="preserve">Seattle</x:t>
        </x:is>
      </x:c>
      <x:c r="H141" s="18" t="n">
        <x:v>3</x:v>
      </x:c>
      <x:c r="I141" s="19" t="n">
        <x:v>121.82</x:v>
      </x:c>
      <x:c r="J141" s="20" t="n">
        <x:v>0</x:v>
      </x:c>
      <x:c r="K141" s="4" t="inlineStr">
        <x:is>
          <x:t xml:space="preserve">PayPal</x:t>
        </x:is>
      </x:c>
      <x:c r="L141" s="19" t="n">
        <x:v>365.46</x:v>
      </x:c>
      <x:c r="M141" s="19" t="n">
        <x:v>0</x:v>
      </x:c>
      <x:c r="N141" s="19" t="n">
        <x:v>365.46</x:v>
      </x:c>
      <x:c r="O141" s="4" t="n">
        <x:f>YEAR(C141)</x:f>
        <x:v>2025</x:v>
      </x:c>
      <x:c r="P141" s="4" t="str">
        <x:f>TEXT(C141,"yyyy-mm")</x:f>
        <x:v>2025-12</x:v>
      </x:c>
      <x:c r="Q141" s="4" t="str">
        <x:f>TEXT(C141,"mmmm")</x:f>
        <x:v>December</x:v>
      </x:c>
    </x:row>
    <x:row r="142" ht="20" customHeight="1">
      <x:c r="A142" s="4" t="inlineStr">
        <x:is>
          <x:t xml:space="preserve">LINE-00142</x:t>
        </x:is>
      </x:c>
      <x:c r="B142" s="4" t="inlineStr">
        <x:is>
          <x:t xml:space="preserve">ORD-2025-0094</x:t>
        </x:is>
      </x:c>
      <x:c r="C142" s="17" t="n">
        <x:v>45841</x:v>
      </x:c>
      <x:c r="D142" s="4" t="inlineStr">
        <x:is>
          <x:t xml:space="preserve">CUS-0295</x:t>
        </x:is>
      </x:c>
      <x:c r="E142" s="4" t="inlineStr">
        <x:is>
          <x:t xml:space="preserve">Office Chair</x:t>
        </x:is>
      </x:c>
      <x:c r="F142" s="4" t="inlineStr">
        <x:is>
          <x:t xml:space="preserve">Furniture</x:t>
        </x:is>
      </x:c>
      <x:c r="G142" s="4" t="inlineStr">
        <x:is>
          <x:t xml:space="preserve">Austin</x:t>
        </x:is>
      </x:c>
      <x:c r="H142" s="18" t="n">
        <x:v>1</x:v>
      </x:c>
      <x:c r="I142" s="19" t="n">
        <x:v>221.11</x:v>
      </x:c>
      <x:c r="J142" s="20" t="n">
        <x:v>0.1</x:v>
      </x:c>
      <x:c r="K142" s="4" t="inlineStr">
        <x:is>
          <x:t xml:space="preserve">PayPal</x:t>
        </x:is>
      </x:c>
      <x:c r="L142" s="19" t="n">
        <x:v>221.11</x:v>
      </x:c>
      <x:c r="M142" s="19" t="n">
        <x:v>22.11</x:v>
      </x:c>
      <x:c r="N142" s="19" t="n">
        <x:v>199</x:v>
      </x:c>
      <x:c r="O142" s="4" t="n">
        <x:f>YEAR(C142)</x:f>
        <x:v>2025</x:v>
      </x:c>
      <x:c r="P142" s="4" t="str">
        <x:f>TEXT(C142,"yyyy-mm")</x:f>
        <x:v>2025-07</x:v>
      </x:c>
      <x:c r="Q142" s="4" t="str">
        <x:f>TEXT(C142,"mmmm")</x:f>
        <x:v>July</x:v>
      </x:c>
    </x:row>
    <x:row r="143" ht="20" customHeight="1">
      <x:c r="A143" s="4" t="inlineStr">
        <x:is>
          <x:t xml:space="preserve">LINE-00143</x:t>
        </x:is>
      </x:c>
      <x:c r="B143" s="4" t="inlineStr">
        <x:is>
          <x:t xml:space="preserve">ORD-2025-0095</x:t>
        </x:is>
      </x:c>
      <x:c r="C143" s="17" t="n">
        <x:v>45683</x:v>
      </x:c>
      <x:c r="D143" s="4" t="inlineStr">
        <x:is>
          <x:t xml:space="preserve">CUS-0311</x:t>
        </x:is>
      </x:c>
      <x:c r="E143" s="4" t="inlineStr">
        <x:is>
          <x:t xml:space="preserve">USB-C Hub</x:t>
        </x:is>
      </x:c>
      <x:c r="F143" s="4" t="inlineStr">
        <x:is>
          <x:t xml:space="preserve">Accessories</x:t>
        </x:is>
      </x:c>
      <x:c r="G143" s="4" t="inlineStr">
        <x:is>
          <x:t xml:space="preserve">San Francisco</x:t>
        </x:is>
      </x:c>
      <x:c r="H143" s="18" t="n">
        <x:v>2</x:v>
      </x:c>
      <x:c r="I143" s="19" t="n">
        <x:v>63.46</x:v>
      </x:c>
      <x:c r="J143" s="20" t="n">
        <x:v>0.05</x:v>
      </x:c>
      <x:c r="K143" s="4" t="inlineStr">
        <x:is>
          <x:t xml:space="preserve">Bank Transfer</x:t>
        </x:is>
      </x:c>
      <x:c r="L143" s="19" t="n">
        <x:v>126.92</x:v>
      </x:c>
      <x:c r="M143" s="19" t="n">
        <x:v>6.35</x:v>
      </x:c>
      <x:c r="N143" s="19" t="n">
        <x:v>120.57</x:v>
      </x:c>
      <x:c r="O143" s="4" t="n">
        <x:f>YEAR(C143)</x:f>
        <x:v>2025</x:v>
      </x:c>
      <x:c r="P143" s="4" t="str">
        <x:f>TEXT(C143,"yyyy-mm")</x:f>
        <x:v>2025-01</x:v>
      </x:c>
      <x:c r="Q143" s="4" t="str">
        <x:f>TEXT(C143,"mmmm")</x:f>
        <x:v>January</x:v>
      </x:c>
    </x:row>
    <x:row r="144" ht="20" customHeight="1">
      <x:c r="A144" s="4" t="inlineStr">
        <x:is>
          <x:t xml:space="preserve">LINE-00144</x:t>
        </x:is>
      </x:c>
      <x:c r="B144" s="4" t="inlineStr">
        <x:is>
          <x:t xml:space="preserve">ORD-2025-0095</x:t>
        </x:is>
      </x:c>
      <x:c r="C144" s="17" t="n">
        <x:v>45683</x:v>
      </x:c>
      <x:c r="D144" s="4" t="inlineStr">
        <x:is>
          <x:t xml:space="preserve">CUS-0311</x:t>
        </x:is>
      </x:c>
      <x:c r="E144" s="4" t="inlineStr">
        <x:is>
          <x:t xml:space="preserve">Wireless Mouse</x:t>
        </x:is>
      </x:c>
      <x:c r="F144" s="4" t="inlineStr">
        <x:is>
          <x:t xml:space="preserve">Accessories</x:t>
        </x:is>
      </x:c>
      <x:c r="G144" s="4" t="inlineStr">
        <x:is>
          <x:t xml:space="preserve">San Francisco</x:t>
        </x:is>
      </x:c>
      <x:c r="H144" s="18" t="n">
        <x:v>2</x:v>
      </x:c>
      <x:c r="I144" s="19" t="n">
        <x:v>46.28</x:v>
      </x:c>
      <x:c r="J144" s="20" t="n">
        <x:v>0.1</x:v>
      </x:c>
      <x:c r="K144" s="4" t="inlineStr">
        <x:is>
          <x:t xml:space="preserve">Bank Transfer</x:t>
        </x:is>
      </x:c>
      <x:c r="L144" s="19" t="n">
        <x:v>92.56</x:v>
      </x:c>
      <x:c r="M144" s="19" t="n">
        <x:v>9.26</x:v>
      </x:c>
      <x:c r="N144" s="19" t="n">
        <x:v>83.3</x:v>
      </x:c>
      <x:c r="O144" s="4" t="n">
        <x:f>YEAR(C144)</x:f>
        <x:v>2025</x:v>
      </x:c>
      <x:c r="P144" s="4" t="str">
        <x:f>TEXT(C144,"yyyy-mm")</x:f>
        <x:v>2025-01</x:v>
      </x:c>
      <x:c r="Q144" s="4" t="str">
        <x:f>TEXT(C144,"mmmm")</x:f>
        <x:v>January</x:v>
      </x:c>
    </x:row>
    <x:row r="145" ht="20" customHeight="1">
      <x:c r="A145" s="4" t="inlineStr">
        <x:is>
          <x:t xml:space="preserve">LINE-00145</x:t>
        </x:is>
      </x:c>
      <x:c r="B145" s="4" t="inlineStr">
        <x:is>
          <x:t xml:space="preserve">ORD-2025-0096</x:t>
        </x:is>
      </x:c>
      <x:c r="C145" s="17" t="n">
        <x:v>45995</x:v>
      </x:c>
      <x:c r="D145" s="4" t="inlineStr">
        <x:is>
          <x:t xml:space="preserve">CUS-0349</x:t>
        </x:is>
      </x:c>
      <x:c r="E145" s="4" t="inlineStr">
        <x:is>
          <x:t xml:space="preserve">Office Chair</x:t>
        </x:is>
      </x:c>
      <x:c r="F145" s="4" t="inlineStr">
        <x:is>
          <x:t xml:space="preserve">Furniture</x:t>
        </x:is>
      </x:c>
      <x:c r="G145" s="4" t="inlineStr">
        <x:is>
          <x:t xml:space="preserve">Chicago</x:t>
        </x:is>
      </x:c>
      <x:c r="H145" s="18" t="n">
        <x:v>3</x:v>
      </x:c>
      <x:c r="I145" s="19" t="n">
        <x:v>222.08</x:v>
      </x:c>
      <x:c r="J145" s="20" t="n">
        <x:v>0</x:v>
      </x:c>
      <x:c r="K145" s="4" t="inlineStr">
        <x:is>
          <x:t xml:space="preserve">Credit Card</x:t>
        </x:is>
      </x:c>
      <x:c r="L145" s="19" t="n">
        <x:v>666.24</x:v>
      </x:c>
      <x:c r="M145" s="19" t="n">
        <x:v>0</x:v>
      </x:c>
      <x:c r="N145" s="19" t="n">
        <x:v>666.24</x:v>
      </x:c>
      <x:c r="O145" s="4" t="n">
        <x:f>YEAR(C145)</x:f>
        <x:v>2025</x:v>
      </x:c>
      <x:c r="P145" s="4" t="str">
        <x:f>TEXT(C145,"yyyy-mm")</x:f>
        <x:v>2025-12</x:v>
      </x:c>
      <x:c r="Q145" s="4" t="str">
        <x:f>TEXT(C145,"mmmm")</x:f>
        <x:v>December</x:v>
      </x:c>
    </x:row>
    <x:row r="146" ht="20" customHeight="1">
      <x:c r="A146" s="4" t="inlineStr">
        <x:is>
          <x:t xml:space="preserve">LINE-00146</x:t>
        </x:is>
      </x:c>
      <x:c r="B146" s="4" t="inlineStr">
        <x:is>
          <x:t xml:space="preserve">ORD-2025-0096</x:t>
        </x:is>
      </x:c>
      <x:c r="C146" s="17" t="n">
        <x:v>45995</x:v>
      </x:c>
      <x:c r="D146" s="4" t="inlineStr">
        <x:is>
          <x:t xml:space="preserve">CUS-0349</x:t>
        </x:is>
      </x:c>
      <x:c r="E146" s="4" t="inlineStr">
        <x:is>
          <x:t xml:space="preserve">Laptop</x:t>
        </x:is>
      </x:c>
      <x:c r="F146" s="4" t="inlineStr">
        <x:is>
          <x:t xml:space="preserve">Computers</x:t>
        </x:is>
      </x:c>
      <x:c r="G146" s="4" t="inlineStr">
        <x:is>
          <x:t xml:space="preserve">Chicago</x:t>
        </x:is>
      </x:c>
      <x:c r="H146" s="18" t="n">
        <x:v>1</x:v>
      </x:c>
      <x:c r="I146" s="19" t="n">
        <x:v>1012.26</x:v>
      </x:c>
      <x:c r="J146" s="20" t="n">
        <x:v>0</x:v>
      </x:c>
      <x:c r="K146" s="4" t="inlineStr">
        <x:is>
          <x:t xml:space="preserve">Credit Card</x:t>
        </x:is>
      </x:c>
      <x:c r="L146" s="19" t="n">
        <x:v>1012.26</x:v>
      </x:c>
      <x:c r="M146" s="19" t="n">
        <x:v>0</x:v>
      </x:c>
      <x:c r="N146" s="19" t="n">
        <x:v>1012.26</x:v>
      </x:c>
      <x:c r="O146" s="4" t="n">
        <x:f>YEAR(C146)</x:f>
        <x:v>2025</x:v>
      </x:c>
      <x:c r="P146" s="4" t="str">
        <x:f>TEXT(C146,"yyyy-mm")</x:f>
        <x:v>2025-12</x:v>
      </x:c>
      <x:c r="Q146" s="4" t="str">
        <x:f>TEXT(C146,"mmmm")</x:f>
        <x:v>December</x:v>
      </x:c>
    </x:row>
    <x:row r="147" ht="20" customHeight="1">
      <x:c r="A147" s="4" t="inlineStr">
        <x:is>
          <x:t xml:space="preserve">LINE-00147</x:t>
        </x:is>
      </x:c>
      <x:c r="B147" s="4" t="inlineStr">
        <x:is>
          <x:t xml:space="preserve">ORD-2025-0096</x:t>
        </x:is>
      </x:c>
      <x:c r="C147" s="17" t="n">
        <x:v>45995</x:v>
      </x:c>
      <x:c r="D147" s="4" t="inlineStr">
        <x:is>
          <x:t xml:space="preserve">CUS-0349</x:t>
        </x:is>
      </x:c>
      <x:c r="E147" s="4" t="inlineStr">
        <x:is>
          <x:t xml:space="preserve">USB-C Hub</x:t>
        </x:is>
      </x:c>
      <x:c r="F147" s="4" t="inlineStr">
        <x:is>
          <x:t xml:space="preserve">Accessories</x:t>
        </x:is>
      </x:c>
      <x:c r="G147" s="4" t="inlineStr">
        <x:is>
          <x:t xml:space="preserve">Chicago</x:t>
        </x:is>
      </x:c>
      <x:c r="H147" s="18" t="n">
        <x:v>2</x:v>
      </x:c>
      <x:c r="I147" s="19" t="n">
        <x:v>61.89</x:v>
      </x:c>
      <x:c r="J147" s="20" t="n">
        <x:v>0.1</x:v>
      </x:c>
      <x:c r="K147" s="4" t="inlineStr">
        <x:is>
          <x:t xml:space="preserve">Credit Card</x:t>
        </x:is>
      </x:c>
      <x:c r="L147" s="19" t="n">
        <x:v>123.78</x:v>
      </x:c>
      <x:c r="M147" s="19" t="n">
        <x:v>12.38</x:v>
      </x:c>
      <x:c r="N147" s="19" t="n">
        <x:v>111.4</x:v>
      </x:c>
      <x:c r="O147" s="4" t="n">
        <x:f>YEAR(C147)</x:f>
        <x:v>2025</x:v>
      </x:c>
      <x:c r="P147" s="4" t="str">
        <x:f>TEXT(C147,"yyyy-mm")</x:f>
        <x:v>2025-12</x:v>
      </x:c>
      <x:c r="Q147" s="4" t="str">
        <x:f>TEXT(C147,"mmmm")</x:f>
        <x:v>December</x:v>
      </x:c>
    </x:row>
    <x:row r="148" ht="20" customHeight="1">
      <x:c r="A148" s="4" t="inlineStr">
        <x:is>
          <x:t xml:space="preserve">LINE-00148</x:t>
        </x:is>
      </x:c>
      <x:c r="B148" s="4" t="inlineStr">
        <x:is>
          <x:t xml:space="preserve">ORD-2025-0097</x:t>
        </x:is>
      </x:c>
      <x:c r="C148" s="17" t="n">
        <x:v>45845</x:v>
      </x:c>
      <x:c r="D148" s="4" t="inlineStr">
        <x:is>
          <x:t xml:space="preserve">CUS-0272</x:t>
        </x:is>
      </x:c>
      <x:c r="E148" s="4" t="inlineStr">
        <x:is>
          <x:t xml:space="preserve">USB-C Hub</x:t>
        </x:is>
      </x:c>
      <x:c r="F148" s="4" t="inlineStr">
        <x:is>
          <x:t xml:space="preserve">Accessories</x:t>
        </x:is>
      </x:c>
      <x:c r="G148" s="4" t="inlineStr">
        <x:is>
          <x:t xml:space="preserve">Boston</x:t>
        </x:is>
      </x:c>
      <x:c r="H148" s="18" t="n">
        <x:v>5</x:v>
      </x:c>
      <x:c r="I148" s="19" t="n">
        <x:v>62.87</x:v>
      </x:c>
      <x:c r="J148" s="20" t="n">
        <x:v>0.15</x:v>
      </x:c>
      <x:c r="K148" s="4" t="inlineStr">
        <x:is>
          <x:t xml:space="preserve">PayPal</x:t>
        </x:is>
      </x:c>
      <x:c r="L148" s="19" t="n">
        <x:v>314.35</x:v>
      </x:c>
      <x:c r="M148" s="19" t="n">
        <x:v>47.15</x:v>
      </x:c>
      <x:c r="N148" s="19" t="n">
        <x:v>267.2</x:v>
      </x:c>
      <x:c r="O148" s="4" t="n">
        <x:f>YEAR(C148)</x:f>
        <x:v>2025</x:v>
      </x:c>
      <x:c r="P148" s="4" t="str">
        <x:f>TEXT(C148,"yyyy-mm")</x:f>
        <x:v>2025-07</x:v>
      </x:c>
      <x:c r="Q148" s="4" t="str">
        <x:f>TEXT(C148,"mmmm")</x:f>
        <x:v>July</x:v>
      </x:c>
    </x:row>
    <x:row r="149" ht="20" customHeight="1">
      <x:c r="A149" s="4" t="inlineStr">
        <x:is>
          <x:t xml:space="preserve">LINE-00149</x:t>
        </x:is>
      </x:c>
      <x:c r="B149" s="4" t="inlineStr">
        <x:is>
          <x:t xml:space="preserve">ORD-2025-0097</x:t>
        </x:is>
      </x:c>
      <x:c r="C149" s="17" t="n">
        <x:v>45845</x:v>
      </x:c>
      <x:c r="D149" s="4" t="inlineStr">
        <x:is>
          <x:t xml:space="preserve">CUS-0272</x:t>
        </x:is>
      </x:c>
      <x:c r="E149" s="4" t="inlineStr">
        <x:is>
          <x:t xml:space="preserve">Bluetooth Speaker</x:t>
        </x:is>
      </x:c>
      <x:c r="F149" s="4" t="inlineStr">
        <x:is>
          <x:t xml:space="preserve">Audio</x:t>
        </x:is>
      </x:c>
      <x:c r="G149" s="4" t="inlineStr">
        <x:is>
          <x:t xml:space="preserve">Boston</x:t>
        </x:is>
      </x:c>
      <x:c r="H149" s="18" t="n">
        <x:v>3</x:v>
      </x:c>
      <x:c r="I149" s="19" t="n">
        <x:v>109.44</x:v>
      </x:c>
      <x:c r="J149" s="20" t="n">
        <x:v>0</x:v>
      </x:c>
      <x:c r="K149" s="4" t="inlineStr">
        <x:is>
          <x:t xml:space="preserve">PayPal</x:t>
        </x:is>
      </x:c>
      <x:c r="L149" s="19" t="n">
        <x:v>328.32</x:v>
      </x:c>
      <x:c r="M149" s="19" t="n">
        <x:v>0</x:v>
      </x:c>
      <x:c r="N149" s="19" t="n">
        <x:v>328.32</x:v>
      </x:c>
      <x:c r="O149" s="4" t="n">
        <x:f>YEAR(C149)</x:f>
        <x:v>2025</x:v>
      </x:c>
      <x:c r="P149" s="4" t="str">
        <x:f>TEXT(C149,"yyyy-mm")</x:f>
        <x:v>2025-07</x:v>
      </x:c>
      <x:c r="Q149" s="4" t="str">
        <x:f>TEXT(C149,"mmmm")</x:f>
        <x:v>July</x:v>
      </x:c>
    </x:row>
    <x:row r="150" ht="20" customHeight="1">
      <x:c r="A150" s="4" t="inlineStr">
        <x:is>
          <x:t xml:space="preserve">LINE-00150</x:t>
        </x:is>
      </x:c>
      <x:c r="B150" s="4" t="inlineStr">
        <x:is>
          <x:t xml:space="preserve">ORD-2025-0098</x:t>
        </x:is>
      </x:c>
      <x:c r="C150" s="17" t="n">
        <x:v>45773</x:v>
      </x:c>
      <x:c r="D150" s="4" t="inlineStr">
        <x:is>
          <x:t xml:space="preserve">CUS-0347</x:t>
        </x:is>
      </x:c>
      <x:c r="E150" s="4" t="inlineStr">
        <x:is>
          <x:t xml:space="preserve">External SSD</x:t>
        </x:is>
      </x:c>
      <x:c r="F150" s="4" t="inlineStr">
        <x:is>
          <x:t xml:space="preserve">Storage</x:t>
        </x:is>
      </x:c>
      <x:c r="G150" s="4" t="inlineStr">
        <x:is>
          <x:t xml:space="preserve">San Francisco</x:t>
        </x:is>
      </x:c>
      <x:c r="H150" s="18" t="n">
        <x:v>3</x:v>
      </x:c>
      <x:c r="I150" s="19" t="n">
        <x:v>138.33</x:v>
      </x:c>
      <x:c r="J150" s="20" t="n">
        <x:v>0.05</x:v>
      </x:c>
      <x:c r="K150" s="4" t="inlineStr">
        <x:is>
          <x:t xml:space="preserve">Bank Transfer</x:t>
        </x:is>
      </x:c>
      <x:c r="L150" s="19" t="n">
        <x:v>414.99</x:v>
      </x:c>
      <x:c r="M150" s="19" t="n">
        <x:v>20.75</x:v>
      </x:c>
      <x:c r="N150" s="19" t="n">
        <x:v>394.24</x:v>
      </x:c>
      <x:c r="O150" s="4" t="n">
        <x:f>YEAR(C150)</x:f>
        <x:v>2025</x:v>
      </x:c>
      <x:c r="P150" s="4" t="str">
        <x:f>TEXT(C150,"yyyy-mm")</x:f>
        <x:v>2025-04</x:v>
      </x:c>
      <x:c r="Q150" s="4" t="str">
        <x:f>TEXT(C150,"mmmm")</x:f>
        <x:v>April</x:v>
      </x:c>
    </x:row>
    <x:row r="151" ht="20" customHeight="1">
      <x:c r="A151" s="4" t="inlineStr">
        <x:is>
          <x:t xml:space="preserve">LINE-00151</x:t>
        </x:is>
      </x:c>
      <x:c r="B151" s="4" t="inlineStr">
        <x:is>
          <x:t xml:space="preserve">ORD-2025-0098</x:t>
        </x:is>
      </x:c>
      <x:c r="C151" s="17" t="n">
        <x:v>45773</x:v>
      </x:c>
      <x:c r="D151" s="4" t="inlineStr">
        <x:is>
          <x:t xml:space="preserve">CUS-0347</x:t>
        </x:is>
      </x:c>
      <x:c r="E151" s="4" t="inlineStr">
        <x:is>
          <x:t xml:space="preserve">Webcam</x:t>
        </x:is>
      </x:c>
      <x:c r="F151" s="4" t="inlineStr">
        <x:is>
          <x:t xml:space="preserve">Accessories</x:t>
        </x:is>
      </x:c>
      <x:c r="G151" s="4" t="inlineStr">
        <x:is>
          <x:t xml:space="preserve">San Francisco</x:t>
        </x:is>
      </x:c>
      <x:c r="H151" s="18" t="n">
        <x:v>2</x:v>
      </x:c>
      <x:c r="I151" s="19" t="n">
        <x:v>92.48999999999999</x:v>
      </x:c>
      <x:c r="J151" s="20" t="n">
        <x:v>0.05</x:v>
      </x:c>
      <x:c r="K151" s="4" t="inlineStr">
        <x:is>
          <x:t xml:space="preserve">Bank Transfer</x:t>
        </x:is>
      </x:c>
      <x:c r="L151" s="19" t="n">
        <x:v>184.98</x:v>
      </x:c>
      <x:c r="M151" s="19" t="n">
        <x:v>9.25</x:v>
      </x:c>
      <x:c r="N151" s="19" t="n">
        <x:v>175.73</x:v>
      </x:c>
      <x:c r="O151" s="4" t="n">
        <x:f>YEAR(C151)</x:f>
        <x:v>2025</x:v>
      </x:c>
      <x:c r="P151" s="4" t="str">
        <x:f>TEXT(C151,"yyyy-mm")</x:f>
        <x:v>2025-04</x:v>
      </x:c>
      <x:c r="Q151" s="4" t="str">
        <x:f>TEXT(C151,"mmmm")</x:f>
        <x:v>April</x:v>
      </x:c>
    </x:row>
    <x:row r="152" ht="20" customHeight="1">
      <x:c r="A152" s="4" t="inlineStr">
        <x:is>
          <x:t xml:space="preserve">LINE-00152</x:t>
        </x:is>
      </x:c>
      <x:c r="B152" s="4" t="inlineStr">
        <x:is>
          <x:t xml:space="preserve">ORD-2025-0098</x:t>
        </x:is>
      </x:c>
      <x:c r="C152" s="17" t="n">
        <x:v>45773</x:v>
      </x:c>
      <x:c r="D152" s="4" t="inlineStr">
        <x:is>
          <x:t xml:space="preserve">CUS-0347</x:t>
        </x:is>
      </x:c>
      <x:c r="E152" s="4" t="inlineStr">
        <x:is>
          <x:t xml:space="preserve">Monitor</x:t>
        </x:is>
      </x:c>
      <x:c r="F152" s="4" t="inlineStr">
        <x:is>
          <x:t xml:space="preserve">Computers</x:t>
        </x:is>
      </x:c>
      <x:c r="G152" s="4" t="inlineStr">
        <x:is>
          <x:t xml:space="preserve">San Francisco</x:t>
        </x:is>
      </x:c>
      <x:c r="H152" s="18" t="n">
        <x:v>2</x:v>
      </x:c>
      <x:c r="I152" s="19" t="n">
        <x:v>294.44</x:v>
      </x:c>
      <x:c r="J152" s="20" t="n">
        <x:v>0.15</x:v>
      </x:c>
      <x:c r="K152" s="4" t="inlineStr">
        <x:is>
          <x:t xml:space="preserve">Bank Transfer</x:t>
        </x:is>
      </x:c>
      <x:c r="L152" s="19" t="n">
        <x:v>588.88</x:v>
      </x:c>
      <x:c r="M152" s="19" t="n">
        <x:v>88.33</x:v>
      </x:c>
      <x:c r="N152" s="19" t="n">
        <x:v>500.55</x:v>
      </x:c>
      <x:c r="O152" s="4" t="n">
        <x:f>YEAR(C152)</x:f>
        <x:v>2025</x:v>
      </x:c>
      <x:c r="P152" s="4" t="str">
        <x:f>TEXT(C152,"yyyy-mm")</x:f>
        <x:v>2025-04</x:v>
      </x:c>
      <x:c r="Q152" s="4" t="str">
        <x:f>TEXT(C152,"mmmm")</x:f>
        <x:v>April</x:v>
      </x:c>
    </x:row>
    <x:row r="153" ht="20" customHeight="1">
      <x:c r="A153" s="4" t="inlineStr">
        <x:is>
          <x:t xml:space="preserve">LINE-00153</x:t>
        </x:is>
      </x:c>
      <x:c r="B153" s="4" t="inlineStr">
        <x:is>
          <x:t xml:space="preserve">ORD-2025-0099</x:t>
        </x:is>
      </x:c>
      <x:c r="C153" s="17" t="n">
        <x:v>45713</x:v>
      </x:c>
      <x:c r="D153" s="4" t="inlineStr">
        <x:is>
          <x:t xml:space="preserve">CUS-0346</x:t>
        </x:is>
      </x:c>
      <x:c r="E153" s="4" t="inlineStr">
        <x:is>
          <x:t xml:space="preserve">External SSD</x:t>
        </x:is>
      </x:c>
      <x:c r="F153" s="4" t="inlineStr">
        <x:is>
          <x:t xml:space="preserve">Storage</x:t>
        </x:is>
      </x:c>
      <x:c r="G153" s="4" t="inlineStr">
        <x:is>
          <x:t xml:space="preserve">Chicago</x:t>
        </x:is>
      </x:c>
      <x:c r="H153" s="18" t="n">
        <x:v>1</x:v>
      </x:c>
      <x:c r="I153" s="19" t="n">
        <x:v>152.64</x:v>
      </x:c>
      <x:c r="J153" s="20" t="n">
        <x:v>0.05</x:v>
      </x:c>
      <x:c r="K153" s="4" t="inlineStr">
        <x:is>
          <x:t xml:space="preserve">Bank Transfer</x:t>
        </x:is>
      </x:c>
      <x:c r="L153" s="19" t="n">
        <x:v>152.64</x:v>
      </x:c>
      <x:c r="M153" s="19" t="n">
        <x:v>7.63</x:v>
      </x:c>
      <x:c r="N153" s="19" t="n">
        <x:v>145.01</x:v>
      </x:c>
      <x:c r="O153" s="4" t="n">
        <x:f>YEAR(C153)</x:f>
        <x:v>2025</x:v>
      </x:c>
      <x:c r="P153" s="4" t="str">
        <x:f>TEXT(C153,"yyyy-mm")</x:f>
        <x:v>2025-02</x:v>
      </x:c>
      <x:c r="Q153" s="4" t="str">
        <x:f>TEXT(C153,"mmmm")</x:f>
        <x:v>February</x:v>
      </x:c>
    </x:row>
    <x:row r="154" ht="20" customHeight="1">
      <x:c r="A154" s="4" t="inlineStr">
        <x:is>
          <x:t xml:space="preserve">LINE-00154</x:t>
        </x:is>
      </x:c>
      <x:c r="B154" s="4" t="inlineStr">
        <x:is>
          <x:t xml:space="preserve">ORD-2025-0100</x:t>
        </x:is>
      </x:c>
      <x:c r="C154" s="17" t="n">
        <x:v>45983</x:v>
      </x:c>
      <x:c r="D154" s="4" t="inlineStr">
        <x:is>
          <x:t xml:space="preserve">CUS-0238</x:t>
        </x:is>
      </x:c>
      <x:c r="E154" s="4" t="inlineStr">
        <x:is>
          <x:t xml:space="preserve">Monitor</x:t>
        </x:is>
      </x:c>
      <x:c r="F154" s="4" t="inlineStr">
        <x:is>
          <x:t xml:space="preserve">Computers</x:t>
        </x:is>
      </x:c>
      <x:c r="G154" s="4" t="inlineStr">
        <x:is>
          <x:t xml:space="preserve">San Francisco</x:t>
        </x:is>
      </x:c>
      <x:c r="H154" s="18" t="n">
        <x:v>1</x:v>
      </x:c>
      <x:c r="I154" s="19" t="n">
        <x:v>259.27</x:v>
      </x:c>
      <x:c r="J154" s="20" t="n">
        <x:v>0.2</x:v>
      </x:c>
      <x:c r="K154" s="4" t="inlineStr">
        <x:is>
          <x:t xml:space="preserve">PayPal</x:t>
        </x:is>
      </x:c>
      <x:c r="L154" s="19" t="n">
        <x:v>259.27</x:v>
      </x:c>
      <x:c r="M154" s="19" t="n">
        <x:v>51.85</x:v>
      </x:c>
      <x:c r="N154" s="19" t="n">
        <x:v>207.42</x:v>
      </x:c>
      <x:c r="O154" s="4" t="n">
        <x:f>YEAR(C154)</x:f>
        <x:v>2025</x:v>
      </x:c>
      <x:c r="P154" s="4" t="str">
        <x:f>TEXT(C154,"yyyy-mm")</x:f>
        <x:v>2025-11</x:v>
      </x:c>
      <x:c r="Q154" s="4" t="str">
        <x:f>TEXT(C154,"mmmm")</x:f>
        <x:v>November</x:v>
      </x:c>
    </x:row>
    <x:row r="155" ht="20" customHeight="1">
      <x:c r="A155" s="4" t="inlineStr">
        <x:is>
          <x:t xml:space="preserve">LINE-00155</x:t>
        </x:is>
      </x:c>
      <x:c r="B155" s="4" t="inlineStr">
        <x:is>
          <x:t xml:space="preserve">ORD-2025-0100</x:t>
        </x:is>
      </x:c>
      <x:c r="C155" s="17" t="n">
        <x:v>45983</x:v>
      </x:c>
      <x:c r="D155" s="4" t="inlineStr">
        <x:is>
          <x:t xml:space="preserve">CUS-0238</x:t>
        </x:is>
      </x:c>
      <x:c r="E155" s="4" t="inlineStr">
        <x:is>
          <x:t xml:space="preserve">Keyboard</x:t>
        </x:is>
      </x:c>
      <x:c r="F155" s="4" t="inlineStr">
        <x:is>
          <x:t xml:space="preserve">Accessories</x:t>
        </x:is>
      </x:c>
      <x:c r="G155" s="4" t="inlineStr">
        <x:is>
          <x:t xml:space="preserve">San Francisco</x:t>
        </x:is>
      </x:c>
      <x:c r="H155" s="18" t="n">
        <x:v>1</x:v>
      </x:c>
      <x:c r="I155" s="19" t="n">
        <x:v>71.81999999999999</x:v>
      </x:c>
      <x:c r="J155" s="20" t="n">
        <x:v>0.05</x:v>
      </x:c>
      <x:c r="K155" s="4" t="inlineStr">
        <x:is>
          <x:t xml:space="preserve">PayPal</x:t>
        </x:is>
      </x:c>
      <x:c r="L155" s="19" t="n">
        <x:v>71.81999999999999</x:v>
      </x:c>
      <x:c r="M155" s="19" t="n">
        <x:v>3.59</x:v>
      </x:c>
      <x:c r="N155" s="19" t="n">
        <x:v>68.23</x:v>
      </x:c>
      <x:c r="O155" s="4" t="n">
        <x:f>YEAR(C155)</x:f>
        <x:v>2025</x:v>
      </x:c>
      <x:c r="P155" s="4" t="str">
        <x:f>TEXT(C155,"yyyy-mm")</x:f>
        <x:v>2025-11</x:v>
      </x:c>
      <x:c r="Q155" s="4" t="str">
        <x:f>TEXT(C155,"mmmm")</x:f>
        <x:v>November</x:v>
      </x:c>
    </x:row>
    <x:row r="156" ht="20" customHeight="1">
      <x:c r="A156" s="4" t="inlineStr">
        <x:is>
          <x:t xml:space="preserve">LINE-00156</x:t>
        </x:is>
      </x:c>
      <x:c r="B156" s="4" t="inlineStr">
        <x:is>
          <x:t xml:space="preserve">ORD-2025-0101</x:t>
        </x:is>
      </x:c>
      <x:c r="C156" s="17" t="n">
        <x:v>45856</x:v>
      </x:c>
      <x:c r="D156" s="4" t="inlineStr">
        <x:is>
          <x:t xml:space="preserve">CUS-0233</x:t>
        </x:is>
      </x:c>
      <x:c r="E156" s="4" t="inlineStr">
        <x:is>
          <x:t xml:space="preserve">Desk Lamp</x:t>
        </x:is>
      </x:c>
      <x:c r="F156" s="4" t="inlineStr">
        <x:is>
          <x:t xml:space="preserve">Furniture</x:t>
        </x:is>
      </x:c>
      <x:c r="G156" s="4" t="inlineStr">
        <x:is>
          <x:t xml:space="preserve">Austin</x:t>
        </x:is>
      </x:c>
      <x:c r="H156" s="18" t="n">
        <x:v>4</x:v>
      </x:c>
      <x:c r="I156" s="19" t="n">
        <x:v>56.36</x:v>
      </x:c>
      <x:c r="J156" s="20" t="n">
        <x:v>0.1</x:v>
      </x:c>
      <x:c r="K156" s="4" t="inlineStr">
        <x:is>
          <x:t xml:space="preserve">Bank Transfer</x:t>
        </x:is>
      </x:c>
      <x:c r="L156" s="19" t="n">
        <x:v>225.44</x:v>
      </x:c>
      <x:c r="M156" s="19" t="n">
        <x:v>22.54</x:v>
      </x:c>
      <x:c r="N156" s="19" t="n">
        <x:v>202.9</x:v>
      </x:c>
      <x:c r="O156" s="4" t="n">
        <x:f>YEAR(C156)</x:f>
        <x:v>2025</x:v>
      </x:c>
      <x:c r="P156" s="4" t="str">
        <x:f>TEXT(C156,"yyyy-mm")</x:f>
        <x:v>2025-07</x:v>
      </x:c>
      <x:c r="Q156" s="4" t="str">
        <x:f>TEXT(C156,"mmmm")</x:f>
        <x:v>July</x:v>
      </x:c>
    </x:row>
    <x:row r="157" ht="20" customHeight="1">
      <x:c r="A157" s="4" t="inlineStr">
        <x:is>
          <x:t xml:space="preserve">LINE-00157</x:t>
        </x:is>
      </x:c>
      <x:c r="B157" s="4" t="inlineStr">
        <x:is>
          <x:t xml:space="preserve">ORD-2025-0101</x:t>
        </x:is>
      </x:c>
      <x:c r="C157" s="17" t="n">
        <x:v>45856</x:v>
      </x:c>
      <x:c r="D157" s="4" t="inlineStr">
        <x:is>
          <x:t xml:space="preserve">CUS-0233</x:t>
        </x:is>
      </x:c>
      <x:c r="E157" s="4" t="inlineStr">
        <x:is>
          <x:t xml:space="preserve">Keyboard</x:t>
        </x:is>
      </x:c>
      <x:c r="F157" s="4" t="inlineStr">
        <x:is>
          <x:t xml:space="preserve">Accessories</x:t>
        </x:is>
      </x:c>
      <x:c r="G157" s="4" t="inlineStr">
        <x:is>
          <x:t xml:space="preserve">Austin</x:t>
        </x:is>
      </x:c>
      <x:c r="H157" s="18" t="n">
        <x:v>2</x:v>
      </x:c>
      <x:c r="I157" s="19" t="n">
        <x:v>80.27</x:v>
      </x:c>
      <x:c r="J157" s="20" t="n">
        <x:v>0</x:v>
      </x:c>
      <x:c r="K157" s="4" t="inlineStr">
        <x:is>
          <x:t xml:space="preserve">Bank Transfer</x:t>
        </x:is>
      </x:c>
      <x:c r="L157" s="19" t="n">
        <x:v>160.54</x:v>
      </x:c>
      <x:c r="M157" s="19" t="n">
        <x:v>0</x:v>
      </x:c>
      <x:c r="N157" s="19" t="n">
        <x:v>160.54</x:v>
      </x:c>
      <x:c r="O157" s="4" t="n">
        <x:f>YEAR(C157)</x:f>
        <x:v>2025</x:v>
      </x:c>
      <x:c r="P157" s="4" t="str">
        <x:f>TEXT(C157,"yyyy-mm")</x:f>
        <x:v>2025-07</x:v>
      </x:c>
      <x:c r="Q157" s="4" t="str">
        <x:f>TEXT(C157,"mmmm")</x:f>
        <x:v>July</x:v>
      </x:c>
    </x:row>
    <x:row r="158" ht="20" customHeight="1">
      <x:c r="A158" s="4" t="inlineStr">
        <x:is>
          <x:t xml:space="preserve">LINE-00158</x:t>
        </x:is>
      </x:c>
      <x:c r="B158" s="4" t="inlineStr">
        <x:is>
          <x:t xml:space="preserve">ORD-2025-0102</x:t>
        </x:is>
      </x:c>
      <x:c r="C158" s="17" t="n">
        <x:v>46011</x:v>
      </x:c>
      <x:c r="D158" s="4" t="inlineStr">
        <x:is>
          <x:t xml:space="preserve">CUS-0190</x:t>
        </x:is>
      </x:c>
      <x:c r="E158" s="4" t="inlineStr">
        <x:is>
          <x:t xml:space="preserve">Wireless Mouse</x:t>
        </x:is>
      </x:c>
      <x:c r="F158" s="4" t="inlineStr">
        <x:is>
          <x:t xml:space="preserve">Accessories</x:t>
        </x:is>
      </x:c>
      <x:c r="G158" s="4" t="inlineStr">
        <x:is>
          <x:t xml:space="preserve">Chicago</x:t>
        </x:is>
      </x:c>
      <x:c r="H158" s="18" t="n">
        <x:v>3</x:v>
      </x:c>
      <x:c r="I158" s="19" t="n">
        <x:v>42.12</x:v>
      </x:c>
      <x:c r="J158" s="20" t="n">
        <x:v>0.05</x:v>
      </x:c>
      <x:c r="K158" s="4" t="inlineStr">
        <x:is>
          <x:t xml:space="preserve">Bank Transfer</x:t>
        </x:is>
      </x:c>
      <x:c r="L158" s="19" t="n">
        <x:v>126.36</x:v>
      </x:c>
      <x:c r="M158" s="19" t="n">
        <x:v>6.32</x:v>
      </x:c>
      <x:c r="N158" s="19" t="n">
        <x:v>120.04</x:v>
      </x:c>
      <x:c r="O158" s="4" t="n">
        <x:f>YEAR(C158)</x:f>
        <x:v>2025</x:v>
      </x:c>
      <x:c r="P158" s="4" t="str">
        <x:f>TEXT(C158,"yyyy-mm")</x:f>
        <x:v>2025-12</x:v>
      </x:c>
      <x:c r="Q158" s="4" t="str">
        <x:f>TEXT(C158,"mmmm")</x:f>
        <x:v>December</x:v>
      </x:c>
    </x:row>
    <x:row r="159" ht="20" customHeight="1">
      <x:c r="A159" s="4" t="inlineStr">
        <x:is>
          <x:t xml:space="preserve">LINE-00159</x:t>
        </x:is>
      </x:c>
      <x:c r="B159" s="4" t="inlineStr">
        <x:is>
          <x:t xml:space="preserve">ORD-2025-0103</x:t>
        </x:is>
      </x:c>
      <x:c r="C159" s="17" t="n">
        <x:v>45936</x:v>
      </x:c>
      <x:c r="D159" s="4" t="inlineStr">
        <x:is>
          <x:t xml:space="preserve">CUS-0331</x:t>
        </x:is>
      </x:c>
      <x:c r="E159" s="4" t="inlineStr">
        <x:is>
          <x:t xml:space="preserve">Wireless Mouse</x:t>
        </x:is>
      </x:c>
      <x:c r="F159" s="4" t="inlineStr">
        <x:is>
          <x:t xml:space="preserve">Accessories</x:t>
        </x:is>
      </x:c>
      <x:c r="G159" s="4" t="inlineStr">
        <x:is>
          <x:t xml:space="preserve">Austin</x:t>
        </x:is>
      </x:c>
      <x:c r="H159" s="18" t="n">
        <x:v>5</x:v>
      </x:c>
      <x:c r="I159" s="19" t="n">
        <x:v>48.23</x:v>
      </x:c>
      <x:c r="J159" s="20" t="n">
        <x:v>0.1</x:v>
      </x:c>
      <x:c r="K159" s="4" t="inlineStr">
        <x:is>
          <x:t xml:space="preserve">Credit Card</x:t>
        </x:is>
      </x:c>
      <x:c r="L159" s="19" t="n">
        <x:v>241.15</x:v>
      </x:c>
      <x:c r="M159" s="19" t="n">
        <x:v>24.12</x:v>
      </x:c>
      <x:c r="N159" s="19" t="n">
        <x:v>217.03</x:v>
      </x:c>
      <x:c r="O159" s="4" t="n">
        <x:f>YEAR(C159)</x:f>
        <x:v>2025</x:v>
      </x:c>
      <x:c r="P159" s="4" t="str">
        <x:f>TEXT(C159,"yyyy-mm")</x:f>
        <x:v>2025-10</x:v>
      </x:c>
      <x:c r="Q159" s="4" t="str">
        <x:f>TEXT(C159,"mmmm")</x:f>
        <x:v>October</x:v>
      </x:c>
    </x:row>
    <x:row r="160" ht="20" customHeight="1">
      <x:c r="A160" s="4" t="inlineStr">
        <x:is>
          <x:t xml:space="preserve">LINE-00160</x:t>
        </x:is>
      </x:c>
      <x:c r="B160" s="4" t="inlineStr">
        <x:is>
          <x:t xml:space="preserve">ORD-2025-0104</x:t>
        </x:is>
      </x:c>
      <x:c r="C160" s="17" t="n">
        <x:v>45704</x:v>
      </x:c>
      <x:c r="D160" s="4" t="inlineStr">
        <x:is>
          <x:t xml:space="preserve">CUS-0340</x:t>
        </x:is>
      </x:c>
      <x:c r="E160" s="4" t="inlineStr">
        <x:is>
          <x:t xml:space="preserve">Webcam</x:t>
        </x:is>
      </x:c>
      <x:c r="F160" s="4" t="inlineStr">
        <x:is>
          <x:t xml:space="preserve">Accessories</x:t>
        </x:is>
      </x:c>
      <x:c r="G160" s="4" t="inlineStr">
        <x:is>
          <x:t xml:space="preserve">Chicago</x:t>
        </x:is>
      </x:c>
      <x:c r="H160" s="18" t="n">
        <x:v>1</x:v>
      </x:c>
      <x:c r="I160" s="19" t="n">
        <x:v>84.61</x:v>
      </x:c>
      <x:c r="J160" s="20" t="n">
        <x:v>0.05</x:v>
      </x:c>
      <x:c r="K160" s="4" t="inlineStr">
        <x:is>
          <x:t xml:space="preserve">Credit Card</x:t>
        </x:is>
      </x:c>
      <x:c r="L160" s="19" t="n">
        <x:v>84.61</x:v>
      </x:c>
      <x:c r="M160" s="19" t="n">
        <x:v>4.23</x:v>
      </x:c>
      <x:c r="N160" s="19" t="n">
        <x:v>80.38</x:v>
      </x:c>
      <x:c r="O160" s="4" t="n">
        <x:f>YEAR(C160)</x:f>
        <x:v>2025</x:v>
      </x:c>
      <x:c r="P160" s="4" t="str">
        <x:f>TEXT(C160,"yyyy-mm")</x:f>
        <x:v>2025-02</x:v>
      </x:c>
      <x:c r="Q160" s="4" t="str">
        <x:f>TEXT(C160,"mmmm")</x:f>
        <x:v>February</x:v>
      </x:c>
    </x:row>
    <x:row r="161" ht="20" customHeight="1">
      <x:c r="A161" s="4" t="inlineStr">
        <x:is>
          <x:t xml:space="preserve">LINE-00161</x:t>
        </x:is>
      </x:c>
      <x:c r="B161" s="4" t="inlineStr">
        <x:is>
          <x:t xml:space="preserve">ORD-2025-0105</x:t>
        </x:is>
      </x:c>
      <x:c r="C161" s="17" t="n">
        <x:v>45693</x:v>
      </x:c>
      <x:c r="D161" s="4" t="inlineStr">
        <x:is>
          <x:t xml:space="preserve">CUS-0284</x:t>
        </x:is>
      </x:c>
      <x:c r="E161" s="4" t="inlineStr">
        <x:is>
          <x:t xml:space="preserve">Wireless Mouse</x:t>
        </x:is>
      </x:c>
      <x:c r="F161" s="4" t="inlineStr">
        <x:is>
          <x:t xml:space="preserve">Accessories</x:t>
        </x:is>
      </x:c>
      <x:c r="G161" s="4" t="inlineStr">
        <x:is>
          <x:t xml:space="preserve">Chicago</x:t>
        </x:is>
      </x:c>
      <x:c r="H161" s="18" t="n">
        <x:v>3</x:v>
      </x:c>
      <x:c r="I161" s="19" t="n">
        <x:v>47.08</x:v>
      </x:c>
      <x:c r="J161" s="20" t="n">
        <x:v>0.05</x:v>
      </x:c>
      <x:c r="K161" s="4" t="inlineStr">
        <x:is>
          <x:t xml:space="preserve">Debit Card</x:t>
        </x:is>
      </x:c>
      <x:c r="L161" s="19" t="n">
        <x:v>141.24</x:v>
      </x:c>
      <x:c r="M161" s="19" t="n">
        <x:v>7.06</x:v>
      </x:c>
      <x:c r="N161" s="19" t="n">
        <x:v>134.18</x:v>
      </x:c>
      <x:c r="O161" s="4" t="n">
        <x:f>YEAR(C161)</x:f>
        <x:v>2025</x:v>
      </x:c>
      <x:c r="P161" s="4" t="str">
        <x:f>TEXT(C161,"yyyy-mm")</x:f>
        <x:v>2025-02</x:v>
      </x:c>
      <x:c r="Q161" s="4" t="str">
        <x:f>TEXT(C161,"mmmm")</x:f>
        <x:v>February</x:v>
      </x:c>
    </x:row>
    <x:row r="162" ht="20" customHeight="1">
      <x:c r="A162" s="4" t="inlineStr">
        <x:is>
          <x:t xml:space="preserve">LINE-00162</x:t>
        </x:is>
      </x:c>
      <x:c r="B162" s="4" t="inlineStr">
        <x:is>
          <x:t xml:space="preserve">ORD-2025-0105</x:t>
        </x:is>
      </x:c>
      <x:c r="C162" s="17" t="n">
        <x:v>45693</x:v>
      </x:c>
      <x:c r="D162" s="4" t="inlineStr">
        <x:is>
          <x:t xml:space="preserve">CUS-0284</x:t>
        </x:is>
      </x:c>
      <x:c r="E162" s="4" t="inlineStr">
        <x:is>
          <x:t xml:space="preserve">Webcam</x:t>
        </x:is>
      </x:c>
      <x:c r="F162" s="4" t="inlineStr">
        <x:is>
          <x:t xml:space="preserve">Accessories</x:t>
        </x:is>
      </x:c>
      <x:c r="G162" s="4" t="inlineStr">
        <x:is>
          <x:t xml:space="preserve">Chicago</x:t>
        </x:is>
      </x:c>
      <x:c r="H162" s="18" t="n">
        <x:v>1</x:v>
      </x:c>
      <x:c r="I162" s="19" t="n">
        <x:v>96.97</x:v>
      </x:c>
      <x:c r="J162" s="20" t="n">
        <x:v>0.2</x:v>
      </x:c>
      <x:c r="K162" s="4" t="inlineStr">
        <x:is>
          <x:t xml:space="preserve">Debit Card</x:t>
        </x:is>
      </x:c>
      <x:c r="L162" s="19" t="n">
        <x:v>96.97</x:v>
      </x:c>
      <x:c r="M162" s="19" t="n">
        <x:v>19.39</x:v>
      </x:c>
      <x:c r="N162" s="19" t="n">
        <x:v>77.58</x:v>
      </x:c>
      <x:c r="O162" s="4" t="n">
        <x:f>YEAR(C162)</x:f>
        <x:v>2025</x:v>
      </x:c>
      <x:c r="P162" s="4" t="str">
        <x:f>TEXT(C162,"yyyy-mm")</x:f>
        <x:v>2025-02</x:v>
      </x:c>
      <x:c r="Q162" s="4" t="str">
        <x:f>TEXT(C162,"mmmm")</x:f>
        <x:v>February</x:v>
      </x:c>
    </x:row>
    <x:row r="163" ht="20" customHeight="1">
      <x:c r="A163" s="4" t="inlineStr">
        <x:is>
          <x:t xml:space="preserve">LINE-00163</x:t>
        </x:is>
      </x:c>
      <x:c r="B163" s="4" t="inlineStr">
        <x:is>
          <x:t xml:space="preserve">ORD-2025-0106</x:t>
        </x:is>
      </x:c>
      <x:c r="C163" s="17" t="n">
        <x:v>45934</x:v>
      </x:c>
      <x:c r="D163" s="4" t="inlineStr">
        <x:is>
          <x:t xml:space="preserve">CUS-0129</x:t>
        </x:is>
      </x:c>
      <x:c r="E163" s="4" t="inlineStr">
        <x:is>
          <x:t xml:space="preserve">Laptop</x:t>
        </x:is>
      </x:c>
      <x:c r="F163" s="4" t="inlineStr">
        <x:is>
          <x:t xml:space="preserve">Computers</x:t>
        </x:is>
      </x:c>
      <x:c r="G163" s="4" t="inlineStr">
        <x:is>
          <x:t xml:space="preserve">Chicago</x:t>
        </x:is>
      </x:c>
      <x:c r="H163" s="18" t="n">
        <x:v>1</x:v>
      </x:c>
      <x:c r="I163" s="19" t="n">
        <x:v>994.08</x:v>
      </x:c>
      <x:c r="J163" s="20" t="n">
        <x:v>0</x:v>
      </x:c>
      <x:c r="K163" s="4" t="inlineStr">
        <x:is>
          <x:t xml:space="preserve">Credit Card</x:t>
        </x:is>
      </x:c>
      <x:c r="L163" s="19" t="n">
        <x:v>994.08</x:v>
      </x:c>
      <x:c r="M163" s="19" t="n">
        <x:v>0</x:v>
      </x:c>
      <x:c r="N163" s="19" t="n">
        <x:v>994.08</x:v>
      </x:c>
      <x:c r="O163" s="4" t="n">
        <x:f>YEAR(C163)</x:f>
        <x:v>2025</x:v>
      </x:c>
      <x:c r="P163" s="4" t="str">
        <x:f>TEXT(C163,"yyyy-mm")</x:f>
        <x:v>2025-10</x:v>
      </x:c>
      <x:c r="Q163" s="4" t="str">
        <x:f>TEXT(C163,"mmmm")</x:f>
        <x:v>October</x:v>
      </x:c>
    </x:row>
    <x:row r="164" ht="20" customHeight="1">
      <x:c r="A164" s="4" t="inlineStr">
        <x:is>
          <x:t xml:space="preserve">LINE-00164</x:t>
        </x:is>
      </x:c>
      <x:c r="B164" s="4" t="inlineStr">
        <x:is>
          <x:t xml:space="preserve">ORD-2025-0106</x:t>
        </x:is>
      </x:c>
      <x:c r="C164" s="17" t="n">
        <x:v>45934</x:v>
      </x:c>
      <x:c r="D164" s="4" t="inlineStr">
        <x:is>
          <x:t xml:space="preserve">CUS-0129</x:t>
        </x:is>
      </x:c>
      <x:c r="E164" s="4" t="inlineStr">
        <x:is>
          <x:t xml:space="preserve">Keyboard</x:t>
        </x:is>
      </x:c>
      <x:c r="F164" s="4" t="inlineStr">
        <x:is>
          <x:t xml:space="preserve">Accessories</x:t>
        </x:is>
      </x:c>
      <x:c r="G164" s="4" t="inlineStr">
        <x:is>
          <x:t xml:space="preserve">Chicago</x:t>
        </x:is>
      </x:c>
      <x:c r="H164" s="18" t="n">
        <x:v>1</x:v>
      </x:c>
      <x:c r="I164" s="19" t="n">
        <x:v>71.09</x:v>
      </x:c>
      <x:c r="J164" s="20" t="n">
        <x:v>0</x:v>
      </x:c>
      <x:c r="K164" s="4" t="inlineStr">
        <x:is>
          <x:t xml:space="preserve">Credit Card</x:t>
        </x:is>
      </x:c>
      <x:c r="L164" s="19" t="n">
        <x:v>71.09</x:v>
      </x:c>
      <x:c r="M164" s="19" t="n">
        <x:v>0</x:v>
      </x:c>
      <x:c r="N164" s="19" t="n">
        <x:v>71.09</x:v>
      </x:c>
      <x:c r="O164" s="4" t="n">
        <x:f>YEAR(C164)</x:f>
        <x:v>2025</x:v>
      </x:c>
      <x:c r="P164" s="4" t="str">
        <x:f>TEXT(C164,"yyyy-mm")</x:f>
        <x:v>2025-10</x:v>
      </x:c>
      <x:c r="Q164" s="4" t="str">
        <x:f>TEXT(C164,"mmmm")</x:f>
        <x:v>October</x:v>
      </x:c>
    </x:row>
    <x:row r="165" ht="20" customHeight="1">
      <x:c r="A165" s="4" t="inlineStr">
        <x:is>
          <x:t xml:space="preserve">LINE-00165</x:t>
        </x:is>
      </x:c>
      <x:c r="B165" s="4" t="inlineStr">
        <x:is>
          <x:t xml:space="preserve">ORD-2025-0107</x:t>
        </x:is>
      </x:c>
      <x:c r="C165" s="17" t="n">
        <x:v>45873</x:v>
      </x:c>
      <x:c r="D165" s="4" t="inlineStr">
        <x:is>
          <x:t xml:space="preserve">CUS-0270</x:t>
        </x:is>
      </x:c>
      <x:c r="E165" s="4" t="inlineStr">
        <x:is>
          <x:t xml:space="preserve">Webcam</x:t>
        </x:is>
      </x:c>
      <x:c r="F165" s="4" t="inlineStr">
        <x:is>
          <x:t xml:space="preserve">Accessories</x:t>
        </x:is>
      </x:c>
      <x:c r="G165" s="4" t="inlineStr">
        <x:is>
          <x:t xml:space="preserve">New York</x:t>
        </x:is>
      </x:c>
      <x:c r="H165" s="18" t="n">
        <x:v>2</x:v>
      </x:c>
      <x:c r="I165" s="19" t="n">
        <x:v>84.37</x:v>
      </x:c>
      <x:c r="J165" s="20" t="n">
        <x:v>0.05</x:v>
      </x:c>
      <x:c r="K165" s="4" t="inlineStr">
        <x:is>
          <x:t xml:space="preserve">Credit Card</x:t>
        </x:is>
      </x:c>
      <x:c r="L165" s="19" t="n">
        <x:v>168.74</x:v>
      </x:c>
      <x:c r="M165" s="19" t="n">
        <x:v>8.44</x:v>
      </x:c>
      <x:c r="N165" s="19" t="n">
        <x:v>160.3</x:v>
      </x:c>
      <x:c r="O165" s="4" t="n">
        <x:f>YEAR(C165)</x:f>
        <x:v>2025</x:v>
      </x:c>
      <x:c r="P165" s="4" t="str">
        <x:f>TEXT(C165,"yyyy-mm")</x:f>
        <x:v>2025-08</x:v>
      </x:c>
      <x:c r="Q165" s="4" t="str">
        <x:f>TEXT(C165,"mmmm")</x:f>
        <x:v>August</x:v>
      </x:c>
    </x:row>
    <x:row r="166" ht="20" customHeight="1">
      <x:c r="A166" s="4" t="inlineStr">
        <x:is>
          <x:t xml:space="preserve">LINE-00166</x:t>
        </x:is>
      </x:c>
      <x:c r="B166" s="4" t="inlineStr">
        <x:is>
          <x:t xml:space="preserve">ORD-2025-0108</x:t>
        </x:is>
      </x:c>
      <x:c r="C166" s="17" t="n">
        <x:v>45972</x:v>
      </x:c>
      <x:c r="D166" s="4" t="inlineStr">
        <x:is>
          <x:t xml:space="preserve">CUS-0023</x:t>
        </x:is>
      </x:c>
      <x:c r="E166" s="4" t="inlineStr">
        <x:is>
          <x:t xml:space="preserve">Laptop</x:t>
        </x:is>
      </x:c>
      <x:c r="F166" s="4" t="inlineStr">
        <x:is>
          <x:t xml:space="preserve">Computers</x:t>
        </x:is>
      </x:c>
      <x:c r="G166" s="4" t="inlineStr">
        <x:is>
          <x:t xml:space="preserve">San Francisco</x:t>
        </x:is>
      </x:c>
      <x:c r="H166" s="18" t="n">
        <x:v>1</x:v>
      </x:c>
      <x:c r="I166" s="19" t="n">
        <x:v>946.8099999999999</x:v>
      </x:c>
      <x:c r="J166" s="20" t="n">
        <x:v>0</x:v>
      </x:c>
      <x:c r="K166" s="4" t="inlineStr">
        <x:is>
          <x:t xml:space="preserve">PayPal</x:t>
        </x:is>
      </x:c>
      <x:c r="L166" s="19" t="n">
        <x:v>946.8099999999999</x:v>
      </x:c>
      <x:c r="M166" s="19" t="n">
        <x:v>0</x:v>
      </x:c>
      <x:c r="N166" s="19" t="n">
        <x:v>946.8099999999999</x:v>
      </x:c>
      <x:c r="O166" s="4" t="n">
        <x:f>YEAR(C166)</x:f>
        <x:v>2025</x:v>
      </x:c>
      <x:c r="P166" s="4" t="str">
        <x:f>TEXT(C166,"yyyy-mm")</x:f>
        <x:v>2025-11</x:v>
      </x:c>
      <x:c r="Q166" s="4" t="str">
        <x:f>TEXT(C166,"mmmm")</x:f>
        <x:v>November</x:v>
      </x:c>
    </x:row>
    <x:row r="167" ht="20" customHeight="1">
      <x:c r="A167" s="4" t="inlineStr">
        <x:is>
          <x:t xml:space="preserve">LINE-00167</x:t>
        </x:is>
      </x:c>
      <x:c r="B167" s="4" t="inlineStr">
        <x:is>
          <x:t xml:space="preserve">ORD-2025-0109</x:t>
        </x:is>
      </x:c>
      <x:c r="C167" s="17" t="n">
        <x:v>46009</x:v>
      </x:c>
      <x:c r="D167" s="4" t="inlineStr">
        <x:is>
          <x:t xml:space="preserve">CUS-0056</x:t>
        </x:is>
      </x:c>
      <x:c r="E167" s="4" t="inlineStr">
        <x:is>
          <x:t xml:space="preserve">Monitor</x:t>
        </x:is>
      </x:c>
      <x:c r="F167" s="4" t="inlineStr">
        <x:is>
          <x:t xml:space="preserve">Computers</x:t>
        </x:is>
      </x:c>
      <x:c r="G167" s="4" t="inlineStr">
        <x:is>
          <x:t xml:space="preserve">Seattle</x:t>
        </x:is>
      </x:c>
      <x:c r="H167" s="18" t="n">
        <x:v>1</x:v>
      </x:c>
      <x:c r="I167" s="19" t="n">
        <x:v>264.25</x:v>
      </x:c>
      <x:c r="J167" s="20" t="n">
        <x:v>0</x:v>
      </x:c>
      <x:c r="K167" s="4" t="inlineStr">
        <x:is>
          <x:t xml:space="preserve">Bank Transfer</x:t>
        </x:is>
      </x:c>
      <x:c r="L167" s="19" t="n">
        <x:v>264.25</x:v>
      </x:c>
      <x:c r="M167" s="19" t="n">
        <x:v>0</x:v>
      </x:c>
      <x:c r="N167" s="19" t="n">
        <x:v>264.25</x:v>
      </x:c>
      <x:c r="O167" s="4" t="n">
        <x:f>YEAR(C167)</x:f>
        <x:v>2025</x:v>
      </x:c>
      <x:c r="P167" s="4" t="str">
        <x:f>TEXT(C167,"yyyy-mm")</x:f>
        <x:v>2025-12</x:v>
      </x:c>
      <x:c r="Q167" s="4" t="str">
        <x:f>TEXT(C167,"mmmm")</x:f>
        <x:v>December</x:v>
      </x:c>
    </x:row>
    <x:row r="168" ht="20" customHeight="1">
      <x:c r="A168" s="4" t="inlineStr">
        <x:is>
          <x:t xml:space="preserve">LINE-00168</x:t>
        </x:is>
      </x:c>
      <x:c r="B168" s="4" t="inlineStr">
        <x:is>
          <x:t xml:space="preserve">ORD-2025-0110</x:t>
        </x:is>
      </x:c>
      <x:c r="C168" s="17" t="n">
        <x:v>45977</x:v>
      </x:c>
      <x:c r="D168" s="4" t="inlineStr">
        <x:is>
          <x:t xml:space="preserve">CUS-0325</x:t>
        </x:is>
      </x:c>
      <x:c r="E168" s="4" t="inlineStr">
        <x:is>
          <x:t xml:space="preserve">USB Flash Drive</x:t>
        </x:is>
      </x:c>
      <x:c r="F168" s="4" t="inlineStr">
        <x:is>
          <x:t xml:space="preserve">Storage</x:t>
        </x:is>
      </x:c>
      <x:c r="G168" s="4" t="inlineStr">
        <x:is>
          <x:t xml:space="preserve">Boston</x:t>
        </x:is>
      </x:c>
      <x:c r="H168" s="18" t="n">
        <x:v>2</x:v>
      </x:c>
      <x:c r="I168" s="19" t="n">
        <x:v>29.78</x:v>
      </x:c>
      <x:c r="J168" s="20" t="n">
        <x:v>0.05</x:v>
      </x:c>
      <x:c r="K168" s="4" t="inlineStr">
        <x:is>
          <x:t xml:space="preserve">PayPal</x:t>
        </x:is>
      </x:c>
      <x:c r="L168" s="19" t="n">
        <x:v>59.56</x:v>
      </x:c>
      <x:c r="M168" s="19" t="n">
        <x:v>2.98</x:v>
      </x:c>
      <x:c r="N168" s="19" t="n">
        <x:v>56.58</x:v>
      </x:c>
      <x:c r="O168" s="4" t="n">
        <x:f>YEAR(C168)</x:f>
        <x:v>2025</x:v>
      </x:c>
      <x:c r="P168" s="4" t="str">
        <x:f>TEXT(C168,"yyyy-mm")</x:f>
        <x:v>2025-11</x:v>
      </x:c>
      <x:c r="Q168" s="4" t="str">
        <x:f>TEXT(C168,"mmmm")</x:f>
        <x:v>November</x:v>
      </x:c>
    </x:row>
    <x:row r="169" ht="20" customHeight="1">
      <x:c r="A169" s="4" t="inlineStr">
        <x:is>
          <x:t xml:space="preserve">LINE-00169</x:t>
        </x:is>
      </x:c>
      <x:c r="B169" s="4" t="inlineStr">
        <x:is>
          <x:t xml:space="preserve">ORD-2025-0111</x:t>
        </x:is>
      </x:c>
      <x:c r="C169" s="17" t="n">
        <x:v>45708</x:v>
      </x:c>
      <x:c r="D169" s="4" t="inlineStr">
        <x:is>
          <x:t xml:space="preserve">CUS-0059</x:t>
        </x:is>
      </x:c>
      <x:c r="E169" s="4" t="inlineStr">
        <x:is>
          <x:t xml:space="preserve">Wireless Mouse</x:t>
        </x:is>
      </x:c>
      <x:c r="F169" s="4" t="inlineStr">
        <x:is>
          <x:t xml:space="preserve">Accessories</x:t>
        </x:is>
      </x:c>
      <x:c r="G169" s="4" t="inlineStr">
        <x:is>
          <x:t xml:space="preserve">San Francisco</x:t>
        </x:is>
      </x:c>
      <x:c r="H169" s="18" t="n">
        <x:v>2</x:v>
      </x:c>
      <x:c r="I169" s="19" t="n">
        <x:v>47.36</x:v>
      </x:c>
      <x:c r="J169" s="20" t="n">
        <x:v>0</x:v>
      </x:c>
      <x:c r="K169" s="4" t="inlineStr">
        <x:is>
          <x:t xml:space="preserve">Debit Card</x:t>
        </x:is>
      </x:c>
      <x:c r="L169" s="19" t="n">
        <x:v>94.72</x:v>
      </x:c>
      <x:c r="M169" s="19" t="n">
        <x:v>0</x:v>
      </x:c>
      <x:c r="N169" s="19" t="n">
        <x:v>94.72</x:v>
      </x:c>
      <x:c r="O169" s="4" t="n">
        <x:f>YEAR(C169)</x:f>
        <x:v>2025</x:v>
      </x:c>
      <x:c r="P169" s="4" t="str">
        <x:f>TEXT(C169,"yyyy-mm")</x:f>
        <x:v>2025-02</x:v>
      </x:c>
      <x:c r="Q169" s="4" t="str">
        <x:f>TEXT(C169,"mmmm")</x:f>
        <x:v>February</x:v>
      </x:c>
    </x:row>
    <x:row r="170" ht="20" customHeight="1">
      <x:c r="A170" s="4" t="inlineStr">
        <x:is>
          <x:t xml:space="preserve">LINE-00170</x:t>
        </x:is>
      </x:c>
      <x:c r="B170" s="4" t="inlineStr">
        <x:is>
          <x:t xml:space="preserve">ORD-2025-0112</x:t>
        </x:is>
      </x:c>
      <x:c r="C170" s="17" t="n">
        <x:v>45706</x:v>
      </x:c>
      <x:c r="D170" s="4" t="inlineStr">
        <x:is>
          <x:t xml:space="preserve">CUS-0161</x:t>
        </x:is>
      </x:c>
      <x:c r="E170" s="4" t="inlineStr">
        <x:is>
          <x:t xml:space="preserve">Webcam</x:t>
        </x:is>
      </x:c>
      <x:c r="F170" s="4" t="inlineStr">
        <x:is>
          <x:t xml:space="preserve">Accessories</x:t>
        </x:is>
      </x:c>
      <x:c r="G170" s="4" t="inlineStr">
        <x:is>
          <x:t xml:space="preserve">Seattle</x:t>
        </x:is>
      </x:c>
      <x:c r="H170" s="18" t="n">
        <x:v>3</x:v>
      </x:c>
      <x:c r="I170" s="19" t="n">
        <x:v>89.63</x:v>
      </x:c>
      <x:c r="J170" s="20" t="n">
        <x:v>0</x:v>
      </x:c>
      <x:c r="K170" s="4" t="inlineStr">
        <x:is>
          <x:t xml:space="preserve">PayPal</x:t>
        </x:is>
      </x:c>
      <x:c r="L170" s="19" t="n">
        <x:v>268.89</x:v>
      </x:c>
      <x:c r="M170" s="19" t="n">
        <x:v>0</x:v>
      </x:c>
      <x:c r="N170" s="19" t="n">
        <x:v>268.89</x:v>
      </x:c>
      <x:c r="O170" s="4" t="n">
        <x:f>YEAR(C170)</x:f>
        <x:v>2025</x:v>
      </x:c>
      <x:c r="P170" s="4" t="str">
        <x:f>TEXT(C170,"yyyy-mm")</x:f>
        <x:v>2025-02</x:v>
      </x:c>
      <x:c r="Q170" s="4" t="str">
        <x:f>TEXT(C170,"mmmm")</x:f>
        <x:v>February</x:v>
      </x:c>
    </x:row>
    <x:row r="171" ht="20" customHeight="1">
      <x:c r="A171" s="4" t="inlineStr">
        <x:is>
          <x:t xml:space="preserve">LINE-00171</x:t>
        </x:is>
      </x:c>
      <x:c r="B171" s="4" t="inlineStr">
        <x:is>
          <x:t xml:space="preserve">ORD-2025-0112</x:t>
        </x:is>
      </x:c>
      <x:c r="C171" s="17" t="n">
        <x:v>45706</x:v>
      </x:c>
      <x:c r="D171" s="4" t="inlineStr">
        <x:is>
          <x:t xml:space="preserve">CUS-0161</x:t>
        </x:is>
      </x:c>
      <x:c r="E171" s="4" t="inlineStr">
        <x:is>
          <x:t xml:space="preserve">Keyboard</x:t>
        </x:is>
      </x:c>
      <x:c r="F171" s="4" t="inlineStr">
        <x:is>
          <x:t xml:space="preserve">Accessories</x:t>
        </x:is>
      </x:c>
      <x:c r="G171" s="4" t="inlineStr">
        <x:is>
          <x:t xml:space="preserve">Seattle</x:t>
        </x:is>
      </x:c>
      <x:c r="H171" s="18" t="n">
        <x:v>1</x:v>
      </x:c>
      <x:c r="I171" s="19" t="n">
        <x:v>74.18000000000001</x:v>
      </x:c>
      <x:c r="J171" s="20" t="n">
        <x:v>0.1</x:v>
      </x:c>
      <x:c r="K171" s="4" t="inlineStr">
        <x:is>
          <x:t xml:space="preserve">PayPal</x:t>
        </x:is>
      </x:c>
      <x:c r="L171" s="19" t="n">
        <x:v>74.18000000000001</x:v>
      </x:c>
      <x:c r="M171" s="19" t="n">
        <x:v>7.42</x:v>
      </x:c>
      <x:c r="N171" s="19" t="n">
        <x:v>66.76000000000001</x:v>
      </x:c>
      <x:c r="O171" s="4" t="n">
        <x:f>YEAR(C171)</x:f>
        <x:v>2025</x:v>
      </x:c>
      <x:c r="P171" s="4" t="str">
        <x:f>TEXT(C171,"yyyy-mm")</x:f>
        <x:v>2025-02</x:v>
      </x:c>
      <x:c r="Q171" s="4" t="str">
        <x:f>TEXT(C171,"mmmm")</x:f>
        <x:v>February</x:v>
      </x:c>
    </x:row>
    <x:row r="172" ht="20" customHeight="1">
      <x:c r="A172" s="4" t="inlineStr">
        <x:is>
          <x:t xml:space="preserve">LINE-00172</x:t>
        </x:is>
      </x:c>
      <x:c r="B172" s="4" t="inlineStr">
        <x:is>
          <x:t xml:space="preserve">ORD-2025-0113</x:t>
        </x:is>
      </x:c>
      <x:c r="C172" s="17" t="n">
        <x:v>45848</x:v>
      </x:c>
      <x:c r="D172" s="4" t="inlineStr">
        <x:is>
          <x:t xml:space="preserve">CUS-0067</x:t>
        </x:is>
      </x:c>
      <x:c r="E172" s="4" t="inlineStr">
        <x:is>
          <x:t xml:space="preserve">External SSD</x:t>
        </x:is>
      </x:c>
      <x:c r="F172" s="4" t="inlineStr">
        <x:is>
          <x:t xml:space="preserve">Storage</x:t>
        </x:is>
      </x:c>
      <x:c r="G172" s="4" t="inlineStr">
        <x:is>
          <x:t xml:space="preserve">Boston</x:t>
        </x:is>
      </x:c>
      <x:c r="H172" s="18" t="n">
        <x:v>1</x:v>
      </x:c>
      <x:c r="I172" s="19" t="n">
        <x:v>140.93</x:v>
      </x:c>
      <x:c r="J172" s="20" t="n">
        <x:v>0</x:v>
      </x:c>
      <x:c r="K172" s="4" t="inlineStr">
        <x:is>
          <x:t xml:space="preserve">Credit Card</x:t>
        </x:is>
      </x:c>
      <x:c r="L172" s="19" t="n">
        <x:v>140.93</x:v>
      </x:c>
      <x:c r="M172" s="19" t="n">
        <x:v>0</x:v>
      </x:c>
      <x:c r="N172" s="19" t="n">
        <x:v>140.93</x:v>
      </x:c>
      <x:c r="O172" s="4" t="n">
        <x:f>YEAR(C172)</x:f>
        <x:v>2025</x:v>
      </x:c>
      <x:c r="P172" s="4" t="str">
        <x:f>TEXT(C172,"yyyy-mm")</x:f>
        <x:v>2025-07</x:v>
      </x:c>
      <x:c r="Q172" s="4" t="str">
        <x:f>TEXT(C172,"mmmm")</x:f>
        <x:v>July</x:v>
      </x:c>
    </x:row>
    <x:row r="173" ht="20" customHeight="1">
      <x:c r="A173" s="4" t="inlineStr">
        <x:is>
          <x:t xml:space="preserve">LINE-00173</x:t>
        </x:is>
      </x:c>
      <x:c r="B173" s="4" t="inlineStr">
        <x:is>
          <x:t xml:space="preserve">ORD-2025-0113</x:t>
        </x:is>
      </x:c>
      <x:c r="C173" s="17" t="n">
        <x:v>45848</x:v>
      </x:c>
      <x:c r="D173" s="4" t="inlineStr">
        <x:is>
          <x:t xml:space="preserve">CUS-0067</x:t>
        </x:is>
      </x:c>
      <x:c r="E173" s="4" t="inlineStr">
        <x:is>
          <x:t xml:space="preserve">Desk Lamp</x:t>
        </x:is>
      </x:c>
      <x:c r="F173" s="4" t="inlineStr">
        <x:is>
          <x:t xml:space="preserve">Furniture</x:t>
        </x:is>
      </x:c>
      <x:c r="G173" s="4" t="inlineStr">
        <x:is>
          <x:t xml:space="preserve">Boston</x:t>
        </x:is>
      </x:c>
      <x:c r="H173" s="18" t="n">
        <x:v>2</x:v>
      </x:c>
      <x:c r="I173" s="19" t="n">
        <x:v>57.2</x:v>
      </x:c>
      <x:c r="J173" s="20" t="n">
        <x:v>0.1</x:v>
      </x:c>
      <x:c r="K173" s="4" t="inlineStr">
        <x:is>
          <x:t xml:space="preserve">Credit Card</x:t>
        </x:is>
      </x:c>
      <x:c r="L173" s="19" t="n">
        <x:v>114.4</x:v>
      </x:c>
      <x:c r="M173" s="19" t="n">
        <x:v>11.44</x:v>
      </x:c>
      <x:c r="N173" s="19" t="n">
        <x:v>102.96</x:v>
      </x:c>
      <x:c r="O173" s="4" t="n">
        <x:f>YEAR(C173)</x:f>
        <x:v>2025</x:v>
      </x:c>
      <x:c r="P173" s="4" t="str">
        <x:f>TEXT(C173,"yyyy-mm")</x:f>
        <x:v>2025-07</x:v>
      </x:c>
      <x:c r="Q173" s="4" t="str">
        <x:f>TEXT(C173,"mmmm")</x:f>
        <x:v>July</x:v>
      </x:c>
    </x:row>
    <x:row r="174" ht="20" customHeight="1">
      <x:c r="A174" s="4" t="inlineStr">
        <x:is>
          <x:t xml:space="preserve">LINE-00174</x:t>
        </x:is>
      </x:c>
      <x:c r="B174" s="4" t="inlineStr">
        <x:is>
          <x:t xml:space="preserve">ORD-2025-0114</x:t>
        </x:is>
      </x:c>
      <x:c r="C174" s="17" t="n">
        <x:v>45684</x:v>
      </x:c>
      <x:c r="D174" s="4" t="inlineStr">
        <x:is>
          <x:t xml:space="preserve">CUS-0148</x:t>
        </x:is>
      </x:c>
      <x:c r="E174" s="4" t="inlineStr">
        <x:is>
          <x:t xml:space="preserve">USB Flash Drive</x:t>
        </x:is>
      </x:c>
      <x:c r="F174" s="4" t="inlineStr">
        <x:is>
          <x:t xml:space="preserve">Storage</x:t>
        </x:is>
      </x:c>
      <x:c r="G174" s="4" t="inlineStr">
        <x:is>
          <x:t xml:space="preserve">Boston</x:t>
        </x:is>
      </x:c>
      <x:c r="H174" s="18" t="n">
        <x:v>2</x:v>
      </x:c>
      <x:c r="I174" s="19" t="n">
        <x:v>28.34</x:v>
      </x:c>
      <x:c r="J174" s="20" t="n">
        <x:v>0.05</x:v>
      </x:c>
      <x:c r="K174" s="4" t="inlineStr">
        <x:is>
          <x:t xml:space="preserve">PayPal</x:t>
        </x:is>
      </x:c>
      <x:c r="L174" s="19" t="n">
        <x:v>56.68</x:v>
      </x:c>
      <x:c r="M174" s="19" t="n">
        <x:v>2.83</x:v>
      </x:c>
      <x:c r="N174" s="19" t="n">
        <x:v>53.85</x:v>
      </x:c>
      <x:c r="O174" s="4" t="n">
        <x:f>YEAR(C174)</x:f>
        <x:v>2025</x:v>
      </x:c>
      <x:c r="P174" s="4" t="str">
        <x:f>TEXT(C174,"yyyy-mm")</x:f>
        <x:v>2025-01</x:v>
      </x:c>
      <x:c r="Q174" s="4" t="str">
        <x:f>TEXT(C174,"mmmm")</x:f>
        <x:v>January</x:v>
      </x:c>
    </x:row>
    <x:row r="175" ht="20" customHeight="1">
      <x:c r="A175" s="4" t="inlineStr">
        <x:is>
          <x:t xml:space="preserve">LINE-00175</x:t>
        </x:is>
      </x:c>
      <x:c r="B175" s="4" t="inlineStr">
        <x:is>
          <x:t xml:space="preserve">ORD-2025-0115</x:t>
        </x:is>
      </x:c>
      <x:c r="C175" s="17" t="n">
        <x:v>45713</x:v>
      </x:c>
      <x:c r="D175" s="4" t="inlineStr">
        <x:is>
          <x:t xml:space="preserve">CUS-0180</x:t>
        </x:is>
      </x:c>
      <x:c r="E175" s="4" t="inlineStr">
        <x:is>
          <x:t xml:space="preserve">USB-C Hub</x:t>
        </x:is>
      </x:c>
      <x:c r="F175" s="4" t="inlineStr">
        <x:is>
          <x:t xml:space="preserve">Accessories</x:t>
        </x:is>
      </x:c>
      <x:c r="G175" s="4" t="inlineStr">
        <x:is>
          <x:t xml:space="preserve">Boston</x:t>
        </x:is>
      </x:c>
      <x:c r="H175" s="18" t="n">
        <x:v>2</x:v>
      </x:c>
      <x:c r="I175" s="19" t="n">
        <x:v>68.2</x:v>
      </x:c>
      <x:c r="J175" s="20" t="n">
        <x:v>0.1</x:v>
      </x:c>
      <x:c r="K175" s="4" t="inlineStr">
        <x:is>
          <x:t xml:space="preserve">PayPal</x:t>
        </x:is>
      </x:c>
      <x:c r="L175" s="19" t="n">
        <x:v>136.4</x:v>
      </x:c>
      <x:c r="M175" s="19" t="n">
        <x:v>13.64</x:v>
      </x:c>
      <x:c r="N175" s="19" t="n">
        <x:v>122.76</x:v>
      </x:c>
      <x:c r="O175" s="4" t="n">
        <x:f>YEAR(C175)</x:f>
        <x:v>2025</x:v>
      </x:c>
      <x:c r="P175" s="4" t="str">
        <x:f>TEXT(C175,"yyyy-mm")</x:f>
        <x:v>2025-02</x:v>
      </x:c>
      <x:c r="Q175" s="4" t="str">
        <x:f>TEXT(C175,"mmmm")</x:f>
        <x:v>February</x:v>
      </x:c>
    </x:row>
    <x:row r="176" ht="20" customHeight="1">
      <x:c r="A176" s="4" t="inlineStr">
        <x:is>
          <x:t xml:space="preserve">LINE-00176</x:t>
        </x:is>
      </x:c>
      <x:c r="B176" s="4" t="inlineStr">
        <x:is>
          <x:t xml:space="preserve">ORD-2025-0116</x:t>
        </x:is>
      </x:c>
      <x:c r="C176" s="17" t="n">
        <x:v>45976</x:v>
      </x:c>
      <x:c r="D176" s="4" t="inlineStr">
        <x:is>
          <x:t xml:space="preserve">CUS-0315</x:t>
        </x:is>
      </x:c>
      <x:c r="E176" s="4" t="inlineStr">
        <x:is>
          <x:t xml:space="preserve">Office Chair</x:t>
        </x:is>
      </x:c>
      <x:c r="F176" s="4" t="inlineStr">
        <x:is>
          <x:t xml:space="preserve">Furniture</x:t>
        </x:is>
      </x:c>
      <x:c r="G176" s="4" t="inlineStr">
        <x:is>
          <x:t xml:space="preserve">San Francisco</x:t>
        </x:is>
      </x:c>
      <x:c r="H176" s="18" t="n">
        <x:v>1</x:v>
      </x:c>
      <x:c r="I176" s="19" t="n">
        <x:v>231.29</x:v>
      </x:c>
      <x:c r="J176" s="20" t="n">
        <x:v>0.1</x:v>
      </x:c>
      <x:c r="K176" s="4" t="inlineStr">
        <x:is>
          <x:t xml:space="preserve">Credit Card</x:t>
        </x:is>
      </x:c>
      <x:c r="L176" s="19" t="n">
        <x:v>231.29</x:v>
      </x:c>
      <x:c r="M176" s="19" t="n">
        <x:v>23.13</x:v>
      </x:c>
      <x:c r="N176" s="19" t="n">
        <x:v>208.16</x:v>
      </x:c>
      <x:c r="O176" s="4" t="n">
        <x:f>YEAR(C176)</x:f>
        <x:v>2025</x:v>
      </x:c>
      <x:c r="P176" s="4" t="str">
        <x:f>TEXT(C176,"yyyy-mm")</x:f>
        <x:v>2025-11</x:v>
      </x:c>
      <x:c r="Q176" s="4" t="str">
        <x:f>TEXT(C176,"mmmm")</x:f>
        <x:v>November</x:v>
      </x:c>
    </x:row>
    <x:row r="177" ht="20" customHeight="1">
      <x:c r="A177" s="4" t="inlineStr">
        <x:is>
          <x:t xml:space="preserve">LINE-00177</x:t>
        </x:is>
      </x:c>
      <x:c r="B177" s="4" t="inlineStr">
        <x:is>
          <x:t xml:space="preserve">ORD-2025-0116</x:t>
        </x:is>
      </x:c>
      <x:c r="C177" s="17" t="n">
        <x:v>45976</x:v>
      </x:c>
      <x:c r="D177" s="4" t="inlineStr">
        <x:is>
          <x:t xml:space="preserve">CUS-0315</x:t>
        </x:is>
      </x:c>
      <x:c r="E177" s="4" t="inlineStr">
        <x:is>
          <x:t xml:space="preserve">USB-C Hub</x:t>
        </x:is>
      </x:c>
      <x:c r="F177" s="4" t="inlineStr">
        <x:is>
          <x:t xml:space="preserve">Accessories</x:t>
        </x:is>
      </x:c>
      <x:c r="G177" s="4" t="inlineStr">
        <x:is>
          <x:t xml:space="preserve">San Francisco</x:t>
        </x:is>
      </x:c>
      <x:c r="H177" s="18" t="n">
        <x:v>4</x:v>
      </x:c>
      <x:c r="I177" s="19" t="n">
        <x:v>63.45</x:v>
      </x:c>
      <x:c r="J177" s="20" t="n">
        <x:v>0</x:v>
      </x:c>
      <x:c r="K177" s="4" t="inlineStr">
        <x:is>
          <x:t xml:space="preserve">Credit Card</x:t>
        </x:is>
      </x:c>
      <x:c r="L177" s="19" t="n">
        <x:v>253.8</x:v>
      </x:c>
      <x:c r="M177" s="19" t="n">
        <x:v>0</x:v>
      </x:c>
      <x:c r="N177" s="19" t="n">
        <x:v>253.8</x:v>
      </x:c>
      <x:c r="O177" s="4" t="n">
        <x:f>YEAR(C177)</x:f>
        <x:v>2025</x:v>
      </x:c>
      <x:c r="P177" s="4" t="str">
        <x:f>TEXT(C177,"yyyy-mm")</x:f>
        <x:v>2025-11</x:v>
      </x:c>
      <x:c r="Q177" s="4" t="str">
        <x:f>TEXT(C177,"mmmm")</x:f>
        <x:v>November</x:v>
      </x:c>
    </x:row>
    <x:row r="178" ht="20" customHeight="1">
      <x:c r="A178" s="4" t="inlineStr">
        <x:is>
          <x:t xml:space="preserve">LINE-00178</x:t>
        </x:is>
      </x:c>
      <x:c r="B178" s="4" t="inlineStr">
        <x:is>
          <x:t xml:space="preserve">ORD-2025-0117</x:t>
        </x:is>
      </x:c>
      <x:c r="C178" s="17" t="n">
        <x:v>45731</x:v>
      </x:c>
      <x:c r="D178" s="4" t="inlineStr">
        <x:is>
          <x:t xml:space="preserve">CUS-0290</x:t>
        </x:is>
      </x:c>
      <x:c r="E178" s="4" t="inlineStr">
        <x:is>
          <x:t xml:space="preserve">Desk Lamp</x:t>
        </x:is>
      </x:c>
      <x:c r="F178" s="4" t="inlineStr">
        <x:is>
          <x:t xml:space="preserve">Furniture</x:t>
        </x:is>
      </x:c>
      <x:c r="G178" s="4" t="inlineStr">
        <x:is>
          <x:t xml:space="preserve">San Francisco</x:t>
        </x:is>
      </x:c>
      <x:c r="H178" s="18" t="n">
        <x:v>2</x:v>
      </x:c>
      <x:c r="I178" s="19" t="n">
        <x:v>50.87</x:v>
      </x:c>
      <x:c r="J178" s="20" t="n">
        <x:v>0.1</x:v>
      </x:c>
      <x:c r="K178" s="4" t="inlineStr">
        <x:is>
          <x:t xml:space="preserve">Bank Transfer</x:t>
        </x:is>
      </x:c>
      <x:c r="L178" s="19" t="n">
        <x:v>101.74</x:v>
      </x:c>
      <x:c r="M178" s="19" t="n">
        <x:v>10.17</x:v>
      </x:c>
      <x:c r="N178" s="19" t="n">
        <x:v>91.56999999999999</x:v>
      </x:c>
      <x:c r="O178" s="4" t="n">
        <x:f>YEAR(C178)</x:f>
        <x:v>2025</x:v>
      </x:c>
      <x:c r="P178" s="4" t="str">
        <x:f>TEXT(C178,"yyyy-mm")</x:f>
        <x:v>2025-03</x:v>
      </x:c>
      <x:c r="Q178" s="4" t="str">
        <x:f>TEXT(C178,"mmmm")</x:f>
        <x:v>March</x:v>
      </x:c>
    </x:row>
    <x:row r="179" ht="20" customHeight="1">
      <x:c r="A179" s="4" t="inlineStr">
        <x:is>
          <x:t xml:space="preserve">LINE-00179</x:t>
        </x:is>
      </x:c>
      <x:c r="B179" s="4" t="inlineStr">
        <x:is>
          <x:t xml:space="preserve">ORD-2025-0118</x:t>
        </x:is>
      </x:c>
      <x:c r="C179" s="17" t="n">
        <x:v>45768</x:v>
      </x:c>
      <x:c r="D179" s="4" t="inlineStr">
        <x:is>
          <x:t xml:space="preserve">CUS-0193</x:t>
        </x:is>
      </x:c>
      <x:c r="E179" s="4" t="inlineStr">
        <x:is>
          <x:t xml:space="preserve">Webcam</x:t>
        </x:is>
      </x:c>
      <x:c r="F179" s="4" t="inlineStr">
        <x:is>
          <x:t xml:space="preserve">Accessories</x:t>
        </x:is>
      </x:c>
      <x:c r="G179" s="4" t="inlineStr">
        <x:is>
          <x:t xml:space="preserve">Seattle</x:t>
        </x:is>
      </x:c>
      <x:c r="H179" s="18" t="n">
        <x:v>1</x:v>
      </x:c>
      <x:c r="I179" s="19" t="n">
        <x:v>87.47</x:v>
      </x:c>
      <x:c r="J179" s="20" t="n">
        <x:v>0.15</x:v>
      </x:c>
      <x:c r="K179" s="4" t="inlineStr">
        <x:is>
          <x:t xml:space="preserve">Bank Transfer</x:t>
        </x:is>
      </x:c>
      <x:c r="L179" s="19" t="n">
        <x:v>87.47</x:v>
      </x:c>
      <x:c r="M179" s="19" t="n">
        <x:v>13.12</x:v>
      </x:c>
      <x:c r="N179" s="19" t="n">
        <x:v>74.34999999999999</x:v>
      </x:c>
      <x:c r="O179" s="4" t="n">
        <x:f>YEAR(C179)</x:f>
        <x:v>2025</x:v>
      </x:c>
      <x:c r="P179" s="4" t="str">
        <x:f>TEXT(C179,"yyyy-mm")</x:f>
        <x:v>2025-04</x:v>
      </x:c>
      <x:c r="Q179" s="4" t="str">
        <x:f>TEXT(C179,"mmmm")</x:f>
        <x:v>April</x:v>
      </x:c>
    </x:row>
    <x:row r="180" ht="20" customHeight="1">
      <x:c r="A180" s="4" t="inlineStr">
        <x:is>
          <x:t xml:space="preserve">LINE-00180</x:t>
        </x:is>
      </x:c>
      <x:c r="B180" s="4" t="inlineStr">
        <x:is>
          <x:t xml:space="preserve">ORD-2025-0119</x:t>
        </x:is>
      </x:c>
      <x:c r="C180" s="17" t="n">
        <x:v>45963</x:v>
      </x:c>
      <x:c r="D180" s="4" t="inlineStr">
        <x:is>
          <x:t xml:space="preserve">CUS-0044</x:t>
        </x:is>
      </x:c>
      <x:c r="E180" s="4" t="inlineStr">
        <x:is>
          <x:t xml:space="preserve">USB Flash Drive</x:t>
        </x:is>
      </x:c>
      <x:c r="F180" s="4" t="inlineStr">
        <x:is>
          <x:t xml:space="preserve">Storage</x:t>
        </x:is>
      </x:c>
      <x:c r="G180" s="4" t="inlineStr">
        <x:is>
          <x:t xml:space="preserve">New York</x:t>
        </x:is>
      </x:c>
      <x:c r="H180" s="18" t="n">
        <x:v>1</x:v>
      </x:c>
      <x:c r="I180" s="19" t="n">
        <x:v>27.99</x:v>
      </x:c>
      <x:c r="J180" s="20" t="n">
        <x:v>0</x:v>
      </x:c>
      <x:c r="K180" s="4" t="inlineStr">
        <x:is>
          <x:t xml:space="preserve">Debit Card</x:t>
        </x:is>
      </x:c>
      <x:c r="L180" s="19" t="n">
        <x:v>27.99</x:v>
      </x:c>
      <x:c r="M180" s="19" t="n">
        <x:v>0</x:v>
      </x:c>
      <x:c r="N180" s="19" t="n">
        <x:v>27.99</x:v>
      </x:c>
      <x:c r="O180" s="4" t="n">
        <x:f>YEAR(C180)</x:f>
        <x:v>2025</x:v>
      </x:c>
      <x:c r="P180" s="4" t="str">
        <x:f>TEXT(C180,"yyyy-mm")</x:f>
        <x:v>2025-11</x:v>
      </x:c>
      <x:c r="Q180" s="4" t="str">
        <x:f>TEXT(C180,"mmmm")</x:f>
        <x:v>November</x:v>
      </x:c>
    </x:row>
    <x:row r="181" ht="20" customHeight="1">
      <x:c r="A181" s="4" t="inlineStr">
        <x:is>
          <x:t xml:space="preserve">LINE-00181</x:t>
        </x:is>
      </x:c>
      <x:c r="B181" s="4" t="inlineStr">
        <x:is>
          <x:t xml:space="preserve">ORD-2025-0120</x:t>
        </x:is>
      </x:c>
      <x:c r="C181" s="17" t="n">
        <x:v>45875</x:v>
      </x:c>
      <x:c r="D181" s="4" t="inlineStr">
        <x:is>
          <x:t xml:space="preserve">CUS-0249</x:t>
        </x:is>
      </x:c>
      <x:c r="E181" s="4" t="inlineStr">
        <x:is>
          <x:t xml:space="preserve">Wireless Mouse</x:t>
        </x:is>
      </x:c>
      <x:c r="F181" s="4" t="inlineStr">
        <x:is>
          <x:t xml:space="preserve">Accessories</x:t>
        </x:is>
      </x:c>
      <x:c r="G181" s="4" t="inlineStr">
        <x:is>
          <x:t xml:space="preserve">Boston</x:t>
        </x:is>
      </x:c>
      <x:c r="H181" s="18" t="n">
        <x:v>3</x:v>
      </x:c>
      <x:c r="I181" s="19" t="n">
        <x:v>42.22</x:v>
      </x:c>
      <x:c r="J181" s="20" t="n">
        <x:v>0</x:v>
      </x:c>
      <x:c r="K181" s="4" t="inlineStr">
        <x:is>
          <x:t xml:space="preserve">Bank Transfer</x:t>
        </x:is>
      </x:c>
      <x:c r="L181" s="19" t="n">
        <x:v>126.66</x:v>
      </x:c>
      <x:c r="M181" s="19" t="n">
        <x:v>0</x:v>
      </x:c>
      <x:c r="N181" s="19" t="n">
        <x:v>126.66</x:v>
      </x:c>
      <x:c r="O181" s="4" t="n">
        <x:f>YEAR(C181)</x:f>
        <x:v>2025</x:v>
      </x:c>
      <x:c r="P181" s="4" t="str">
        <x:f>TEXT(C181,"yyyy-mm")</x:f>
        <x:v>2025-08</x:v>
      </x:c>
      <x:c r="Q181" s="4" t="str">
        <x:f>TEXT(C181,"mmmm")</x:f>
        <x:v>August</x:v>
      </x:c>
    </x:row>
    <x:row r="182" ht="20" customHeight="1">
      <x:c r="A182" s="4" t="inlineStr">
        <x:is>
          <x:t xml:space="preserve">LINE-00182</x:t>
        </x:is>
      </x:c>
      <x:c r="B182" s="4" t="inlineStr">
        <x:is>
          <x:t xml:space="preserve">ORD-2025-0121</x:t>
        </x:is>
      </x:c>
      <x:c r="C182" s="17" t="n">
        <x:v>45803</x:v>
      </x:c>
      <x:c r="D182" s="4" t="inlineStr">
        <x:is>
          <x:t xml:space="preserve">CUS-0348</x:t>
        </x:is>
      </x:c>
      <x:c r="E182" s="4" t="inlineStr">
        <x:is>
          <x:t xml:space="preserve">USB-C Hub</x:t>
        </x:is>
      </x:c>
      <x:c r="F182" s="4" t="inlineStr">
        <x:is>
          <x:t xml:space="preserve">Accessories</x:t>
        </x:is>
      </x:c>
      <x:c r="G182" s="4" t="inlineStr">
        <x:is>
          <x:t xml:space="preserve">San Francisco</x:t>
        </x:is>
      </x:c>
      <x:c r="H182" s="18" t="n">
        <x:v>1</x:v>
      </x:c>
      <x:c r="I182" s="19" t="n">
        <x:v>70.04000000000001</x:v>
      </x:c>
      <x:c r="J182" s="20" t="n">
        <x:v>0</x:v>
      </x:c>
      <x:c r="K182" s="4" t="inlineStr">
        <x:is>
          <x:t xml:space="preserve">Bank Transfer</x:t>
        </x:is>
      </x:c>
      <x:c r="L182" s="19" t="n">
        <x:v>70.04000000000001</x:v>
      </x:c>
      <x:c r="M182" s="19" t="n">
        <x:v>0</x:v>
      </x:c>
      <x:c r="N182" s="19" t="n">
        <x:v>70.04000000000001</x:v>
      </x:c>
      <x:c r="O182" s="4" t="n">
        <x:f>YEAR(C182)</x:f>
        <x:v>2025</x:v>
      </x:c>
      <x:c r="P182" s="4" t="str">
        <x:f>TEXT(C182,"yyyy-mm")</x:f>
        <x:v>2025-05</x:v>
      </x:c>
      <x:c r="Q182" s="4" t="str">
        <x:f>TEXT(C182,"mmmm")</x:f>
        <x:v>May</x:v>
      </x:c>
    </x:row>
    <x:row r="183" ht="20" customHeight="1">
      <x:c r="A183" s="4" t="inlineStr">
        <x:is>
          <x:t xml:space="preserve">LINE-00183</x:t>
        </x:is>
      </x:c>
      <x:c r="B183" s="4" t="inlineStr">
        <x:is>
          <x:t xml:space="preserve">ORD-2025-0121</x:t>
        </x:is>
      </x:c>
      <x:c r="C183" s="17" t="n">
        <x:v>45803</x:v>
      </x:c>
      <x:c r="D183" s="4" t="inlineStr">
        <x:is>
          <x:t xml:space="preserve">CUS-0348</x:t>
        </x:is>
      </x:c>
      <x:c r="E183" s="4" t="inlineStr">
        <x:is>
          <x:t xml:space="preserve">Laptop</x:t>
        </x:is>
      </x:c>
      <x:c r="F183" s="4" t="inlineStr">
        <x:is>
          <x:t xml:space="preserve">Computers</x:t>
        </x:is>
      </x:c>
      <x:c r="G183" s="4" t="inlineStr">
        <x:is>
          <x:t xml:space="preserve">San Francisco</x:t>
        </x:is>
      </x:c>
      <x:c r="H183" s="18" t="n">
        <x:v>1</x:v>
      </x:c>
      <x:c r="I183" s="19" t="n">
        <x:v>1017.69</x:v>
      </x:c>
      <x:c r="J183" s="20" t="n">
        <x:v>0.1</x:v>
      </x:c>
      <x:c r="K183" s="4" t="inlineStr">
        <x:is>
          <x:t xml:space="preserve">Bank Transfer</x:t>
        </x:is>
      </x:c>
      <x:c r="L183" s="19" t="n">
        <x:v>1017.69</x:v>
      </x:c>
      <x:c r="M183" s="19" t="n">
        <x:v>101.77</x:v>
      </x:c>
      <x:c r="N183" s="19" t="n">
        <x:v>915.92</x:v>
      </x:c>
      <x:c r="O183" s="4" t="n">
        <x:f>YEAR(C183)</x:f>
        <x:v>2025</x:v>
      </x:c>
      <x:c r="P183" s="4" t="str">
        <x:f>TEXT(C183,"yyyy-mm")</x:f>
        <x:v>2025-05</x:v>
      </x:c>
      <x:c r="Q183" s="4" t="str">
        <x:f>TEXT(C183,"mmmm")</x:f>
        <x:v>May</x:v>
      </x:c>
    </x:row>
    <x:row r="184" ht="20" customHeight="1">
      <x:c r="A184" s="4" t="inlineStr">
        <x:is>
          <x:t xml:space="preserve">LINE-00184</x:t>
        </x:is>
      </x:c>
      <x:c r="B184" s="4" t="inlineStr">
        <x:is>
          <x:t xml:space="preserve">ORD-2025-0122</x:t>
        </x:is>
      </x:c>
      <x:c r="C184" s="17" t="n">
        <x:v>45788</x:v>
      </x:c>
      <x:c r="D184" s="4" t="inlineStr">
        <x:is>
          <x:t xml:space="preserve">CUS-0149</x:t>
        </x:is>
      </x:c>
      <x:c r="E184" s="4" t="inlineStr">
        <x:is>
          <x:t xml:space="preserve">Desk Lamp</x:t>
        </x:is>
      </x:c>
      <x:c r="F184" s="4" t="inlineStr">
        <x:is>
          <x:t xml:space="preserve">Furniture</x:t>
        </x:is>
      </x:c>
      <x:c r="G184" s="4" t="inlineStr">
        <x:is>
          <x:t xml:space="preserve">Austin</x:t>
        </x:is>
      </x:c>
      <x:c r="H184" s="18" t="n">
        <x:v>2</x:v>
      </x:c>
      <x:c r="I184" s="19" t="n">
        <x:v>51.74</x:v>
      </x:c>
      <x:c r="J184" s="20" t="n">
        <x:v>0.05</x:v>
      </x:c>
      <x:c r="K184" s="4" t="inlineStr">
        <x:is>
          <x:t xml:space="preserve">Credit Card</x:t>
        </x:is>
      </x:c>
      <x:c r="L184" s="19" t="n">
        <x:v>103.48</x:v>
      </x:c>
      <x:c r="M184" s="19" t="n">
        <x:v>5.17</x:v>
      </x:c>
      <x:c r="N184" s="19" t="n">
        <x:v>98.31</x:v>
      </x:c>
      <x:c r="O184" s="4" t="n">
        <x:f>YEAR(C184)</x:f>
        <x:v>2025</x:v>
      </x:c>
      <x:c r="P184" s="4" t="str">
        <x:f>TEXT(C184,"yyyy-mm")</x:f>
        <x:v>2025-05</x:v>
      </x:c>
      <x:c r="Q184" s="4" t="str">
        <x:f>TEXT(C184,"mmmm")</x:f>
        <x:v>May</x:v>
      </x:c>
    </x:row>
    <x:row r="185" ht="20" customHeight="1">
      <x:c r="A185" s="4" t="inlineStr">
        <x:is>
          <x:t xml:space="preserve">LINE-00185</x:t>
        </x:is>
      </x:c>
      <x:c r="B185" s="4" t="inlineStr">
        <x:is>
          <x:t xml:space="preserve">ORD-2025-0123</x:t>
        </x:is>
      </x:c>
      <x:c r="C185" s="17" t="n">
        <x:v>45775</x:v>
      </x:c>
      <x:c r="D185" s="4" t="inlineStr">
        <x:is>
          <x:t xml:space="preserve">CUS-0257</x:t>
        </x:is>
      </x:c>
      <x:c r="E185" s="4" t="inlineStr">
        <x:is>
          <x:t xml:space="preserve">Desk Lamp</x:t>
        </x:is>
      </x:c>
      <x:c r="F185" s="4" t="inlineStr">
        <x:is>
          <x:t xml:space="preserve">Furniture</x:t>
        </x:is>
      </x:c>
      <x:c r="G185" s="4" t="inlineStr">
        <x:is>
          <x:t xml:space="preserve">Boston</x:t>
        </x:is>
      </x:c>
      <x:c r="H185" s="18" t="n">
        <x:v>1</x:v>
      </x:c>
      <x:c r="I185" s="19" t="n">
        <x:v>50.76</x:v>
      </x:c>
      <x:c r="J185" s="20" t="n">
        <x:v>0.15</x:v>
      </x:c>
      <x:c r="K185" s="4" t="inlineStr">
        <x:is>
          <x:t xml:space="preserve">PayPal</x:t>
        </x:is>
      </x:c>
      <x:c r="L185" s="19" t="n">
        <x:v>50.76</x:v>
      </x:c>
      <x:c r="M185" s="19" t="n">
        <x:v>7.61</x:v>
      </x:c>
      <x:c r="N185" s="19" t="n">
        <x:v>43.15</x:v>
      </x:c>
      <x:c r="O185" s="4" t="n">
        <x:f>YEAR(C185)</x:f>
        <x:v>2025</x:v>
      </x:c>
      <x:c r="P185" s="4" t="str">
        <x:f>TEXT(C185,"yyyy-mm")</x:f>
        <x:v>2025-04</x:v>
      </x:c>
      <x:c r="Q185" s="4" t="str">
        <x:f>TEXT(C185,"mmmm")</x:f>
        <x:v>April</x:v>
      </x:c>
    </x:row>
    <x:row r="186" ht="20" customHeight="1">
      <x:c r="A186" s="4" t="inlineStr">
        <x:is>
          <x:t xml:space="preserve">LINE-00186</x:t>
        </x:is>
      </x:c>
      <x:c r="B186" s="4" t="inlineStr">
        <x:is>
          <x:t xml:space="preserve">ORD-2025-0124</x:t>
        </x:is>
      </x:c>
      <x:c r="C186" s="17" t="n">
        <x:v>45818</x:v>
      </x:c>
      <x:c r="D186" s="4" t="inlineStr">
        <x:is>
          <x:t xml:space="preserve">CUS-0295</x:t>
        </x:is>
      </x:c>
      <x:c r="E186" s="4" t="inlineStr">
        <x:is>
          <x:t xml:space="preserve">Headphones</x:t>
        </x:is>
      </x:c>
      <x:c r="F186" s="4" t="inlineStr">
        <x:is>
          <x:t xml:space="preserve">Audio</x:t>
        </x:is>
      </x:c>
      <x:c r="G186" s="4" t="inlineStr">
        <x:is>
          <x:t xml:space="preserve">Seattle</x:t>
        </x:is>
      </x:c>
      <x:c r="H186" s="18" t="n">
        <x:v>1</x:v>
      </x:c>
      <x:c r="I186" s="19" t="n">
        <x:v>120.03</x:v>
      </x:c>
      <x:c r="J186" s="20" t="n">
        <x:v>0</x:v>
      </x:c>
      <x:c r="K186" s="4" t="inlineStr">
        <x:is>
          <x:t xml:space="preserve">Bank Transfer</x:t>
        </x:is>
      </x:c>
      <x:c r="L186" s="19" t="n">
        <x:v>120.03</x:v>
      </x:c>
      <x:c r="M186" s="19" t="n">
        <x:v>0</x:v>
      </x:c>
      <x:c r="N186" s="19" t="n">
        <x:v>120.03</x:v>
      </x:c>
      <x:c r="O186" s="4" t="n">
        <x:f>YEAR(C186)</x:f>
        <x:v>2025</x:v>
      </x:c>
      <x:c r="P186" s="4" t="str">
        <x:f>TEXT(C186,"yyyy-mm")</x:f>
        <x:v>2025-06</x:v>
      </x:c>
      <x:c r="Q186" s="4" t="str">
        <x:f>TEXT(C186,"mmmm")</x:f>
        <x:v>June</x:v>
      </x:c>
    </x:row>
    <x:row r="187" ht="20" customHeight="1">
      <x:c r="A187" s="4" t="inlineStr">
        <x:is>
          <x:t xml:space="preserve">LINE-00187</x:t>
        </x:is>
      </x:c>
      <x:c r="B187" s="4" t="inlineStr">
        <x:is>
          <x:t xml:space="preserve">ORD-2025-0124</x:t>
        </x:is>
      </x:c>
      <x:c r="C187" s="17" t="n">
        <x:v>45818</x:v>
      </x:c>
      <x:c r="D187" s="4" t="inlineStr">
        <x:is>
          <x:t xml:space="preserve">CUS-0295</x:t>
        </x:is>
      </x:c>
      <x:c r="E187" s="4" t="inlineStr">
        <x:is>
          <x:t xml:space="preserve">USB-C Hub</x:t>
        </x:is>
      </x:c>
      <x:c r="F187" s="4" t="inlineStr">
        <x:is>
          <x:t xml:space="preserve">Accessories</x:t>
        </x:is>
      </x:c>
      <x:c r="G187" s="4" t="inlineStr">
        <x:is>
          <x:t xml:space="preserve">Seattle</x:t>
        </x:is>
      </x:c>
      <x:c r="H187" s="18" t="n">
        <x:v>3</x:v>
      </x:c>
      <x:c r="I187" s="19" t="n">
        <x:v>66.23</x:v>
      </x:c>
      <x:c r="J187" s="20" t="n">
        <x:v>0.1</x:v>
      </x:c>
      <x:c r="K187" s="4" t="inlineStr">
        <x:is>
          <x:t xml:space="preserve">Bank Transfer</x:t>
        </x:is>
      </x:c>
      <x:c r="L187" s="19" t="n">
        <x:v>198.69</x:v>
      </x:c>
      <x:c r="M187" s="19" t="n">
        <x:v>19.87</x:v>
      </x:c>
      <x:c r="N187" s="19" t="n">
        <x:v>178.82</x:v>
      </x:c>
      <x:c r="O187" s="4" t="n">
        <x:f>YEAR(C187)</x:f>
        <x:v>2025</x:v>
      </x:c>
      <x:c r="P187" s="4" t="str">
        <x:f>TEXT(C187,"yyyy-mm")</x:f>
        <x:v>2025-06</x:v>
      </x:c>
      <x:c r="Q187" s="4" t="str">
        <x:f>TEXT(C187,"mmmm")</x:f>
        <x:v>June</x:v>
      </x:c>
    </x:row>
    <x:row r="188" ht="20" customHeight="1">
      <x:c r="A188" s="4" t="inlineStr">
        <x:is>
          <x:t xml:space="preserve">LINE-00188</x:t>
        </x:is>
      </x:c>
      <x:c r="B188" s="4" t="inlineStr">
        <x:is>
          <x:t xml:space="preserve">ORD-2025-0125</x:t>
        </x:is>
      </x:c>
      <x:c r="C188" s="17" t="n">
        <x:v>45843</x:v>
      </x:c>
      <x:c r="D188" s="4" t="inlineStr">
        <x:is>
          <x:t xml:space="preserve">CUS-0046</x:t>
        </x:is>
      </x:c>
      <x:c r="E188" s="4" t="inlineStr">
        <x:is>
          <x:t xml:space="preserve">USB Flash Drive</x:t>
        </x:is>
      </x:c>
      <x:c r="F188" s="4" t="inlineStr">
        <x:is>
          <x:t xml:space="preserve">Storage</x:t>
        </x:is>
      </x:c>
      <x:c r="G188" s="4" t="inlineStr">
        <x:is>
          <x:t xml:space="preserve">Seattle</x:t>
        </x:is>
      </x:c>
      <x:c r="H188" s="18" t="n">
        <x:v>2</x:v>
      </x:c>
      <x:c r="I188" s="19" t="n">
        <x:v>27.98</x:v>
      </x:c>
      <x:c r="J188" s="20" t="n">
        <x:v>0.15</x:v>
      </x:c>
      <x:c r="K188" s="4" t="inlineStr">
        <x:is>
          <x:t xml:space="preserve">Credit Card</x:t>
        </x:is>
      </x:c>
      <x:c r="L188" s="19" t="n">
        <x:v>55.96</x:v>
      </x:c>
      <x:c r="M188" s="19" t="n">
        <x:v>8.390000000000001</x:v>
      </x:c>
      <x:c r="N188" s="19" t="n">
        <x:v>47.57</x:v>
      </x:c>
      <x:c r="O188" s="4" t="n">
        <x:f>YEAR(C188)</x:f>
        <x:v>2025</x:v>
      </x:c>
      <x:c r="P188" s="4" t="str">
        <x:f>TEXT(C188,"yyyy-mm")</x:f>
        <x:v>2025-07</x:v>
      </x:c>
      <x:c r="Q188" s="4" t="str">
        <x:f>TEXT(C188,"mmmm")</x:f>
        <x:v>July</x:v>
      </x:c>
    </x:row>
    <x:row r="189" ht="20" customHeight="1">
      <x:c r="A189" s="4" t="inlineStr">
        <x:is>
          <x:t xml:space="preserve">LINE-00189</x:t>
        </x:is>
      </x:c>
      <x:c r="B189" s="4" t="inlineStr">
        <x:is>
          <x:t xml:space="preserve">ORD-2025-0126</x:t>
        </x:is>
      </x:c>
      <x:c r="C189" s="17" t="n">
        <x:v>45831</x:v>
      </x:c>
      <x:c r="D189" s="4" t="inlineStr">
        <x:is>
          <x:t xml:space="preserve">CUS-0114</x:t>
        </x:is>
      </x:c>
      <x:c r="E189" s="4" t="inlineStr">
        <x:is>
          <x:t xml:space="preserve">Office Chair</x:t>
        </x:is>
      </x:c>
      <x:c r="F189" s="4" t="inlineStr">
        <x:is>
          <x:t xml:space="preserve">Furniture</x:t>
        </x:is>
      </x:c>
      <x:c r="G189" s="4" t="inlineStr">
        <x:is>
          <x:t xml:space="preserve">Austin</x:t>
        </x:is>
      </x:c>
      <x:c r="H189" s="18" t="n">
        <x:v>1</x:v>
      </x:c>
      <x:c r="I189" s="19" t="n">
        <x:v>240.38</x:v>
      </x:c>
      <x:c r="J189" s="20" t="n">
        <x:v>0.15</x:v>
      </x:c>
      <x:c r="K189" s="4" t="inlineStr">
        <x:is>
          <x:t xml:space="preserve">Debit Card</x:t>
        </x:is>
      </x:c>
      <x:c r="L189" s="19" t="n">
        <x:v>240.38</x:v>
      </x:c>
      <x:c r="M189" s="19" t="n">
        <x:v>36.06</x:v>
      </x:c>
      <x:c r="N189" s="19" t="n">
        <x:v>204.32</x:v>
      </x:c>
      <x:c r="O189" s="4" t="n">
        <x:f>YEAR(C189)</x:f>
        <x:v>2025</x:v>
      </x:c>
      <x:c r="P189" s="4" t="str">
        <x:f>TEXT(C189,"yyyy-mm")</x:f>
        <x:v>2025-06</x:v>
      </x:c>
      <x:c r="Q189" s="4" t="str">
        <x:f>TEXT(C189,"mmmm")</x:f>
        <x:v>June</x:v>
      </x:c>
    </x:row>
    <x:row r="190" ht="20" customHeight="1">
      <x:c r="A190" s="4" t="inlineStr">
        <x:is>
          <x:t xml:space="preserve">LINE-00190</x:t>
        </x:is>
      </x:c>
      <x:c r="B190" s="4" t="inlineStr">
        <x:is>
          <x:t xml:space="preserve">ORD-2025-0127</x:t>
        </x:is>
      </x:c>
      <x:c r="C190" s="17" t="n">
        <x:v>45836</x:v>
      </x:c>
      <x:c r="D190" s="4" t="inlineStr">
        <x:is>
          <x:t xml:space="preserve">CUS-0180</x:t>
        </x:is>
      </x:c>
      <x:c r="E190" s="4" t="inlineStr">
        <x:is>
          <x:t xml:space="preserve">Keyboard</x:t>
        </x:is>
      </x:c>
      <x:c r="F190" s="4" t="inlineStr">
        <x:is>
          <x:t xml:space="preserve">Accessories</x:t>
        </x:is>
      </x:c>
      <x:c r="G190" s="4" t="inlineStr">
        <x:is>
          <x:t xml:space="preserve">San Francisco</x:t>
        </x:is>
      </x:c>
      <x:c r="H190" s="18" t="n">
        <x:v>1</x:v>
      </x:c>
      <x:c r="I190" s="19" t="n">
        <x:v>71.08</x:v>
      </x:c>
      <x:c r="J190" s="20" t="n">
        <x:v>0</x:v>
      </x:c>
      <x:c r="K190" s="4" t="inlineStr">
        <x:is>
          <x:t xml:space="preserve">Debit Card</x:t>
        </x:is>
      </x:c>
      <x:c r="L190" s="19" t="n">
        <x:v>71.08</x:v>
      </x:c>
      <x:c r="M190" s="19" t="n">
        <x:v>0</x:v>
      </x:c>
      <x:c r="N190" s="19" t="n">
        <x:v>71.08</x:v>
      </x:c>
      <x:c r="O190" s="4" t="n">
        <x:f>YEAR(C190)</x:f>
        <x:v>2025</x:v>
      </x:c>
      <x:c r="P190" s="4" t="str">
        <x:f>TEXT(C190,"yyyy-mm")</x:f>
        <x:v>2025-06</x:v>
      </x:c>
      <x:c r="Q190" s="4" t="str">
        <x:f>TEXT(C190,"mmmm")</x:f>
        <x:v>June</x:v>
      </x:c>
    </x:row>
    <x:row r="191" ht="20" customHeight="1">
      <x:c r="A191" s="4" t="inlineStr">
        <x:is>
          <x:t xml:space="preserve">LINE-00191</x:t>
        </x:is>
      </x:c>
      <x:c r="B191" s="4" t="inlineStr">
        <x:is>
          <x:t xml:space="preserve">ORD-2025-0128</x:t>
        </x:is>
      </x:c>
      <x:c r="C191" s="17" t="n">
        <x:v>45993</x:v>
      </x:c>
      <x:c r="D191" s="4" t="inlineStr">
        <x:is>
          <x:t xml:space="preserve">CUS-0039</x:t>
        </x:is>
      </x:c>
      <x:c r="E191" s="4" t="inlineStr">
        <x:is>
          <x:t xml:space="preserve">USB Flash Drive</x:t>
        </x:is>
      </x:c>
      <x:c r="F191" s="4" t="inlineStr">
        <x:is>
          <x:t xml:space="preserve">Storage</x:t>
        </x:is>
      </x:c>
      <x:c r="G191" s="4" t="inlineStr">
        <x:is>
          <x:t xml:space="preserve">Chicago</x:t>
        </x:is>
      </x:c>
      <x:c r="H191" s="18" t="n">
        <x:v>3</x:v>
      </x:c>
      <x:c r="I191" s="19" t="n">
        <x:v>29.75</x:v>
      </x:c>
      <x:c r="J191" s="20" t="n">
        <x:v>0.15</x:v>
      </x:c>
      <x:c r="K191" s="4" t="inlineStr">
        <x:is>
          <x:t xml:space="preserve">Bank Transfer</x:t>
        </x:is>
      </x:c>
      <x:c r="L191" s="19" t="n">
        <x:v>89.25</x:v>
      </x:c>
      <x:c r="M191" s="19" t="n">
        <x:v>13.39</x:v>
      </x:c>
      <x:c r="N191" s="19" t="n">
        <x:v>75.86</x:v>
      </x:c>
      <x:c r="O191" s="4" t="n">
        <x:f>YEAR(C191)</x:f>
        <x:v>2025</x:v>
      </x:c>
      <x:c r="P191" s="4" t="str">
        <x:f>TEXT(C191,"yyyy-mm")</x:f>
        <x:v>2025-12</x:v>
      </x:c>
      <x:c r="Q191" s="4" t="str">
        <x:f>TEXT(C191,"mmmm")</x:f>
        <x:v>December</x:v>
      </x:c>
    </x:row>
    <x:row r="192" ht="20" customHeight="1">
      <x:c r="A192" s="4" t="inlineStr">
        <x:is>
          <x:t xml:space="preserve">LINE-00192</x:t>
        </x:is>
      </x:c>
      <x:c r="B192" s="4" t="inlineStr">
        <x:is>
          <x:t xml:space="preserve">ORD-2025-0129</x:t>
        </x:is>
      </x:c>
      <x:c r="C192" s="17" t="n">
        <x:v>45947</x:v>
      </x:c>
      <x:c r="D192" s="4" t="inlineStr">
        <x:is>
          <x:t xml:space="preserve">CUS-0330</x:t>
        </x:is>
      </x:c>
      <x:c r="E192" s="4" t="inlineStr">
        <x:is>
          <x:t xml:space="preserve">Office Chair</x:t>
        </x:is>
      </x:c>
      <x:c r="F192" s="4" t="inlineStr">
        <x:is>
          <x:t xml:space="preserve">Furniture</x:t>
        </x:is>
      </x:c>
      <x:c r="G192" s="4" t="inlineStr">
        <x:is>
          <x:t xml:space="preserve">San Francisco</x:t>
        </x:is>
      </x:c>
      <x:c r="H192" s="18" t="n">
        <x:v>2</x:v>
      </x:c>
      <x:c r="I192" s="19" t="n">
        <x:v>238.81</x:v>
      </x:c>
      <x:c r="J192" s="20" t="n">
        <x:v>0.05</x:v>
      </x:c>
      <x:c r="K192" s="4" t="inlineStr">
        <x:is>
          <x:t xml:space="preserve">PayPal</x:t>
        </x:is>
      </x:c>
      <x:c r="L192" s="19" t="n">
        <x:v>477.62</x:v>
      </x:c>
      <x:c r="M192" s="19" t="n">
        <x:v>23.88</x:v>
      </x:c>
      <x:c r="N192" s="19" t="n">
        <x:v>453.74</x:v>
      </x:c>
      <x:c r="O192" s="4" t="n">
        <x:f>YEAR(C192)</x:f>
        <x:v>2025</x:v>
      </x:c>
      <x:c r="P192" s="4" t="str">
        <x:f>TEXT(C192,"yyyy-mm")</x:f>
        <x:v>2025-10</x:v>
      </x:c>
      <x:c r="Q192" s="4" t="str">
        <x:f>TEXT(C192,"mmmm")</x:f>
        <x:v>October</x:v>
      </x:c>
    </x:row>
    <x:row r="193" ht="20" customHeight="1">
      <x:c r="A193" s="4" t="inlineStr">
        <x:is>
          <x:t xml:space="preserve">LINE-00193</x:t>
        </x:is>
      </x:c>
      <x:c r="B193" s="4" t="inlineStr">
        <x:is>
          <x:t xml:space="preserve">ORD-2025-0129</x:t>
        </x:is>
      </x:c>
      <x:c r="C193" s="17" t="n">
        <x:v>45947</x:v>
      </x:c>
      <x:c r="D193" s="4" t="inlineStr">
        <x:is>
          <x:t xml:space="preserve">CUS-0330</x:t>
        </x:is>
      </x:c>
      <x:c r="E193" s="4" t="inlineStr">
        <x:is>
          <x:t xml:space="preserve">Webcam</x:t>
        </x:is>
      </x:c>
      <x:c r="F193" s="4" t="inlineStr">
        <x:is>
          <x:t xml:space="preserve">Accessories</x:t>
        </x:is>
      </x:c>
      <x:c r="G193" s="4" t="inlineStr">
        <x:is>
          <x:t xml:space="preserve">San Francisco</x:t>
        </x:is>
      </x:c>
      <x:c r="H193" s="18" t="n">
        <x:v>3</x:v>
      </x:c>
      <x:c r="I193" s="19" t="n">
        <x:v>91.31999999999999</x:v>
      </x:c>
      <x:c r="J193" s="20" t="n">
        <x:v>0</x:v>
      </x:c>
      <x:c r="K193" s="4" t="inlineStr">
        <x:is>
          <x:t xml:space="preserve">PayPal</x:t>
        </x:is>
      </x:c>
      <x:c r="L193" s="19" t="n">
        <x:v>273.96</x:v>
      </x:c>
      <x:c r="M193" s="19" t="n">
        <x:v>0</x:v>
      </x:c>
      <x:c r="N193" s="19" t="n">
        <x:v>273.96</x:v>
      </x:c>
      <x:c r="O193" s="4" t="n">
        <x:f>YEAR(C193)</x:f>
        <x:v>2025</x:v>
      </x:c>
      <x:c r="P193" s="4" t="str">
        <x:f>TEXT(C193,"yyyy-mm")</x:f>
        <x:v>2025-10</x:v>
      </x:c>
      <x:c r="Q193" s="4" t="str">
        <x:f>TEXT(C193,"mmmm")</x:f>
        <x:v>October</x:v>
      </x:c>
    </x:row>
    <x:row r="194" ht="20" customHeight="1">
      <x:c r="A194" s="4" t="inlineStr">
        <x:is>
          <x:t xml:space="preserve">LINE-00194</x:t>
        </x:is>
      </x:c>
      <x:c r="B194" s="4" t="inlineStr">
        <x:is>
          <x:t xml:space="preserve">ORD-2025-0129</x:t>
        </x:is>
      </x:c>
      <x:c r="C194" s="17" t="n">
        <x:v>45947</x:v>
      </x:c>
      <x:c r="D194" s="4" t="inlineStr">
        <x:is>
          <x:t xml:space="preserve">CUS-0330</x:t>
        </x:is>
      </x:c>
      <x:c r="E194" s="4" t="inlineStr">
        <x:is>
          <x:t xml:space="preserve">Keyboard</x:t>
        </x:is>
      </x:c>
      <x:c r="F194" s="4" t="inlineStr">
        <x:is>
          <x:t xml:space="preserve">Accessories</x:t>
        </x:is>
      </x:c>
      <x:c r="G194" s="4" t="inlineStr">
        <x:is>
          <x:t xml:space="preserve">San Francisco</x:t>
        </x:is>
      </x:c>
      <x:c r="H194" s="18" t="n">
        <x:v>1</x:v>
      </x:c>
      <x:c r="I194" s="19" t="n">
        <x:v>74.54000000000001</x:v>
      </x:c>
      <x:c r="J194" s="20" t="n">
        <x:v>0</x:v>
      </x:c>
      <x:c r="K194" s="4" t="inlineStr">
        <x:is>
          <x:t xml:space="preserve">PayPal</x:t>
        </x:is>
      </x:c>
      <x:c r="L194" s="19" t="n">
        <x:v>74.54000000000001</x:v>
      </x:c>
      <x:c r="M194" s="19" t="n">
        <x:v>0</x:v>
      </x:c>
      <x:c r="N194" s="19" t="n">
        <x:v>74.54000000000001</x:v>
      </x:c>
      <x:c r="O194" s="4" t="n">
        <x:f>YEAR(C194)</x:f>
        <x:v>2025</x:v>
      </x:c>
      <x:c r="P194" s="4" t="str">
        <x:f>TEXT(C194,"yyyy-mm")</x:f>
        <x:v>2025-10</x:v>
      </x:c>
      <x:c r="Q194" s="4" t="str">
        <x:f>TEXT(C194,"mmmm")</x:f>
        <x:v>October</x:v>
      </x:c>
    </x:row>
    <x:row r="195" ht="20" customHeight="1">
      <x:c r="A195" s="4" t="inlineStr">
        <x:is>
          <x:t xml:space="preserve">LINE-00195</x:t>
        </x:is>
      </x:c>
      <x:c r="B195" s="4" t="inlineStr">
        <x:is>
          <x:t xml:space="preserve">ORD-2025-0130</x:t>
        </x:is>
      </x:c>
      <x:c r="C195" s="17" t="n">
        <x:v>45846</x:v>
      </x:c>
      <x:c r="D195" s="4" t="inlineStr">
        <x:is>
          <x:t xml:space="preserve">CUS-0147</x:t>
        </x:is>
      </x:c>
      <x:c r="E195" s="4" t="inlineStr">
        <x:is>
          <x:t xml:space="preserve">External SSD</x:t>
        </x:is>
      </x:c>
      <x:c r="F195" s="4" t="inlineStr">
        <x:is>
          <x:t xml:space="preserve">Storage</x:t>
        </x:is>
      </x:c>
      <x:c r="G195" s="4" t="inlineStr">
        <x:is>
          <x:t xml:space="preserve">New York</x:t>
        </x:is>
      </x:c>
      <x:c r="H195" s="18" t="n">
        <x:v>2</x:v>
      </x:c>
      <x:c r="I195" s="19" t="n">
        <x:v>151.3</x:v>
      </x:c>
      <x:c r="J195" s="20" t="n">
        <x:v>0.1</x:v>
      </x:c>
      <x:c r="K195" s="4" t="inlineStr">
        <x:is>
          <x:t xml:space="preserve">Credit Card</x:t>
        </x:is>
      </x:c>
      <x:c r="L195" s="19" t="n">
        <x:v>302.6</x:v>
      </x:c>
      <x:c r="M195" s="19" t="n">
        <x:v>30.26</x:v>
      </x:c>
      <x:c r="N195" s="19" t="n">
        <x:v>272.34</x:v>
      </x:c>
      <x:c r="O195" s="4" t="n">
        <x:f>YEAR(C195)</x:f>
        <x:v>2025</x:v>
      </x:c>
      <x:c r="P195" s="4" t="str">
        <x:f>TEXT(C195,"yyyy-mm")</x:f>
        <x:v>2025-07</x:v>
      </x:c>
      <x:c r="Q195" s="4" t="str">
        <x:f>TEXT(C195,"mmmm")</x:f>
        <x:v>July</x:v>
      </x:c>
    </x:row>
    <x:row r="196" ht="20" customHeight="1">
      <x:c r="A196" s="4" t="inlineStr">
        <x:is>
          <x:t xml:space="preserve">LINE-00196</x:t>
        </x:is>
      </x:c>
      <x:c r="B196" s="4" t="inlineStr">
        <x:is>
          <x:t xml:space="preserve">ORD-2025-0130</x:t>
        </x:is>
      </x:c>
      <x:c r="C196" s="17" t="n">
        <x:v>45846</x:v>
      </x:c>
      <x:c r="D196" s="4" t="inlineStr">
        <x:is>
          <x:t xml:space="preserve">CUS-0147</x:t>
        </x:is>
      </x:c>
      <x:c r="E196" s="4" t="inlineStr">
        <x:is>
          <x:t xml:space="preserve">Headphones</x:t>
        </x:is>
      </x:c>
      <x:c r="F196" s="4" t="inlineStr">
        <x:is>
          <x:t xml:space="preserve">Audio</x:t>
        </x:is>
      </x:c>
      <x:c r="G196" s="4" t="inlineStr">
        <x:is>
          <x:t xml:space="preserve">New York</x:t>
        </x:is>
      </x:c>
      <x:c r="H196" s="18" t="n">
        <x:v>4</x:v>
      </x:c>
      <x:c r="I196" s="19" t="n">
        <x:v>128.95</x:v>
      </x:c>
      <x:c r="J196" s="20" t="n">
        <x:v>0.1</x:v>
      </x:c>
      <x:c r="K196" s="4" t="inlineStr">
        <x:is>
          <x:t xml:space="preserve">Credit Card</x:t>
        </x:is>
      </x:c>
      <x:c r="L196" s="19" t="n">
        <x:v>515.8</x:v>
      </x:c>
      <x:c r="M196" s="19" t="n">
        <x:v>51.58</x:v>
      </x:c>
      <x:c r="N196" s="19" t="n">
        <x:v>464.22</x:v>
      </x:c>
      <x:c r="O196" s="4" t="n">
        <x:f>YEAR(C196)</x:f>
        <x:v>2025</x:v>
      </x:c>
      <x:c r="P196" s="4" t="str">
        <x:f>TEXT(C196,"yyyy-mm")</x:f>
        <x:v>2025-07</x:v>
      </x:c>
      <x:c r="Q196" s="4" t="str">
        <x:f>TEXT(C196,"mmmm")</x:f>
        <x:v>July</x:v>
      </x:c>
    </x:row>
    <x:row r="197" ht="20" customHeight="1">
      <x:c r="A197" s="4" t="inlineStr">
        <x:is>
          <x:t xml:space="preserve">LINE-00197</x:t>
        </x:is>
      </x:c>
      <x:c r="B197" s="4" t="inlineStr">
        <x:is>
          <x:t xml:space="preserve">ORD-2025-0131</x:t>
        </x:is>
      </x:c>
      <x:c r="C197" s="17" t="n">
        <x:v>45991</x:v>
      </x:c>
      <x:c r="D197" s="4" t="inlineStr">
        <x:is>
          <x:t xml:space="preserve">CUS-0097</x:t>
        </x:is>
      </x:c>
      <x:c r="E197" s="4" t="inlineStr">
        <x:is>
          <x:t xml:space="preserve">Laptop</x:t>
        </x:is>
      </x:c>
      <x:c r="F197" s="4" t="inlineStr">
        <x:is>
          <x:t xml:space="preserve">Computers</x:t>
        </x:is>
      </x:c>
      <x:c r="G197" s="4" t="inlineStr">
        <x:is>
          <x:t xml:space="preserve">Austin</x:t>
        </x:is>
      </x:c>
      <x:c r="H197" s="18" t="n">
        <x:v>1</x:v>
      </x:c>
      <x:c r="I197" s="19" t="n">
        <x:v>1010.67</x:v>
      </x:c>
      <x:c r="J197" s="20" t="n">
        <x:v>0</x:v>
      </x:c>
      <x:c r="K197" s="4" t="inlineStr">
        <x:is>
          <x:t xml:space="preserve">Bank Transfer</x:t>
        </x:is>
      </x:c>
      <x:c r="L197" s="19" t="n">
        <x:v>1010.67</x:v>
      </x:c>
      <x:c r="M197" s="19" t="n">
        <x:v>0</x:v>
      </x:c>
      <x:c r="N197" s="19" t="n">
        <x:v>1010.67</x:v>
      </x:c>
      <x:c r="O197" s="4" t="n">
        <x:f>YEAR(C197)</x:f>
        <x:v>2025</x:v>
      </x:c>
      <x:c r="P197" s="4" t="str">
        <x:f>TEXT(C197,"yyyy-mm")</x:f>
        <x:v>2025-11</x:v>
      </x:c>
      <x:c r="Q197" s="4" t="str">
        <x:f>TEXT(C197,"mmmm")</x:f>
        <x:v>November</x:v>
      </x:c>
    </x:row>
    <x:row r="198" ht="20" customHeight="1">
      <x:c r="A198" s="4" t="inlineStr">
        <x:is>
          <x:t xml:space="preserve">LINE-00198</x:t>
        </x:is>
      </x:c>
      <x:c r="B198" s="4" t="inlineStr">
        <x:is>
          <x:t xml:space="preserve">ORD-2025-0131</x:t>
        </x:is>
      </x:c>
      <x:c r="C198" s="17" t="n">
        <x:v>45991</x:v>
      </x:c>
      <x:c r="D198" s="4" t="inlineStr">
        <x:is>
          <x:t xml:space="preserve">CUS-0097</x:t>
        </x:is>
      </x:c>
      <x:c r="E198" s="4" t="inlineStr">
        <x:is>
          <x:t xml:space="preserve">Bluetooth Speaker</x:t>
        </x:is>
      </x:c>
      <x:c r="F198" s="4" t="inlineStr">
        <x:is>
          <x:t xml:space="preserve">Audio</x:t>
        </x:is>
      </x:c>
      <x:c r="G198" s="4" t="inlineStr">
        <x:is>
          <x:t xml:space="preserve">Austin</x:t>
        </x:is>
      </x:c>
      <x:c r="H198" s="18" t="n">
        <x:v>3</x:v>
      </x:c>
      <x:c r="I198" s="19" t="n">
        <x:v>110.08</x:v>
      </x:c>
      <x:c r="J198" s="20" t="n">
        <x:v>0</x:v>
      </x:c>
      <x:c r="K198" s="4" t="inlineStr">
        <x:is>
          <x:t xml:space="preserve">Bank Transfer</x:t>
        </x:is>
      </x:c>
      <x:c r="L198" s="19" t="n">
        <x:v>330.24</x:v>
      </x:c>
      <x:c r="M198" s="19" t="n">
        <x:v>0</x:v>
      </x:c>
      <x:c r="N198" s="19" t="n">
        <x:v>330.24</x:v>
      </x:c>
      <x:c r="O198" s="4" t="n">
        <x:f>YEAR(C198)</x:f>
        <x:v>2025</x:v>
      </x:c>
      <x:c r="P198" s="4" t="str">
        <x:f>TEXT(C198,"yyyy-mm")</x:f>
        <x:v>2025-11</x:v>
      </x:c>
      <x:c r="Q198" s="4" t="str">
        <x:f>TEXT(C198,"mmmm")</x:f>
        <x:v>November</x:v>
      </x:c>
    </x:row>
    <x:row r="199" ht="20" customHeight="1">
      <x:c r="A199" s="4" t="inlineStr">
        <x:is>
          <x:t xml:space="preserve">LINE-00199</x:t>
        </x:is>
      </x:c>
      <x:c r="B199" s="4" t="inlineStr">
        <x:is>
          <x:t xml:space="preserve">ORD-2025-0132</x:t>
        </x:is>
      </x:c>
      <x:c r="C199" s="17" t="n">
        <x:v>45784</x:v>
      </x:c>
      <x:c r="D199" s="4" t="inlineStr">
        <x:is>
          <x:t xml:space="preserve">CUS-0225</x:t>
        </x:is>
      </x:c>
      <x:c r="E199" s="4" t="inlineStr">
        <x:is>
          <x:t xml:space="preserve">USB-C Hub</x:t>
        </x:is>
      </x:c>
      <x:c r="F199" s="4" t="inlineStr">
        <x:is>
          <x:t xml:space="preserve">Accessories</x:t>
        </x:is>
      </x:c>
      <x:c r="G199" s="4" t="inlineStr">
        <x:is>
          <x:t xml:space="preserve">Seattle</x:t>
        </x:is>
      </x:c>
      <x:c r="H199" s="18" t="n">
        <x:v>1</x:v>
      </x:c>
      <x:c r="I199" s="19" t="n">
        <x:v>67.84999999999999</x:v>
      </x:c>
      <x:c r="J199" s="20" t="n">
        <x:v>0.05</x:v>
      </x:c>
      <x:c r="K199" s="4" t="inlineStr">
        <x:is>
          <x:t xml:space="preserve">Debit Card</x:t>
        </x:is>
      </x:c>
      <x:c r="L199" s="19" t="n">
        <x:v>67.84999999999999</x:v>
      </x:c>
      <x:c r="M199" s="19" t="n">
        <x:v>3.39</x:v>
      </x:c>
      <x:c r="N199" s="19" t="n">
        <x:v>64.45999999999999</x:v>
      </x:c>
      <x:c r="O199" s="4" t="n">
        <x:f>YEAR(C199)</x:f>
        <x:v>2025</x:v>
      </x:c>
      <x:c r="P199" s="4" t="str">
        <x:f>TEXT(C199,"yyyy-mm")</x:f>
        <x:v>2025-05</x:v>
      </x:c>
      <x:c r="Q199" s="4" t="str">
        <x:f>TEXT(C199,"mmmm")</x:f>
        <x:v>May</x:v>
      </x:c>
    </x:row>
    <x:row r="200" ht="20" customHeight="1">
      <x:c r="A200" s="4" t="inlineStr">
        <x:is>
          <x:t xml:space="preserve">LINE-00200</x:t>
        </x:is>
      </x:c>
      <x:c r="B200" s="4" t="inlineStr">
        <x:is>
          <x:t xml:space="preserve">ORD-2025-0133</x:t>
        </x:is>
      </x:c>
      <x:c r="C200" s="17" t="n">
        <x:v>45684</x:v>
      </x:c>
      <x:c r="D200" s="4" t="inlineStr">
        <x:is>
          <x:t xml:space="preserve">CUS-0324</x:t>
        </x:is>
      </x:c>
      <x:c r="E200" s="4" t="inlineStr">
        <x:is>
          <x:t xml:space="preserve">Monitor</x:t>
        </x:is>
      </x:c>
      <x:c r="F200" s="4" t="inlineStr">
        <x:is>
          <x:t xml:space="preserve">Computers</x:t>
        </x:is>
      </x:c>
      <x:c r="G200" s="4" t="inlineStr">
        <x:is>
          <x:t xml:space="preserve">San Francisco</x:t>
        </x:is>
      </x:c>
      <x:c r="H200" s="18" t="n">
        <x:v>2</x:v>
      </x:c>
      <x:c r="I200" s="19" t="n">
        <x:v>274.92</x:v>
      </x:c>
      <x:c r="J200" s="20" t="n">
        <x:v>0</x:v>
      </x:c>
      <x:c r="K200" s="4" t="inlineStr">
        <x:is>
          <x:t xml:space="preserve">PayPal</x:t>
        </x:is>
      </x:c>
      <x:c r="L200" s="19" t="n">
        <x:v>549.84</x:v>
      </x:c>
      <x:c r="M200" s="19" t="n">
        <x:v>0</x:v>
      </x:c>
      <x:c r="N200" s="19" t="n">
        <x:v>549.84</x:v>
      </x:c>
      <x:c r="O200" s="4" t="n">
        <x:f>YEAR(C200)</x:f>
        <x:v>2025</x:v>
      </x:c>
      <x:c r="P200" s="4" t="str">
        <x:f>TEXT(C200,"yyyy-mm")</x:f>
        <x:v>2025-01</x:v>
      </x:c>
      <x:c r="Q200" s="4" t="str">
        <x:f>TEXT(C200,"mmmm")</x:f>
        <x:v>January</x:v>
      </x:c>
    </x:row>
    <x:row r="201" ht="20" customHeight="1">
      <x:c r="A201" s="4" t="inlineStr">
        <x:is>
          <x:t xml:space="preserve">LINE-00201</x:t>
        </x:is>
      </x:c>
      <x:c r="B201" s="4" t="inlineStr">
        <x:is>
          <x:t xml:space="preserve">ORD-2025-0134</x:t>
        </x:is>
      </x:c>
      <x:c r="C201" s="17" t="n">
        <x:v>45994</x:v>
      </x:c>
      <x:c r="D201" s="4" t="inlineStr">
        <x:is>
          <x:t xml:space="preserve">CUS-0309</x:t>
        </x:is>
      </x:c>
      <x:c r="E201" s="4" t="inlineStr">
        <x:is>
          <x:t xml:space="preserve">Office Chair</x:t>
        </x:is>
      </x:c>
      <x:c r="F201" s="4" t="inlineStr">
        <x:is>
          <x:t xml:space="preserve">Furniture</x:t>
        </x:is>
      </x:c>
      <x:c r="G201" s="4" t="inlineStr">
        <x:is>
          <x:t xml:space="preserve">Chicago</x:t>
        </x:is>
      </x:c>
      <x:c r="H201" s="18" t="n">
        <x:v>1</x:v>
      </x:c>
      <x:c r="I201" s="19" t="n">
        <x:v>234.23</x:v>
      </x:c>
      <x:c r="J201" s="20" t="n">
        <x:v>0.2</x:v>
      </x:c>
      <x:c r="K201" s="4" t="inlineStr">
        <x:is>
          <x:t xml:space="preserve">PayPal</x:t>
        </x:is>
      </x:c>
      <x:c r="L201" s="19" t="n">
        <x:v>234.23</x:v>
      </x:c>
      <x:c r="M201" s="19" t="n">
        <x:v>46.85</x:v>
      </x:c>
      <x:c r="N201" s="19" t="n">
        <x:v>187.38</x:v>
      </x:c>
      <x:c r="O201" s="4" t="n">
        <x:f>YEAR(C201)</x:f>
        <x:v>2025</x:v>
      </x:c>
      <x:c r="P201" s="4" t="str">
        <x:f>TEXT(C201,"yyyy-mm")</x:f>
        <x:v>2025-12</x:v>
      </x:c>
      <x:c r="Q201" s="4" t="str">
        <x:f>TEXT(C201,"mmmm")</x:f>
        <x:v>December</x:v>
      </x:c>
    </x:row>
    <x:row r="202" ht="20" customHeight="1">
      <x:c r="A202" s="4" t="inlineStr">
        <x:is>
          <x:t xml:space="preserve">LINE-00202</x:t>
        </x:is>
      </x:c>
      <x:c r="B202" s="4" t="inlineStr">
        <x:is>
          <x:t xml:space="preserve">ORD-2025-0135</x:t>
        </x:is>
      </x:c>
      <x:c r="C202" s="17" t="n">
        <x:v>46015</x:v>
      </x:c>
      <x:c r="D202" s="4" t="inlineStr">
        <x:is>
          <x:t xml:space="preserve">CUS-0340</x:t>
        </x:is>
      </x:c>
      <x:c r="E202" s="4" t="inlineStr">
        <x:is>
          <x:t xml:space="preserve">Monitor</x:t>
        </x:is>
      </x:c>
      <x:c r="F202" s="4" t="inlineStr">
        <x:is>
          <x:t xml:space="preserve">Computers</x:t>
        </x:is>
      </x:c>
      <x:c r="G202" s="4" t="inlineStr">
        <x:is>
          <x:t xml:space="preserve">Seattle</x:t>
        </x:is>
      </x:c>
      <x:c r="H202" s="18" t="n">
        <x:v>2</x:v>
      </x:c>
      <x:c r="I202" s="19" t="n">
        <x:v>286.43</x:v>
      </x:c>
      <x:c r="J202" s="20" t="n">
        <x:v>0</x:v>
      </x:c>
      <x:c r="K202" s="4" t="inlineStr">
        <x:is>
          <x:t xml:space="preserve">Debit Card</x:t>
        </x:is>
      </x:c>
      <x:c r="L202" s="19" t="n">
        <x:v>572.86</x:v>
      </x:c>
      <x:c r="M202" s="19" t="n">
        <x:v>0</x:v>
      </x:c>
      <x:c r="N202" s="19" t="n">
        <x:v>572.86</x:v>
      </x:c>
      <x:c r="O202" s="4" t="n">
        <x:f>YEAR(C202)</x:f>
        <x:v>2025</x:v>
      </x:c>
      <x:c r="P202" s="4" t="str">
        <x:f>TEXT(C202,"yyyy-mm")</x:f>
        <x:v>2025-12</x:v>
      </x:c>
      <x:c r="Q202" s="4" t="str">
        <x:f>TEXT(C202,"mmmm")</x:f>
        <x:v>December</x:v>
      </x:c>
    </x:row>
    <x:row r="203" ht="20" customHeight="1">
      <x:c r="A203" s="4" t="inlineStr">
        <x:is>
          <x:t xml:space="preserve">LINE-00203</x:t>
        </x:is>
      </x:c>
      <x:c r="B203" s="4" t="inlineStr">
        <x:is>
          <x:t xml:space="preserve">ORD-2025-0135</x:t>
        </x:is>
      </x:c>
      <x:c r="C203" s="17" t="n">
        <x:v>46015</x:v>
      </x:c>
      <x:c r="D203" s="4" t="inlineStr">
        <x:is>
          <x:t xml:space="preserve">CUS-0340</x:t>
        </x:is>
      </x:c>
      <x:c r="E203" s="4" t="inlineStr">
        <x:is>
          <x:t xml:space="preserve">USB-C Hub</x:t>
        </x:is>
      </x:c>
      <x:c r="F203" s="4" t="inlineStr">
        <x:is>
          <x:t xml:space="preserve">Accessories</x:t>
        </x:is>
      </x:c>
      <x:c r="G203" s="4" t="inlineStr">
        <x:is>
          <x:t xml:space="preserve">Seattle</x:t>
        </x:is>
      </x:c>
      <x:c r="H203" s="18" t="n">
        <x:v>1</x:v>
      </x:c>
      <x:c r="I203" s="19" t="n">
        <x:v>67.11</x:v>
      </x:c>
      <x:c r="J203" s="20" t="n">
        <x:v>0.15</x:v>
      </x:c>
      <x:c r="K203" s="4" t="inlineStr">
        <x:is>
          <x:t xml:space="preserve">Debit Card</x:t>
        </x:is>
      </x:c>
      <x:c r="L203" s="19" t="n">
        <x:v>67.11</x:v>
      </x:c>
      <x:c r="M203" s="19" t="n">
        <x:v>10.07</x:v>
      </x:c>
      <x:c r="N203" s="19" t="n">
        <x:v>57.04</x:v>
      </x:c>
      <x:c r="O203" s="4" t="n">
        <x:f>YEAR(C203)</x:f>
        <x:v>2025</x:v>
      </x:c>
      <x:c r="P203" s="4" t="str">
        <x:f>TEXT(C203,"yyyy-mm")</x:f>
        <x:v>2025-12</x:v>
      </x:c>
      <x:c r="Q203" s="4" t="str">
        <x:f>TEXT(C203,"mmmm")</x:f>
        <x:v>December</x:v>
      </x:c>
    </x:row>
    <x:row r="204" ht="20" customHeight="1">
      <x:c r="A204" s="4" t="inlineStr">
        <x:is>
          <x:t xml:space="preserve">LINE-00204</x:t>
        </x:is>
      </x:c>
      <x:c r="B204" s="4" t="inlineStr">
        <x:is>
          <x:t xml:space="preserve">ORD-2025-0136</x:t>
        </x:is>
      </x:c>
      <x:c r="C204" s="17" t="n">
        <x:v>46008</x:v>
      </x:c>
      <x:c r="D204" s="4" t="inlineStr">
        <x:is>
          <x:t xml:space="preserve">CUS-0270</x:t>
        </x:is>
      </x:c>
      <x:c r="E204" s="4" t="inlineStr">
        <x:is>
          <x:t xml:space="preserve">Laptop</x:t>
        </x:is>
      </x:c>
      <x:c r="F204" s="4" t="inlineStr">
        <x:is>
          <x:t xml:space="preserve">Computers</x:t>
        </x:is>
      </x:c>
      <x:c r="G204" s="4" t="inlineStr">
        <x:is>
          <x:t xml:space="preserve">New York</x:t>
        </x:is>
      </x:c>
      <x:c r="H204" s="18" t="n">
        <x:v>1</x:v>
      </x:c>
      <x:c r="I204" s="19" t="n">
        <x:v>1018.58</x:v>
      </x:c>
      <x:c r="J204" s="20" t="n">
        <x:v>0</x:v>
      </x:c>
      <x:c r="K204" s="4" t="inlineStr">
        <x:is>
          <x:t xml:space="preserve">Bank Transfer</x:t>
        </x:is>
      </x:c>
      <x:c r="L204" s="19" t="n">
        <x:v>1018.58</x:v>
      </x:c>
      <x:c r="M204" s="19" t="n">
        <x:v>0</x:v>
      </x:c>
      <x:c r="N204" s="19" t="n">
        <x:v>1018.58</x:v>
      </x:c>
      <x:c r="O204" s="4" t="n">
        <x:f>YEAR(C204)</x:f>
        <x:v>2025</x:v>
      </x:c>
      <x:c r="P204" s="4" t="str">
        <x:f>TEXT(C204,"yyyy-mm")</x:f>
        <x:v>2025-12</x:v>
      </x:c>
      <x:c r="Q204" s="4" t="str">
        <x:f>TEXT(C204,"mmmm")</x:f>
        <x:v>December</x:v>
      </x:c>
    </x:row>
    <x:row r="205" ht="20" customHeight="1">
      <x:c r="A205" s="4" t="inlineStr">
        <x:is>
          <x:t xml:space="preserve">LINE-00205</x:t>
        </x:is>
      </x:c>
      <x:c r="B205" s="4" t="inlineStr">
        <x:is>
          <x:t xml:space="preserve">ORD-2025-0136</x:t>
        </x:is>
      </x:c>
      <x:c r="C205" s="17" t="n">
        <x:v>46008</x:v>
      </x:c>
      <x:c r="D205" s="4" t="inlineStr">
        <x:is>
          <x:t xml:space="preserve">CUS-0270</x:t>
        </x:is>
      </x:c>
      <x:c r="E205" s="4" t="inlineStr">
        <x:is>
          <x:t xml:space="preserve">Webcam</x:t>
        </x:is>
      </x:c>
      <x:c r="F205" s="4" t="inlineStr">
        <x:is>
          <x:t xml:space="preserve">Accessories</x:t>
        </x:is>
      </x:c>
      <x:c r="G205" s="4" t="inlineStr">
        <x:is>
          <x:t xml:space="preserve">New York</x:t>
        </x:is>
      </x:c>
      <x:c r="H205" s="18" t="n">
        <x:v>3</x:v>
      </x:c>
      <x:c r="I205" s="19" t="n">
        <x:v>85.56</x:v>
      </x:c>
      <x:c r="J205" s="20" t="n">
        <x:v>0.2</x:v>
      </x:c>
      <x:c r="K205" s="4" t="inlineStr">
        <x:is>
          <x:t xml:space="preserve">Bank Transfer</x:t>
        </x:is>
      </x:c>
      <x:c r="L205" s="19" t="n">
        <x:v>256.68</x:v>
      </x:c>
      <x:c r="M205" s="19" t="n">
        <x:v>51.34</x:v>
      </x:c>
      <x:c r="N205" s="19" t="n">
        <x:v>205.34</x:v>
      </x:c>
      <x:c r="O205" s="4" t="n">
        <x:f>YEAR(C205)</x:f>
        <x:v>2025</x:v>
      </x:c>
      <x:c r="P205" s="4" t="str">
        <x:f>TEXT(C205,"yyyy-mm")</x:f>
        <x:v>2025-12</x:v>
      </x:c>
      <x:c r="Q205" s="4" t="str">
        <x:f>TEXT(C205,"mmmm")</x:f>
        <x:v>December</x:v>
      </x:c>
    </x:row>
    <x:row r="206" ht="20" customHeight="1">
      <x:c r="A206" s="4" t="inlineStr">
        <x:is>
          <x:t xml:space="preserve">LINE-00206</x:t>
        </x:is>
      </x:c>
      <x:c r="B206" s="4" t="inlineStr">
        <x:is>
          <x:t xml:space="preserve">ORD-2025-0137</x:t>
        </x:is>
      </x:c>
      <x:c r="C206" s="17" t="n">
        <x:v>45737</x:v>
      </x:c>
      <x:c r="D206" s="4" t="inlineStr">
        <x:is>
          <x:t xml:space="preserve">CUS-0040</x:t>
        </x:is>
      </x:c>
      <x:c r="E206" s="4" t="inlineStr">
        <x:is>
          <x:t xml:space="preserve">External SSD</x:t>
        </x:is>
      </x:c>
      <x:c r="F206" s="4" t="inlineStr">
        <x:is>
          <x:t xml:space="preserve">Storage</x:t>
        </x:is>
      </x:c>
      <x:c r="G206" s="4" t="inlineStr">
        <x:is>
          <x:t xml:space="preserve">Austin</x:t>
        </x:is>
      </x:c>
      <x:c r="H206" s="18" t="n">
        <x:v>1</x:v>
      </x:c>
      <x:c r="I206" s="19" t="n">
        <x:v>146.08</x:v>
      </x:c>
      <x:c r="J206" s="20" t="n">
        <x:v>0.1</x:v>
      </x:c>
      <x:c r="K206" s="4" t="inlineStr">
        <x:is>
          <x:t xml:space="preserve">Credit Card</x:t>
        </x:is>
      </x:c>
      <x:c r="L206" s="19" t="n">
        <x:v>146.08</x:v>
      </x:c>
      <x:c r="M206" s="19" t="n">
        <x:v>14.61</x:v>
      </x:c>
      <x:c r="N206" s="19" t="n">
        <x:v>131.47</x:v>
      </x:c>
      <x:c r="O206" s="4" t="n">
        <x:f>YEAR(C206)</x:f>
        <x:v>2025</x:v>
      </x:c>
      <x:c r="P206" s="4" t="str">
        <x:f>TEXT(C206,"yyyy-mm")</x:f>
        <x:v>2025-03</x:v>
      </x:c>
      <x:c r="Q206" s="4" t="str">
        <x:f>TEXT(C206,"mmmm")</x:f>
        <x:v>March</x:v>
      </x:c>
    </x:row>
    <x:row r="207" ht="20" customHeight="1">
      <x:c r="A207" s="4" t="inlineStr">
        <x:is>
          <x:t xml:space="preserve">LINE-00207</x:t>
        </x:is>
      </x:c>
      <x:c r="B207" s="4" t="inlineStr">
        <x:is>
          <x:t xml:space="preserve">ORD-2025-0137</x:t>
        </x:is>
      </x:c>
      <x:c r="C207" s="17" t="n">
        <x:v>45737</x:v>
      </x:c>
      <x:c r="D207" s="4" t="inlineStr">
        <x:is>
          <x:t xml:space="preserve">CUS-0040</x:t>
        </x:is>
      </x:c>
      <x:c r="E207" s="4" t="inlineStr">
        <x:is>
          <x:t xml:space="preserve">Desk Lamp</x:t>
        </x:is>
      </x:c>
      <x:c r="F207" s="4" t="inlineStr">
        <x:is>
          <x:t xml:space="preserve">Furniture</x:t>
        </x:is>
      </x:c>
      <x:c r="G207" s="4" t="inlineStr">
        <x:is>
          <x:t xml:space="preserve">Austin</x:t>
        </x:is>
      </x:c>
      <x:c r="H207" s="18" t="n">
        <x:v>1</x:v>
      </x:c>
      <x:c r="I207" s="19" t="n">
        <x:v>53.92</x:v>
      </x:c>
      <x:c r="J207" s="20" t="n">
        <x:v>0</x:v>
      </x:c>
      <x:c r="K207" s="4" t="inlineStr">
        <x:is>
          <x:t xml:space="preserve">Credit Card</x:t>
        </x:is>
      </x:c>
      <x:c r="L207" s="19" t="n">
        <x:v>53.92</x:v>
      </x:c>
      <x:c r="M207" s="19" t="n">
        <x:v>0</x:v>
      </x:c>
      <x:c r="N207" s="19" t="n">
        <x:v>53.92</x:v>
      </x:c>
      <x:c r="O207" s="4" t="n">
        <x:f>YEAR(C207)</x:f>
        <x:v>2025</x:v>
      </x:c>
      <x:c r="P207" s="4" t="str">
        <x:f>TEXT(C207,"yyyy-mm")</x:f>
        <x:v>2025-03</x:v>
      </x:c>
      <x:c r="Q207" s="4" t="str">
        <x:f>TEXT(C207,"mmmm")</x:f>
        <x:v>March</x:v>
      </x:c>
    </x:row>
    <x:row r="208" ht="20" customHeight="1">
      <x:c r="A208" s="4" t="inlineStr">
        <x:is>
          <x:t xml:space="preserve">LINE-00208</x:t>
        </x:is>
      </x:c>
      <x:c r="B208" s="4" t="inlineStr">
        <x:is>
          <x:t xml:space="preserve">ORD-2025-0138</x:t>
        </x:is>
      </x:c>
      <x:c r="C208" s="17" t="n">
        <x:v>46012</x:v>
      </x:c>
      <x:c r="D208" s="4" t="inlineStr">
        <x:is>
          <x:t xml:space="preserve">CUS-0320</x:t>
        </x:is>
      </x:c>
      <x:c r="E208" s="4" t="inlineStr">
        <x:is>
          <x:t xml:space="preserve">Webcam</x:t>
        </x:is>
      </x:c>
      <x:c r="F208" s="4" t="inlineStr">
        <x:is>
          <x:t xml:space="preserve">Accessories</x:t>
        </x:is>
      </x:c>
      <x:c r="G208" s="4" t="inlineStr">
        <x:is>
          <x:t xml:space="preserve">Chicago</x:t>
        </x:is>
      </x:c>
      <x:c r="H208" s="18" t="n">
        <x:v>2</x:v>
      </x:c>
      <x:c r="I208" s="19" t="n">
        <x:v>86.22</x:v>
      </x:c>
      <x:c r="J208" s="20" t="n">
        <x:v>0</x:v>
      </x:c>
      <x:c r="K208" s="4" t="inlineStr">
        <x:is>
          <x:t xml:space="preserve">Bank Transfer</x:t>
        </x:is>
      </x:c>
      <x:c r="L208" s="19" t="n">
        <x:v>172.44</x:v>
      </x:c>
      <x:c r="M208" s="19" t="n">
        <x:v>0</x:v>
      </x:c>
      <x:c r="N208" s="19" t="n">
        <x:v>172.44</x:v>
      </x:c>
      <x:c r="O208" s="4" t="n">
        <x:f>YEAR(C208)</x:f>
        <x:v>2025</x:v>
      </x:c>
      <x:c r="P208" s="4" t="str">
        <x:f>TEXT(C208,"yyyy-mm")</x:f>
        <x:v>2025-12</x:v>
      </x:c>
      <x:c r="Q208" s="4" t="str">
        <x:f>TEXT(C208,"mmmm")</x:f>
        <x:v>December</x:v>
      </x:c>
    </x:row>
    <x:row r="209" ht="20" customHeight="1">
      <x:c r="A209" s="4" t="inlineStr">
        <x:is>
          <x:t xml:space="preserve">LINE-00209</x:t>
        </x:is>
      </x:c>
      <x:c r="B209" s="4" t="inlineStr">
        <x:is>
          <x:t xml:space="preserve">ORD-2025-0139</x:t>
        </x:is>
      </x:c>
      <x:c r="C209" s="17" t="n">
        <x:v>45803</x:v>
      </x:c>
      <x:c r="D209" s="4" t="inlineStr">
        <x:is>
          <x:t xml:space="preserve">CUS-0230</x:t>
        </x:is>
      </x:c>
      <x:c r="E209" s="4" t="inlineStr">
        <x:is>
          <x:t xml:space="preserve">Bluetooth Speaker</x:t>
        </x:is>
      </x:c>
      <x:c r="F209" s="4" t="inlineStr">
        <x:is>
          <x:t xml:space="preserve">Audio</x:t>
        </x:is>
      </x:c>
      <x:c r="G209" s="4" t="inlineStr">
        <x:is>
          <x:t xml:space="preserve">Chicago</x:t>
        </x:is>
      </x:c>
      <x:c r="H209" s="18" t="n">
        <x:v>4</x:v>
      </x:c>
      <x:c r="I209" s="19" t="n">
        <x:v>104.61</x:v>
      </x:c>
      <x:c r="J209" s="20" t="n">
        <x:v>0.05</x:v>
      </x:c>
      <x:c r="K209" s="4" t="inlineStr">
        <x:is>
          <x:t xml:space="preserve">Debit Card</x:t>
        </x:is>
      </x:c>
      <x:c r="L209" s="19" t="n">
        <x:v>418.44</x:v>
      </x:c>
      <x:c r="M209" s="19" t="n">
        <x:v>20.92</x:v>
      </x:c>
      <x:c r="N209" s="19" t="n">
        <x:v>397.52</x:v>
      </x:c>
      <x:c r="O209" s="4" t="n">
        <x:f>YEAR(C209)</x:f>
        <x:v>2025</x:v>
      </x:c>
      <x:c r="P209" s="4" t="str">
        <x:f>TEXT(C209,"yyyy-mm")</x:f>
        <x:v>2025-05</x:v>
      </x:c>
      <x:c r="Q209" s="4" t="str">
        <x:f>TEXT(C209,"mmmm")</x:f>
        <x:v>May</x:v>
      </x:c>
    </x:row>
    <x:row r="210" ht="20" customHeight="1">
      <x:c r="A210" s="4" t="inlineStr">
        <x:is>
          <x:t xml:space="preserve">LINE-00210</x:t>
        </x:is>
      </x:c>
      <x:c r="B210" s="4" t="inlineStr">
        <x:is>
          <x:t xml:space="preserve">ORD-2025-0140</x:t>
        </x:is>
      </x:c>
      <x:c r="C210" s="17" t="n">
        <x:v>45950</x:v>
      </x:c>
      <x:c r="D210" s="4" t="inlineStr">
        <x:is>
          <x:t xml:space="preserve">CUS-0226</x:t>
        </x:is>
      </x:c>
      <x:c r="E210" s="4" t="inlineStr">
        <x:is>
          <x:t xml:space="preserve">External SSD</x:t>
        </x:is>
      </x:c>
      <x:c r="F210" s="4" t="inlineStr">
        <x:is>
          <x:t xml:space="preserve">Storage</x:t>
        </x:is>
      </x:c>
      <x:c r="G210" s="4" t="inlineStr">
        <x:is>
          <x:t xml:space="preserve">Seattle</x:t>
        </x:is>
      </x:c>
      <x:c r="H210" s="18" t="n">
        <x:v>2</x:v>
      </x:c>
      <x:c r="I210" s="19" t="n">
        <x:v>141.89</x:v>
      </x:c>
      <x:c r="J210" s="20" t="n">
        <x:v>0</x:v>
      </x:c>
      <x:c r="K210" s="4" t="inlineStr">
        <x:is>
          <x:t xml:space="preserve">PayPal</x:t>
        </x:is>
      </x:c>
      <x:c r="L210" s="19" t="n">
        <x:v>283.78</x:v>
      </x:c>
      <x:c r="M210" s="19" t="n">
        <x:v>0</x:v>
      </x:c>
      <x:c r="N210" s="19" t="n">
        <x:v>283.78</x:v>
      </x:c>
      <x:c r="O210" s="4" t="n">
        <x:f>YEAR(C210)</x:f>
        <x:v>2025</x:v>
      </x:c>
      <x:c r="P210" s="4" t="str">
        <x:f>TEXT(C210,"yyyy-mm")</x:f>
        <x:v>2025-10</x:v>
      </x:c>
      <x:c r="Q210" s="4" t="str">
        <x:f>TEXT(C210,"mmmm")</x:f>
        <x:v>October</x:v>
      </x:c>
    </x:row>
    <x:row r="211" ht="20" customHeight="1">
      <x:c r="A211" s="4" t="inlineStr">
        <x:is>
          <x:t xml:space="preserve">LINE-00211</x:t>
        </x:is>
      </x:c>
      <x:c r="B211" s="4" t="inlineStr">
        <x:is>
          <x:t xml:space="preserve">ORD-2025-0140</x:t>
        </x:is>
      </x:c>
      <x:c r="C211" s="17" t="n">
        <x:v>45950</x:v>
      </x:c>
      <x:c r="D211" s="4" t="inlineStr">
        <x:is>
          <x:t xml:space="preserve">CUS-0226</x:t>
        </x:is>
      </x:c>
      <x:c r="E211" s="4" t="inlineStr">
        <x:is>
          <x:t xml:space="preserve">Desk Lamp</x:t>
        </x:is>
      </x:c>
      <x:c r="F211" s="4" t="inlineStr">
        <x:is>
          <x:t xml:space="preserve">Furniture</x:t>
        </x:is>
      </x:c>
      <x:c r="G211" s="4" t="inlineStr">
        <x:is>
          <x:t xml:space="preserve">Seattle</x:t>
        </x:is>
      </x:c>
      <x:c r="H211" s="18" t="n">
        <x:v>2</x:v>
      </x:c>
      <x:c r="I211" s="19" t="n">
        <x:v>58.28</x:v>
      </x:c>
      <x:c r="J211" s="20" t="n">
        <x:v>0</x:v>
      </x:c>
      <x:c r="K211" s="4" t="inlineStr">
        <x:is>
          <x:t xml:space="preserve">PayPal</x:t>
        </x:is>
      </x:c>
      <x:c r="L211" s="19" t="n">
        <x:v>116.56</x:v>
      </x:c>
      <x:c r="M211" s="19" t="n">
        <x:v>0</x:v>
      </x:c>
      <x:c r="N211" s="19" t="n">
        <x:v>116.56</x:v>
      </x:c>
      <x:c r="O211" s="4" t="n">
        <x:f>YEAR(C211)</x:f>
        <x:v>2025</x:v>
      </x:c>
      <x:c r="P211" s="4" t="str">
        <x:f>TEXT(C211,"yyyy-mm")</x:f>
        <x:v>2025-10</x:v>
      </x:c>
      <x:c r="Q211" s="4" t="str">
        <x:f>TEXT(C211,"mmmm")</x:f>
        <x:v>October</x:v>
      </x:c>
    </x:row>
    <x:row r="212" ht="20" customHeight="1">
      <x:c r="A212" s="4" t="inlineStr">
        <x:is>
          <x:t xml:space="preserve">LINE-00212</x:t>
        </x:is>
      </x:c>
      <x:c r="B212" s="4" t="inlineStr">
        <x:is>
          <x:t xml:space="preserve">ORD-2025-0141</x:t>
        </x:is>
      </x:c>
      <x:c r="C212" s="17" t="n">
        <x:v>45904</x:v>
      </x:c>
      <x:c r="D212" s="4" t="inlineStr">
        <x:is>
          <x:t xml:space="preserve">CUS-0191</x:t>
        </x:is>
      </x:c>
      <x:c r="E212" s="4" t="inlineStr">
        <x:is>
          <x:t xml:space="preserve">External SSD</x:t>
        </x:is>
      </x:c>
      <x:c r="F212" s="4" t="inlineStr">
        <x:is>
          <x:t xml:space="preserve">Storage</x:t>
        </x:is>
      </x:c>
      <x:c r="G212" s="4" t="inlineStr">
        <x:is>
          <x:t xml:space="preserve">Boston</x:t>
        </x:is>
      </x:c>
      <x:c r="H212" s="18" t="n">
        <x:v>1</x:v>
      </x:c>
      <x:c r="I212" s="19" t="n">
        <x:v>156.31</x:v>
      </x:c>
      <x:c r="J212" s="20" t="n">
        <x:v>0</x:v>
      </x:c>
      <x:c r="K212" s="4" t="inlineStr">
        <x:is>
          <x:t xml:space="preserve">Credit Card</x:t>
        </x:is>
      </x:c>
      <x:c r="L212" s="19" t="n">
        <x:v>156.31</x:v>
      </x:c>
      <x:c r="M212" s="19" t="n">
        <x:v>0</x:v>
      </x:c>
      <x:c r="N212" s="19" t="n">
        <x:v>156.31</x:v>
      </x:c>
      <x:c r="O212" s="4" t="n">
        <x:f>YEAR(C212)</x:f>
        <x:v>2025</x:v>
      </x:c>
      <x:c r="P212" s="4" t="str">
        <x:f>TEXT(C212,"yyyy-mm")</x:f>
        <x:v>2025-09</x:v>
      </x:c>
      <x:c r="Q212" s="4" t="str">
        <x:f>TEXT(C212,"mmmm")</x:f>
        <x:v>September</x:v>
      </x:c>
    </x:row>
    <x:row r="213" ht="20" customHeight="1">
      <x:c r="A213" s="4" t="inlineStr">
        <x:is>
          <x:t xml:space="preserve">LINE-00213</x:t>
        </x:is>
      </x:c>
      <x:c r="B213" s="4" t="inlineStr">
        <x:is>
          <x:t xml:space="preserve">ORD-2025-0141</x:t>
        </x:is>
      </x:c>
      <x:c r="C213" s="17" t="n">
        <x:v>45904</x:v>
      </x:c>
      <x:c r="D213" s="4" t="inlineStr">
        <x:is>
          <x:t xml:space="preserve">CUS-0191</x:t>
        </x:is>
      </x:c>
      <x:c r="E213" s="4" t="inlineStr">
        <x:is>
          <x:t xml:space="preserve">Monitor</x:t>
        </x:is>
      </x:c>
      <x:c r="F213" s="4" t="inlineStr">
        <x:is>
          <x:t xml:space="preserve">Computers</x:t>
        </x:is>
      </x:c>
      <x:c r="G213" s="4" t="inlineStr">
        <x:is>
          <x:t xml:space="preserve">Boston</x:t>
        </x:is>
      </x:c>
      <x:c r="H213" s="18" t="n">
        <x:v>4</x:v>
      </x:c>
      <x:c r="I213" s="19" t="n">
        <x:v>264.2</x:v>
      </x:c>
      <x:c r="J213" s="20" t="n">
        <x:v>0</x:v>
      </x:c>
      <x:c r="K213" s="4" t="inlineStr">
        <x:is>
          <x:t xml:space="preserve">Credit Card</x:t>
        </x:is>
      </x:c>
      <x:c r="L213" s="19" t="n">
        <x:v>1056.8</x:v>
      </x:c>
      <x:c r="M213" s="19" t="n">
        <x:v>0</x:v>
      </x:c>
      <x:c r="N213" s="19" t="n">
        <x:v>1056.8</x:v>
      </x:c>
      <x:c r="O213" s="4" t="n">
        <x:f>YEAR(C213)</x:f>
        <x:v>2025</x:v>
      </x:c>
      <x:c r="P213" s="4" t="str">
        <x:f>TEXT(C213,"yyyy-mm")</x:f>
        <x:v>2025-09</x:v>
      </x:c>
      <x:c r="Q213" s="4" t="str">
        <x:f>TEXT(C213,"mmmm")</x:f>
        <x:v>September</x:v>
      </x:c>
    </x:row>
    <x:row r="214" ht="20" customHeight="1">
      <x:c r="A214" s="4" t="inlineStr">
        <x:is>
          <x:t xml:space="preserve">LINE-00214</x:t>
        </x:is>
      </x:c>
      <x:c r="B214" s="4" t="inlineStr">
        <x:is>
          <x:t xml:space="preserve">ORD-2025-0142</x:t>
        </x:is>
      </x:c>
      <x:c r="C214" s="17" t="n">
        <x:v>45771</x:v>
      </x:c>
      <x:c r="D214" s="4" t="inlineStr">
        <x:is>
          <x:t xml:space="preserve">CUS-0231</x:t>
        </x:is>
      </x:c>
      <x:c r="E214" s="4" t="inlineStr">
        <x:is>
          <x:t xml:space="preserve">Headphones</x:t>
        </x:is>
      </x:c>
      <x:c r="F214" s="4" t="inlineStr">
        <x:is>
          <x:t xml:space="preserve">Audio</x:t>
        </x:is>
      </x:c>
      <x:c r="G214" s="4" t="inlineStr">
        <x:is>
          <x:t xml:space="preserve">Austin</x:t>
        </x:is>
      </x:c>
      <x:c r="H214" s="18" t="n">
        <x:v>2</x:v>
      </x:c>
      <x:c r="I214" s="19" t="n">
        <x:v>124.5</x:v>
      </x:c>
      <x:c r="J214" s="20" t="n">
        <x:v>0.2</x:v>
      </x:c>
      <x:c r="K214" s="4" t="inlineStr">
        <x:is>
          <x:t xml:space="preserve">Credit Card</x:t>
        </x:is>
      </x:c>
      <x:c r="L214" s="19" t="n">
        <x:v>249</x:v>
      </x:c>
      <x:c r="M214" s="19" t="n">
        <x:v>49.8</x:v>
      </x:c>
      <x:c r="N214" s="19" t="n">
        <x:v>199.2</x:v>
      </x:c>
      <x:c r="O214" s="4" t="n">
        <x:f>YEAR(C214)</x:f>
        <x:v>2025</x:v>
      </x:c>
      <x:c r="P214" s="4" t="str">
        <x:f>TEXT(C214,"yyyy-mm")</x:f>
        <x:v>2025-04</x:v>
      </x:c>
      <x:c r="Q214" s="4" t="str">
        <x:f>TEXT(C214,"mmmm")</x:f>
        <x:v>April</x:v>
      </x:c>
    </x:row>
    <x:row r="215" ht="20" customHeight="1">
      <x:c r="A215" s="4" t="inlineStr">
        <x:is>
          <x:t xml:space="preserve">LINE-00215</x:t>
        </x:is>
      </x:c>
      <x:c r="B215" s="4" t="inlineStr">
        <x:is>
          <x:t xml:space="preserve">ORD-2025-0143</x:t>
        </x:is>
      </x:c>
      <x:c r="C215" s="17" t="n">
        <x:v>45849</x:v>
      </x:c>
      <x:c r="D215" s="4" t="inlineStr">
        <x:is>
          <x:t xml:space="preserve">CUS-0115</x:t>
        </x:is>
      </x:c>
      <x:c r="E215" s="4" t="inlineStr">
        <x:is>
          <x:t xml:space="preserve">Desk Lamp</x:t>
        </x:is>
      </x:c>
      <x:c r="F215" s="4" t="inlineStr">
        <x:is>
          <x:t xml:space="preserve">Furniture</x:t>
        </x:is>
      </x:c>
      <x:c r="G215" s="4" t="inlineStr">
        <x:is>
          <x:t xml:space="preserve">New York</x:t>
        </x:is>
      </x:c>
      <x:c r="H215" s="18" t="n">
        <x:v>3</x:v>
      </x:c>
      <x:c r="I215" s="19" t="n">
        <x:v>51.81</x:v>
      </x:c>
      <x:c r="J215" s="20" t="n">
        <x:v>0</x:v>
      </x:c>
      <x:c r="K215" s="4" t="inlineStr">
        <x:is>
          <x:t xml:space="preserve">PayPal</x:t>
        </x:is>
      </x:c>
      <x:c r="L215" s="19" t="n">
        <x:v>155.43</x:v>
      </x:c>
      <x:c r="M215" s="19" t="n">
        <x:v>0</x:v>
      </x:c>
      <x:c r="N215" s="19" t="n">
        <x:v>155.43</x:v>
      </x:c>
      <x:c r="O215" s="4" t="n">
        <x:f>YEAR(C215)</x:f>
        <x:v>2025</x:v>
      </x:c>
      <x:c r="P215" s="4" t="str">
        <x:f>TEXT(C215,"yyyy-mm")</x:f>
        <x:v>2025-07</x:v>
      </x:c>
      <x:c r="Q215" s="4" t="str">
        <x:f>TEXT(C215,"mmmm")</x:f>
        <x:v>July</x:v>
      </x:c>
    </x:row>
    <x:row r="216" ht="20" customHeight="1">
      <x:c r="A216" s="4" t="inlineStr">
        <x:is>
          <x:t xml:space="preserve">LINE-00216</x:t>
        </x:is>
      </x:c>
      <x:c r="B216" s="4" t="inlineStr">
        <x:is>
          <x:t xml:space="preserve">ORD-2025-0143</x:t>
        </x:is>
      </x:c>
      <x:c r="C216" s="17" t="n">
        <x:v>45849</x:v>
      </x:c>
      <x:c r="D216" s="4" t="inlineStr">
        <x:is>
          <x:t xml:space="preserve">CUS-0115</x:t>
        </x:is>
      </x:c>
      <x:c r="E216" s="4" t="inlineStr">
        <x:is>
          <x:t xml:space="preserve">Office Chair</x:t>
        </x:is>
      </x:c>
      <x:c r="F216" s="4" t="inlineStr">
        <x:is>
          <x:t xml:space="preserve">Furniture</x:t>
        </x:is>
      </x:c>
      <x:c r="G216" s="4" t="inlineStr">
        <x:is>
          <x:t xml:space="preserve">New York</x:t>
        </x:is>
      </x:c>
      <x:c r="H216" s="18" t="n">
        <x:v>3</x:v>
      </x:c>
      <x:c r="I216" s="19" t="n">
        <x:v>247.53</x:v>
      </x:c>
      <x:c r="J216" s="20" t="n">
        <x:v>0</x:v>
      </x:c>
      <x:c r="K216" s="4" t="inlineStr">
        <x:is>
          <x:t xml:space="preserve">PayPal</x:t>
        </x:is>
      </x:c>
      <x:c r="L216" s="19" t="n">
        <x:v>742.59</x:v>
      </x:c>
      <x:c r="M216" s="19" t="n">
        <x:v>0</x:v>
      </x:c>
      <x:c r="N216" s="19" t="n">
        <x:v>742.59</x:v>
      </x:c>
      <x:c r="O216" s="4" t="n">
        <x:f>YEAR(C216)</x:f>
        <x:v>2025</x:v>
      </x:c>
      <x:c r="P216" s="4" t="str">
        <x:f>TEXT(C216,"yyyy-mm")</x:f>
        <x:v>2025-07</x:v>
      </x:c>
      <x:c r="Q216" s="4" t="str">
        <x:f>TEXT(C216,"mmmm")</x:f>
        <x:v>July</x:v>
      </x:c>
    </x:row>
    <x:row r="217" ht="20" customHeight="1">
      <x:c r="A217" s="4" t="inlineStr">
        <x:is>
          <x:t xml:space="preserve">LINE-00217</x:t>
        </x:is>
      </x:c>
      <x:c r="B217" s="4" t="inlineStr">
        <x:is>
          <x:t xml:space="preserve">ORD-2025-0143</x:t>
        </x:is>
      </x:c>
      <x:c r="C217" s="17" t="n">
        <x:v>45849</x:v>
      </x:c>
      <x:c r="D217" s="4" t="inlineStr">
        <x:is>
          <x:t xml:space="preserve">CUS-0115</x:t>
        </x:is>
      </x:c>
      <x:c r="E217" s="4" t="inlineStr">
        <x:is>
          <x:t xml:space="preserve">Webcam</x:t>
        </x:is>
      </x:c>
      <x:c r="F217" s="4" t="inlineStr">
        <x:is>
          <x:t xml:space="preserve">Accessories</x:t>
        </x:is>
      </x:c>
      <x:c r="G217" s="4" t="inlineStr">
        <x:is>
          <x:t xml:space="preserve">New York</x:t>
        </x:is>
      </x:c>
      <x:c r="H217" s="18" t="n">
        <x:v>3</x:v>
      </x:c>
      <x:c r="I217" s="19" t="n">
        <x:v>89.26000000000001</x:v>
      </x:c>
      <x:c r="J217" s="20" t="n">
        <x:v>0</x:v>
      </x:c>
      <x:c r="K217" s="4" t="inlineStr">
        <x:is>
          <x:t xml:space="preserve">PayPal</x:t>
        </x:is>
      </x:c>
      <x:c r="L217" s="19" t="n">
        <x:v>267.78</x:v>
      </x:c>
      <x:c r="M217" s="19" t="n">
        <x:v>0</x:v>
      </x:c>
      <x:c r="N217" s="19" t="n">
        <x:v>267.78</x:v>
      </x:c>
      <x:c r="O217" s="4" t="n">
        <x:f>YEAR(C217)</x:f>
        <x:v>2025</x:v>
      </x:c>
      <x:c r="P217" s="4" t="str">
        <x:f>TEXT(C217,"yyyy-mm")</x:f>
        <x:v>2025-07</x:v>
      </x:c>
      <x:c r="Q217" s="4" t="str">
        <x:f>TEXT(C217,"mmmm")</x:f>
        <x:v>July</x:v>
      </x:c>
    </x:row>
    <x:row r="218" ht="20" customHeight="1">
      <x:c r="A218" s="4" t="inlineStr">
        <x:is>
          <x:t xml:space="preserve">LINE-00218</x:t>
        </x:is>
      </x:c>
      <x:c r="B218" s="4" t="inlineStr">
        <x:is>
          <x:t xml:space="preserve">ORD-2025-0144</x:t>
        </x:is>
      </x:c>
      <x:c r="C218" s="17" t="n">
        <x:v>45698</x:v>
      </x:c>
      <x:c r="D218" s="4" t="inlineStr">
        <x:is>
          <x:t xml:space="preserve">CUS-0010</x:t>
        </x:is>
      </x:c>
      <x:c r="E218" s="4" t="inlineStr">
        <x:is>
          <x:t xml:space="preserve">External SSD</x:t>
        </x:is>
      </x:c>
      <x:c r="F218" s="4" t="inlineStr">
        <x:is>
          <x:t xml:space="preserve">Storage</x:t>
        </x:is>
      </x:c>
      <x:c r="G218" s="4" t="inlineStr">
        <x:is>
          <x:t xml:space="preserve">Austin</x:t>
        </x:is>
      </x:c>
      <x:c r="H218" s="18" t="n">
        <x:v>2</x:v>
      </x:c>
      <x:c r="I218" s="19" t="n">
        <x:v>140.67</x:v>
      </x:c>
      <x:c r="J218" s="20" t="n">
        <x:v>0</x:v>
      </x:c>
      <x:c r="K218" s="4" t="inlineStr">
        <x:is>
          <x:t xml:space="preserve">Debit Card</x:t>
        </x:is>
      </x:c>
      <x:c r="L218" s="19" t="n">
        <x:v>281.34</x:v>
      </x:c>
      <x:c r="M218" s="19" t="n">
        <x:v>0</x:v>
      </x:c>
      <x:c r="N218" s="19" t="n">
        <x:v>281.34</x:v>
      </x:c>
      <x:c r="O218" s="4" t="n">
        <x:f>YEAR(C218)</x:f>
        <x:v>2025</x:v>
      </x:c>
      <x:c r="P218" s="4" t="str">
        <x:f>TEXT(C218,"yyyy-mm")</x:f>
        <x:v>2025-02</x:v>
      </x:c>
      <x:c r="Q218" s="4" t="str">
        <x:f>TEXT(C218,"mmmm")</x:f>
        <x:v>February</x:v>
      </x:c>
    </x:row>
    <x:row r="219" ht="20" customHeight="1">
      <x:c r="A219" s="4" t="inlineStr">
        <x:is>
          <x:t xml:space="preserve">LINE-00219</x:t>
        </x:is>
      </x:c>
      <x:c r="B219" s="4" t="inlineStr">
        <x:is>
          <x:t xml:space="preserve">ORD-2025-0144</x:t>
        </x:is>
      </x:c>
      <x:c r="C219" s="17" t="n">
        <x:v>45698</x:v>
      </x:c>
      <x:c r="D219" s="4" t="inlineStr">
        <x:is>
          <x:t xml:space="preserve">CUS-0010</x:t>
        </x:is>
      </x:c>
      <x:c r="E219" s="4" t="inlineStr">
        <x:is>
          <x:t xml:space="preserve">USB Flash Drive</x:t>
        </x:is>
      </x:c>
      <x:c r="F219" s="4" t="inlineStr">
        <x:is>
          <x:t xml:space="preserve">Storage</x:t>
        </x:is>
      </x:c>
      <x:c r="G219" s="4" t="inlineStr">
        <x:is>
          <x:t xml:space="preserve">Austin</x:t>
        </x:is>
      </x:c>
      <x:c r="H219" s="18" t="n">
        <x:v>1</x:v>
      </x:c>
      <x:c r="I219" s="19" t="n">
        <x:v>27.83</x:v>
      </x:c>
      <x:c r="J219" s="20" t="n">
        <x:v>0</x:v>
      </x:c>
      <x:c r="K219" s="4" t="inlineStr">
        <x:is>
          <x:t xml:space="preserve">Debit Card</x:t>
        </x:is>
      </x:c>
      <x:c r="L219" s="19" t="n">
        <x:v>27.83</x:v>
      </x:c>
      <x:c r="M219" s="19" t="n">
        <x:v>0</x:v>
      </x:c>
      <x:c r="N219" s="19" t="n">
        <x:v>27.83</x:v>
      </x:c>
      <x:c r="O219" s="4" t="n">
        <x:f>YEAR(C219)</x:f>
        <x:v>2025</x:v>
      </x:c>
      <x:c r="P219" s="4" t="str">
        <x:f>TEXT(C219,"yyyy-mm")</x:f>
        <x:v>2025-02</x:v>
      </x:c>
      <x:c r="Q219" s="4" t="str">
        <x:f>TEXT(C219,"mmmm")</x:f>
        <x:v>February</x:v>
      </x:c>
    </x:row>
    <x:row r="220" ht="20" customHeight="1">
      <x:c r="A220" s="4" t="inlineStr">
        <x:is>
          <x:t xml:space="preserve">LINE-00220</x:t>
        </x:is>
      </x:c>
      <x:c r="B220" s="4" t="inlineStr">
        <x:is>
          <x:t xml:space="preserve">ORD-2025-0145</x:t>
        </x:is>
      </x:c>
      <x:c r="C220" s="17" t="n">
        <x:v>45976</x:v>
      </x:c>
      <x:c r="D220" s="4" t="inlineStr">
        <x:is>
          <x:t xml:space="preserve">CUS-0235</x:t>
        </x:is>
      </x:c>
      <x:c r="E220" s="4" t="inlineStr">
        <x:is>
          <x:t xml:space="preserve">Bluetooth Speaker</x:t>
        </x:is>
      </x:c>
      <x:c r="F220" s="4" t="inlineStr">
        <x:is>
          <x:t xml:space="preserve">Audio</x:t>
        </x:is>
      </x:c>
      <x:c r="G220" s="4" t="inlineStr">
        <x:is>
          <x:t xml:space="preserve">New York</x:t>
        </x:is>
      </x:c>
      <x:c r="H220" s="18" t="n">
        <x:v>2</x:v>
      </x:c>
      <x:c r="I220" s="19" t="n">
        <x:v>112.32</x:v>
      </x:c>
      <x:c r="J220" s="20" t="n">
        <x:v>0.05</x:v>
      </x:c>
      <x:c r="K220" s="4" t="inlineStr">
        <x:is>
          <x:t xml:space="preserve">Credit Card</x:t>
        </x:is>
      </x:c>
      <x:c r="L220" s="19" t="n">
        <x:v>224.64</x:v>
      </x:c>
      <x:c r="M220" s="19" t="n">
        <x:v>11.23</x:v>
      </x:c>
      <x:c r="N220" s="19" t="n">
        <x:v>213.41</x:v>
      </x:c>
      <x:c r="O220" s="4" t="n">
        <x:f>YEAR(C220)</x:f>
        <x:v>2025</x:v>
      </x:c>
      <x:c r="P220" s="4" t="str">
        <x:f>TEXT(C220,"yyyy-mm")</x:f>
        <x:v>2025-11</x:v>
      </x:c>
      <x:c r="Q220" s="4" t="str">
        <x:f>TEXT(C220,"mmmm")</x:f>
        <x:v>November</x:v>
      </x:c>
    </x:row>
    <x:row r="221" ht="20" customHeight="1">
      <x:c r="A221" s="4" t="inlineStr">
        <x:is>
          <x:t xml:space="preserve">LINE-00221</x:t>
        </x:is>
      </x:c>
      <x:c r="B221" s="4" t="inlineStr">
        <x:is>
          <x:t xml:space="preserve">ORD-2025-0145</x:t>
        </x:is>
      </x:c>
      <x:c r="C221" s="17" t="n">
        <x:v>45976</x:v>
      </x:c>
      <x:c r="D221" s="4" t="inlineStr">
        <x:is>
          <x:t xml:space="preserve">CUS-0235</x:t>
        </x:is>
      </x:c>
      <x:c r="E221" s="4" t="inlineStr">
        <x:is>
          <x:t xml:space="preserve">USB Flash Drive</x:t>
        </x:is>
      </x:c>
      <x:c r="F221" s="4" t="inlineStr">
        <x:is>
          <x:t xml:space="preserve">Storage</x:t>
        </x:is>
      </x:c>
      <x:c r="G221" s="4" t="inlineStr">
        <x:is>
          <x:t xml:space="preserve">New York</x:t>
        </x:is>
      </x:c>
      <x:c r="H221" s="18" t="n">
        <x:v>3</x:v>
      </x:c>
      <x:c r="I221" s="19" t="n">
        <x:v>29</x:v>
      </x:c>
      <x:c r="J221" s="20" t="n">
        <x:v>0</x:v>
      </x:c>
      <x:c r="K221" s="4" t="inlineStr">
        <x:is>
          <x:t xml:space="preserve">Credit Card</x:t>
        </x:is>
      </x:c>
      <x:c r="L221" s="19" t="n">
        <x:v>87</x:v>
      </x:c>
      <x:c r="M221" s="19" t="n">
        <x:v>0</x:v>
      </x:c>
      <x:c r="N221" s="19" t="n">
        <x:v>87</x:v>
      </x:c>
      <x:c r="O221" s="4" t="n">
        <x:f>YEAR(C221)</x:f>
        <x:v>2025</x:v>
      </x:c>
      <x:c r="P221" s="4" t="str">
        <x:f>TEXT(C221,"yyyy-mm")</x:f>
        <x:v>2025-11</x:v>
      </x:c>
      <x:c r="Q221" s="4" t="str">
        <x:f>TEXT(C221,"mmmm")</x:f>
        <x:v>November</x:v>
      </x:c>
    </x:row>
    <x:row r="222" ht="20" customHeight="1">
      <x:c r="A222" s="4" t="inlineStr">
        <x:is>
          <x:t xml:space="preserve">LINE-00222</x:t>
        </x:is>
      </x:c>
      <x:c r="B222" s="4" t="inlineStr">
        <x:is>
          <x:t xml:space="preserve">ORD-2025-0146</x:t>
        </x:is>
      </x:c>
      <x:c r="C222" s="17" t="n">
        <x:v>45838</x:v>
      </x:c>
      <x:c r="D222" s="4" t="inlineStr">
        <x:is>
          <x:t xml:space="preserve">CUS-0124</x:t>
        </x:is>
      </x:c>
      <x:c r="E222" s="4" t="inlineStr">
        <x:is>
          <x:t xml:space="preserve">Office Chair</x:t>
        </x:is>
      </x:c>
      <x:c r="F222" s="4" t="inlineStr">
        <x:is>
          <x:t xml:space="preserve">Furniture</x:t>
        </x:is>
      </x:c>
      <x:c r="G222" s="4" t="inlineStr">
        <x:is>
          <x:t xml:space="preserve">Boston</x:t>
        </x:is>
      </x:c>
      <x:c r="H222" s="18" t="n">
        <x:v>1</x:v>
      </x:c>
      <x:c r="I222" s="19" t="n">
        <x:v>258.23</x:v>
      </x:c>
      <x:c r="J222" s="20" t="n">
        <x:v>0</x:v>
      </x:c>
      <x:c r="K222" s="4" t="inlineStr">
        <x:is>
          <x:t xml:space="preserve">Bank Transfer</x:t>
        </x:is>
      </x:c>
      <x:c r="L222" s="19" t="n">
        <x:v>258.23</x:v>
      </x:c>
      <x:c r="M222" s="19" t="n">
        <x:v>0</x:v>
      </x:c>
      <x:c r="N222" s="19" t="n">
        <x:v>258.23</x:v>
      </x:c>
      <x:c r="O222" s="4" t="n">
        <x:f>YEAR(C222)</x:f>
        <x:v>2025</x:v>
      </x:c>
      <x:c r="P222" s="4" t="str">
        <x:f>TEXT(C222,"yyyy-mm")</x:f>
        <x:v>2025-06</x:v>
      </x:c>
      <x:c r="Q222" s="4" t="str">
        <x:f>TEXT(C222,"mmmm")</x:f>
        <x:v>June</x:v>
      </x:c>
    </x:row>
    <x:row r="223" ht="20" customHeight="1">
      <x:c r="A223" s="4" t="inlineStr">
        <x:is>
          <x:t xml:space="preserve">LINE-00223</x:t>
        </x:is>
      </x:c>
      <x:c r="B223" s="4" t="inlineStr">
        <x:is>
          <x:t xml:space="preserve">ORD-2025-0147</x:t>
        </x:is>
      </x:c>
      <x:c r="C223" s="17" t="n">
        <x:v>45927</x:v>
      </x:c>
      <x:c r="D223" s="4" t="inlineStr">
        <x:is>
          <x:t xml:space="preserve">CUS-0279</x:t>
        </x:is>
      </x:c>
      <x:c r="E223" s="4" t="inlineStr">
        <x:is>
          <x:t xml:space="preserve">Bluetooth Speaker</x:t>
        </x:is>
      </x:c>
      <x:c r="F223" s="4" t="inlineStr">
        <x:is>
          <x:t xml:space="preserve">Audio</x:t>
        </x:is>
      </x:c>
      <x:c r="G223" s="4" t="inlineStr">
        <x:is>
          <x:t xml:space="preserve">Boston</x:t>
        </x:is>
      </x:c>
      <x:c r="H223" s="18" t="n">
        <x:v>1</x:v>
      </x:c>
      <x:c r="I223" s="19" t="n">
        <x:v>108.01</x:v>
      </x:c>
      <x:c r="J223" s="20" t="n">
        <x:v>0</x:v>
      </x:c>
      <x:c r="K223" s="4" t="inlineStr">
        <x:is>
          <x:t xml:space="preserve">Credit Card</x:t>
        </x:is>
      </x:c>
      <x:c r="L223" s="19" t="n">
        <x:v>108.01</x:v>
      </x:c>
      <x:c r="M223" s="19" t="n">
        <x:v>0</x:v>
      </x:c>
      <x:c r="N223" s="19" t="n">
        <x:v>108.01</x:v>
      </x:c>
      <x:c r="O223" s="4" t="n">
        <x:f>YEAR(C223)</x:f>
        <x:v>2025</x:v>
      </x:c>
      <x:c r="P223" s="4" t="str">
        <x:f>TEXT(C223,"yyyy-mm")</x:f>
        <x:v>2025-09</x:v>
      </x:c>
      <x:c r="Q223" s="4" t="str">
        <x:f>TEXT(C223,"mmmm")</x:f>
        <x:v>September</x:v>
      </x:c>
    </x:row>
    <x:row r="224" ht="20" customHeight="1">
      <x:c r="A224" s="4" t="inlineStr">
        <x:is>
          <x:t xml:space="preserve">LINE-00224</x:t>
        </x:is>
      </x:c>
      <x:c r="B224" s="4" t="inlineStr">
        <x:is>
          <x:t xml:space="preserve">ORD-2025-0148</x:t>
        </x:is>
      </x:c>
      <x:c r="C224" s="17" t="n">
        <x:v>45666</x:v>
      </x:c>
      <x:c r="D224" s="4" t="inlineStr">
        <x:is>
          <x:t xml:space="preserve">CUS-0183</x:t>
        </x:is>
      </x:c>
      <x:c r="E224" s="4" t="inlineStr">
        <x:is>
          <x:t xml:space="preserve">Office Chair</x:t>
        </x:is>
      </x:c>
      <x:c r="F224" s="4" t="inlineStr">
        <x:is>
          <x:t xml:space="preserve">Furniture</x:t>
        </x:is>
      </x:c>
      <x:c r="G224" s="4" t="inlineStr">
        <x:is>
          <x:t xml:space="preserve">New York</x:t>
        </x:is>
      </x:c>
      <x:c r="H224" s="18" t="n">
        <x:v>2</x:v>
      </x:c>
      <x:c r="I224" s="19" t="n">
        <x:v>250.43</x:v>
      </x:c>
      <x:c r="J224" s="20" t="n">
        <x:v>0.1</x:v>
      </x:c>
      <x:c r="K224" s="4" t="inlineStr">
        <x:is>
          <x:t xml:space="preserve">PayPal</x:t>
        </x:is>
      </x:c>
      <x:c r="L224" s="19" t="n">
        <x:v>500.86</x:v>
      </x:c>
      <x:c r="M224" s="19" t="n">
        <x:v>50.09</x:v>
      </x:c>
      <x:c r="N224" s="19" t="n">
        <x:v>450.77</x:v>
      </x:c>
      <x:c r="O224" s="4" t="n">
        <x:f>YEAR(C224)</x:f>
        <x:v>2025</x:v>
      </x:c>
      <x:c r="P224" s="4" t="str">
        <x:f>TEXT(C224,"yyyy-mm")</x:f>
        <x:v>2025-01</x:v>
      </x:c>
      <x:c r="Q224" s="4" t="str">
        <x:f>TEXT(C224,"mmmm")</x:f>
        <x:v>January</x:v>
      </x:c>
    </x:row>
    <x:row r="225" ht="20" customHeight="1">
      <x:c r="A225" s="4" t="inlineStr">
        <x:is>
          <x:t xml:space="preserve">LINE-00225</x:t>
        </x:is>
      </x:c>
      <x:c r="B225" s="4" t="inlineStr">
        <x:is>
          <x:t xml:space="preserve">ORD-2025-0149</x:t>
        </x:is>
      </x:c>
      <x:c r="C225" s="17" t="n">
        <x:v>45828</x:v>
      </x:c>
      <x:c r="D225" s="4" t="inlineStr">
        <x:is>
          <x:t xml:space="preserve">CUS-0069</x:t>
        </x:is>
      </x:c>
      <x:c r="E225" s="4" t="inlineStr">
        <x:is>
          <x:t xml:space="preserve">Office Chair</x:t>
        </x:is>
      </x:c>
      <x:c r="F225" s="4" t="inlineStr">
        <x:is>
          <x:t xml:space="preserve">Furniture</x:t>
        </x:is>
      </x:c>
      <x:c r="G225" s="4" t="inlineStr">
        <x:is>
          <x:t xml:space="preserve">New York</x:t>
        </x:is>
      </x:c>
      <x:c r="H225" s="18" t="n">
        <x:v>3</x:v>
      </x:c>
      <x:c r="I225" s="19" t="n">
        <x:v>247.09</x:v>
      </x:c>
      <x:c r="J225" s="20" t="n">
        <x:v>0.2</x:v>
      </x:c>
      <x:c r="K225" s="4" t="inlineStr">
        <x:is>
          <x:t xml:space="preserve">PayPal</x:t>
        </x:is>
      </x:c>
      <x:c r="L225" s="19" t="n">
        <x:v>741.27</x:v>
      </x:c>
      <x:c r="M225" s="19" t="n">
        <x:v>148.25</x:v>
      </x:c>
      <x:c r="N225" s="19" t="n">
        <x:v>593.02</x:v>
      </x:c>
      <x:c r="O225" s="4" t="n">
        <x:f>YEAR(C225)</x:f>
        <x:v>2025</x:v>
      </x:c>
      <x:c r="P225" s="4" t="str">
        <x:f>TEXT(C225,"yyyy-mm")</x:f>
        <x:v>2025-06</x:v>
      </x:c>
      <x:c r="Q225" s="4" t="str">
        <x:f>TEXT(C225,"mmmm")</x:f>
        <x:v>June</x:v>
      </x:c>
    </x:row>
    <x:row r="226" ht="20" customHeight="1">
      <x:c r="A226" s="4" t="inlineStr">
        <x:is>
          <x:t xml:space="preserve">LINE-00226</x:t>
        </x:is>
      </x:c>
      <x:c r="B226" s="4" t="inlineStr">
        <x:is>
          <x:t xml:space="preserve">ORD-2025-0149</x:t>
        </x:is>
      </x:c>
      <x:c r="C226" s="17" t="n">
        <x:v>45828</x:v>
      </x:c>
      <x:c r="D226" s="4" t="inlineStr">
        <x:is>
          <x:t xml:space="preserve">CUS-0069</x:t>
        </x:is>
      </x:c>
      <x:c r="E226" s="4" t="inlineStr">
        <x:is>
          <x:t xml:space="preserve">Keyboard</x:t>
        </x:is>
      </x:c>
      <x:c r="F226" s="4" t="inlineStr">
        <x:is>
          <x:t xml:space="preserve">Accessories</x:t>
        </x:is>
      </x:c>
      <x:c r="G226" s="4" t="inlineStr">
        <x:is>
          <x:t xml:space="preserve">New York</x:t>
        </x:is>
      </x:c>
      <x:c r="H226" s="18" t="n">
        <x:v>2</x:v>
      </x:c>
      <x:c r="I226" s="19" t="n">
        <x:v>71.19</x:v>
      </x:c>
      <x:c r="J226" s="20" t="n">
        <x:v>0</x:v>
      </x:c>
      <x:c r="K226" s="4" t="inlineStr">
        <x:is>
          <x:t xml:space="preserve">PayPal</x:t>
        </x:is>
      </x:c>
      <x:c r="L226" s="19" t="n">
        <x:v>142.38</x:v>
      </x:c>
      <x:c r="M226" s="19" t="n">
        <x:v>0</x:v>
      </x:c>
      <x:c r="N226" s="19" t="n">
        <x:v>142.38</x:v>
      </x:c>
      <x:c r="O226" s="4" t="n">
        <x:f>YEAR(C226)</x:f>
        <x:v>2025</x:v>
      </x:c>
      <x:c r="P226" s="4" t="str">
        <x:f>TEXT(C226,"yyyy-mm")</x:f>
        <x:v>2025-06</x:v>
      </x:c>
      <x:c r="Q226" s="4" t="str">
        <x:f>TEXT(C226,"mmmm")</x:f>
        <x:v>June</x:v>
      </x:c>
    </x:row>
    <x:row r="227" ht="20" customHeight="1">
      <x:c r="A227" s="4" t="inlineStr">
        <x:is>
          <x:t xml:space="preserve">LINE-00227</x:t>
        </x:is>
      </x:c>
      <x:c r="B227" s="4" t="inlineStr">
        <x:is>
          <x:t xml:space="preserve">ORD-2025-0150</x:t>
        </x:is>
      </x:c>
      <x:c r="C227" s="17" t="n">
        <x:v>45892</x:v>
      </x:c>
      <x:c r="D227" s="4" t="inlineStr">
        <x:is>
          <x:t xml:space="preserve">CUS-0019</x:t>
        </x:is>
      </x:c>
      <x:c r="E227" s="4" t="inlineStr">
        <x:is>
          <x:t xml:space="preserve">Wireless Mouse</x:t>
        </x:is>
      </x:c>
      <x:c r="F227" s="4" t="inlineStr">
        <x:is>
          <x:t xml:space="preserve">Accessories</x:t>
        </x:is>
      </x:c>
      <x:c r="G227" s="4" t="inlineStr">
        <x:is>
          <x:t xml:space="preserve">Austin</x:t>
        </x:is>
      </x:c>
      <x:c r="H227" s="18" t="n">
        <x:v>4</x:v>
      </x:c>
      <x:c r="I227" s="19" t="n">
        <x:v>43.67</x:v>
      </x:c>
      <x:c r="J227" s="20" t="n">
        <x:v>0</x:v>
      </x:c>
      <x:c r="K227" s="4" t="inlineStr">
        <x:is>
          <x:t xml:space="preserve">Debit Card</x:t>
        </x:is>
      </x:c>
      <x:c r="L227" s="19" t="n">
        <x:v>174.68</x:v>
      </x:c>
      <x:c r="M227" s="19" t="n">
        <x:v>0</x:v>
      </x:c>
      <x:c r="N227" s="19" t="n">
        <x:v>174.68</x:v>
      </x:c>
      <x:c r="O227" s="4" t="n">
        <x:f>YEAR(C227)</x:f>
        <x:v>2025</x:v>
      </x:c>
      <x:c r="P227" s="4" t="str">
        <x:f>TEXT(C227,"yyyy-mm")</x:f>
        <x:v>2025-08</x:v>
      </x:c>
      <x:c r="Q227" s="4" t="str">
        <x:f>TEXT(C227,"mmmm")</x:f>
        <x:v>August</x:v>
      </x:c>
    </x:row>
    <x:row r="228" ht="20" customHeight="1">
      <x:c r="A228" s="4" t="inlineStr">
        <x:is>
          <x:t xml:space="preserve">LINE-00228</x:t>
        </x:is>
      </x:c>
      <x:c r="B228" s="4" t="inlineStr">
        <x:is>
          <x:t xml:space="preserve">ORD-2025-0151</x:t>
        </x:is>
      </x:c>
      <x:c r="C228" s="17" t="n">
        <x:v>45861</x:v>
      </x:c>
      <x:c r="D228" s="4" t="inlineStr">
        <x:is>
          <x:t xml:space="preserve">CUS-0279</x:t>
        </x:is>
      </x:c>
      <x:c r="E228" s="4" t="inlineStr">
        <x:is>
          <x:t xml:space="preserve">Office Chair</x:t>
        </x:is>
      </x:c>
      <x:c r="F228" s="4" t="inlineStr">
        <x:is>
          <x:t xml:space="preserve">Furniture</x:t>
        </x:is>
      </x:c>
      <x:c r="G228" s="4" t="inlineStr">
        <x:is>
          <x:t xml:space="preserve">Seattle</x:t>
        </x:is>
      </x:c>
      <x:c r="H228" s="18" t="n">
        <x:v>1</x:v>
      </x:c>
      <x:c r="I228" s="19" t="n">
        <x:v>234.51</x:v>
      </x:c>
      <x:c r="J228" s="20" t="n">
        <x:v>0.1</x:v>
      </x:c>
      <x:c r="K228" s="4" t="inlineStr">
        <x:is>
          <x:t xml:space="preserve">PayPal</x:t>
        </x:is>
      </x:c>
      <x:c r="L228" s="19" t="n">
        <x:v>234.51</x:v>
      </x:c>
      <x:c r="M228" s="19" t="n">
        <x:v>23.45</x:v>
      </x:c>
      <x:c r="N228" s="19" t="n">
        <x:v>211.06</x:v>
      </x:c>
      <x:c r="O228" s="4" t="n">
        <x:f>YEAR(C228)</x:f>
        <x:v>2025</x:v>
      </x:c>
      <x:c r="P228" s="4" t="str">
        <x:f>TEXT(C228,"yyyy-mm")</x:f>
        <x:v>2025-07</x:v>
      </x:c>
      <x:c r="Q228" s="4" t="str">
        <x:f>TEXT(C228,"mmmm")</x:f>
        <x:v>July</x:v>
      </x:c>
    </x:row>
    <x:row r="229" ht="20" customHeight="1">
      <x:c r="A229" s="4" t="inlineStr">
        <x:is>
          <x:t xml:space="preserve">LINE-00229</x:t>
        </x:is>
      </x:c>
      <x:c r="B229" s="4" t="inlineStr">
        <x:is>
          <x:t xml:space="preserve">ORD-2025-0152</x:t>
        </x:is>
      </x:c>
      <x:c r="C229" s="17" t="n">
        <x:v>45993</x:v>
      </x:c>
      <x:c r="D229" s="4" t="inlineStr">
        <x:is>
          <x:t xml:space="preserve">CUS-0170</x:t>
        </x:is>
      </x:c>
      <x:c r="E229" s="4" t="inlineStr">
        <x:is>
          <x:t xml:space="preserve">Headphones</x:t>
        </x:is>
      </x:c>
      <x:c r="F229" s="4" t="inlineStr">
        <x:is>
          <x:t xml:space="preserve">Audio</x:t>
        </x:is>
      </x:c>
      <x:c r="G229" s="4" t="inlineStr">
        <x:is>
          <x:t xml:space="preserve">Austin</x:t>
        </x:is>
      </x:c>
      <x:c r="H229" s="18" t="n">
        <x:v>3</x:v>
      </x:c>
      <x:c r="I229" s="19" t="n">
        <x:v>138.21</x:v>
      </x:c>
      <x:c r="J229" s="20" t="n">
        <x:v>0</x:v>
      </x:c>
      <x:c r="K229" s="4" t="inlineStr">
        <x:is>
          <x:t xml:space="preserve">Credit Card</x:t>
        </x:is>
      </x:c>
      <x:c r="L229" s="19" t="n">
        <x:v>414.63</x:v>
      </x:c>
      <x:c r="M229" s="19" t="n">
        <x:v>0</x:v>
      </x:c>
      <x:c r="N229" s="19" t="n">
        <x:v>414.63</x:v>
      </x:c>
      <x:c r="O229" s="4" t="n">
        <x:f>YEAR(C229)</x:f>
        <x:v>2025</x:v>
      </x:c>
      <x:c r="P229" s="4" t="str">
        <x:f>TEXT(C229,"yyyy-mm")</x:f>
        <x:v>2025-12</x:v>
      </x:c>
      <x:c r="Q229" s="4" t="str">
        <x:f>TEXT(C229,"mmmm")</x:f>
        <x:v>December</x:v>
      </x:c>
    </x:row>
    <x:row r="230" ht="20" customHeight="1">
      <x:c r="A230" s="4" t="inlineStr">
        <x:is>
          <x:t xml:space="preserve">LINE-00230</x:t>
        </x:is>
      </x:c>
      <x:c r="B230" s="4" t="inlineStr">
        <x:is>
          <x:t xml:space="preserve">ORD-2025-0152</x:t>
        </x:is>
      </x:c>
      <x:c r="C230" s="17" t="n">
        <x:v>45993</x:v>
      </x:c>
      <x:c r="D230" s="4" t="inlineStr">
        <x:is>
          <x:t xml:space="preserve">CUS-0170</x:t>
        </x:is>
      </x:c>
      <x:c r="E230" s="4" t="inlineStr">
        <x:is>
          <x:t xml:space="preserve">Desk Lamp</x:t>
        </x:is>
      </x:c>
      <x:c r="F230" s="4" t="inlineStr">
        <x:is>
          <x:t xml:space="preserve">Furniture</x:t>
        </x:is>
      </x:c>
      <x:c r="G230" s="4" t="inlineStr">
        <x:is>
          <x:t xml:space="preserve">Austin</x:t>
        </x:is>
      </x:c>
      <x:c r="H230" s="18" t="n">
        <x:v>5</x:v>
      </x:c>
      <x:c r="I230" s="19" t="n">
        <x:v>54.97</x:v>
      </x:c>
      <x:c r="J230" s="20" t="n">
        <x:v>0.05</x:v>
      </x:c>
      <x:c r="K230" s="4" t="inlineStr">
        <x:is>
          <x:t xml:space="preserve">Credit Card</x:t>
        </x:is>
      </x:c>
      <x:c r="L230" s="19" t="n">
        <x:v>274.85</x:v>
      </x:c>
      <x:c r="M230" s="19" t="n">
        <x:v>13.74</x:v>
      </x:c>
      <x:c r="N230" s="19" t="n">
        <x:v>261.11</x:v>
      </x:c>
      <x:c r="O230" s="4" t="n">
        <x:f>YEAR(C230)</x:f>
        <x:v>2025</x:v>
      </x:c>
      <x:c r="P230" s="4" t="str">
        <x:f>TEXT(C230,"yyyy-mm")</x:f>
        <x:v>2025-12</x:v>
      </x:c>
      <x:c r="Q230" s="4" t="str">
        <x:f>TEXT(C230,"mmmm")</x:f>
        <x:v>December</x:v>
      </x:c>
    </x:row>
    <x:row r="231" ht="20" customHeight="1">
      <x:c r="A231" s="4" t="inlineStr">
        <x:is>
          <x:t xml:space="preserve">LINE-00231</x:t>
        </x:is>
      </x:c>
      <x:c r="B231" s="4" t="inlineStr">
        <x:is>
          <x:t xml:space="preserve">ORD-2025-0153</x:t>
        </x:is>
      </x:c>
      <x:c r="C231" s="17" t="n">
        <x:v>45923</x:v>
      </x:c>
      <x:c r="D231" s="4" t="inlineStr">
        <x:is>
          <x:t xml:space="preserve">CUS-0137</x:t>
        </x:is>
      </x:c>
      <x:c r="E231" s="4" t="inlineStr">
        <x:is>
          <x:t xml:space="preserve">USB Flash Drive</x:t>
        </x:is>
      </x:c>
      <x:c r="F231" s="4" t="inlineStr">
        <x:is>
          <x:t xml:space="preserve">Storage</x:t>
        </x:is>
      </x:c>
      <x:c r="G231" s="4" t="inlineStr">
        <x:is>
          <x:t xml:space="preserve">New York</x:t>
        </x:is>
      </x:c>
      <x:c r="H231" s="18" t="n">
        <x:v>5</x:v>
      </x:c>
      <x:c r="I231" s="19" t="n">
        <x:v>28.47</x:v>
      </x:c>
      <x:c r="J231" s="20" t="n">
        <x:v>0</x:v>
      </x:c>
      <x:c r="K231" s="4" t="inlineStr">
        <x:is>
          <x:t xml:space="preserve">Bank Transfer</x:t>
        </x:is>
      </x:c>
      <x:c r="L231" s="19" t="n">
        <x:v>142.35</x:v>
      </x:c>
      <x:c r="M231" s="19" t="n">
        <x:v>0</x:v>
      </x:c>
      <x:c r="N231" s="19" t="n">
        <x:v>142.35</x:v>
      </x:c>
      <x:c r="O231" s="4" t="n">
        <x:f>YEAR(C231)</x:f>
        <x:v>2025</x:v>
      </x:c>
      <x:c r="P231" s="4" t="str">
        <x:f>TEXT(C231,"yyyy-mm")</x:f>
        <x:v>2025-09</x:v>
      </x:c>
      <x:c r="Q231" s="4" t="str">
        <x:f>TEXT(C231,"mmmm")</x:f>
        <x:v>September</x:v>
      </x:c>
    </x:row>
    <x:row r="232" ht="20" customHeight="1">
      <x:c r="A232" s="4" t="inlineStr">
        <x:is>
          <x:t xml:space="preserve">LINE-00232</x:t>
        </x:is>
      </x:c>
      <x:c r="B232" s="4" t="inlineStr">
        <x:is>
          <x:t xml:space="preserve">ORD-2025-0154</x:t>
        </x:is>
      </x:c>
      <x:c r="C232" s="17" t="n">
        <x:v>45710</x:v>
      </x:c>
      <x:c r="D232" s="4" t="inlineStr">
        <x:is>
          <x:t xml:space="preserve">CUS-0041</x:t>
        </x:is>
      </x:c>
      <x:c r="E232" s="4" t="inlineStr">
        <x:is>
          <x:t xml:space="preserve">USB Flash Drive</x:t>
        </x:is>
      </x:c>
      <x:c r="F232" s="4" t="inlineStr">
        <x:is>
          <x:t xml:space="preserve">Storage</x:t>
        </x:is>
      </x:c>
      <x:c r="G232" s="4" t="inlineStr">
        <x:is>
          <x:t xml:space="preserve">Austin</x:t>
        </x:is>
      </x:c>
      <x:c r="H232" s="18" t="n">
        <x:v>3</x:v>
      </x:c>
      <x:c r="I232" s="19" t="n">
        <x:v>28.4</x:v>
      </x:c>
      <x:c r="J232" s="20" t="n">
        <x:v>0</x:v>
      </x:c>
      <x:c r="K232" s="4" t="inlineStr">
        <x:is>
          <x:t xml:space="preserve">PayPal</x:t>
        </x:is>
      </x:c>
      <x:c r="L232" s="19" t="n">
        <x:v>85.2</x:v>
      </x:c>
      <x:c r="M232" s="19" t="n">
        <x:v>0</x:v>
      </x:c>
      <x:c r="N232" s="19" t="n">
        <x:v>85.2</x:v>
      </x:c>
      <x:c r="O232" s="4" t="n">
        <x:f>YEAR(C232)</x:f>
        <x:v>2025</x:v>
      </x:c>
      <x:c r="P232" s="4" t="str">
        <x:f>TEXT(C232,"yyyy-mm")</x:f>
        <x:v>2025-02</x:v>
      </x:c>
      <x:c r="Q232" s="4" t="str">
        <x:f>TEXT(C232,"mmmm")</x:f>
        <x:v>February</x:v>
      </x:c>
    </x:row>
    <x:row r="233" ht="20" customHeight="1">
      <x:c r="A233" s="4" t="inlineStr">
        <x:is>
          <x:t xml:space="preserve">LINE-00233</x:t>
        </x:is>
      </x:c>
      <x:c r="B233" s="4" t="inlineStr">
        <x:is>
          <x:t xml:space="preserve">ORD-2025-0155</x:t>
        </x:is>
      </x:c>
      <x:c r="C233" s="17" t="n">
        <x:v>45886</x:v>
      </x:c>
      <x:c r="D233" s="4" t="inlineStr">
        <x:is>
          <x:t xml:space="preserve">CUS-0022</x:t>
        </x:is>
      </x:c>
      <x:c r="E233" s="4" t="inlineStr">
        <x:is>
          <x:t xml:space="preserve">Headphones</x:t>
        </x:is>
      </x:c>
      <x:c r="F233" s="4" t="inlineStr">
        <x:is>
          <x:t xml:space="preserve">Audio</x:t>
        </x:is>
      </x:c>
      <x:c r="G233" s="4" t="inlineStr">
        <x:is>
          <x:t xml:space="preserve">San Francisco</x:t>
        </x:is>
      </x:c>
      <x:c r="H233" s="18" t="n">
        <x:v>2</x:v>
      </x:c>
      <x:c r="I233" s="19" t="n">
        <x:v>136.06</x:v>
      </x:c>
      <x:c r="J233" s="20" t="n">
        <x:v>0</x:v>
      </x:c>
      <x:c r="K233" s="4" t="inlineStr">
        <x:is>
          <x:t xml:space="preserve">PayPal</x:t>
        </x:is>
      </x:c>
      <x:c r="L233" s="19" t="n">
        <x:v>272.12</x:v>
      </x:c>
      <x:c r="M233" s="19" t="n">
        <x:v>0</x:v>
      </x:c>
      <x:c r="N233" s="19" t="n">
        <x:v>272.12</x:v>
      </x:c>
      <x:c r="O233" s="4" t="n">
        <x:f>YEAR(C233)</x:f>
        <x:v>2025</x:v>
      </x:c>
      <x:c r="P233" s="4" t="str">
        <x:f>TEXT(C233,"yyyy-mm")</x:f>
        <x:v>2025-08</x:v>
      </x:c>
      <x:c r="Q233" s="4" t="str">
        <x:f>TEXT(C233,"mmmm")</x:f>
        <x:v>August</x:v>
      </x:c>
    </x:row>
    <x:row r="234" ht="20" customHeight="1">
      <x:c r="A234" s="4" t="inlineStr">
        <x:is>
          <x:t xml:space="preserve">LINE-00234</x:t>
        </x:is>
      </x:c>
      <x:c r="B234" s="4" t="inlineStr">
        <x:is>
          <x:t xml:space="preserve">ORD-2025-0155</x:t>
        </x:is>
      </x:c>
      <x:c r="C234" s="17" t="n">
        <x:v>45886</x:v>
      </x:c>
      <x:c r="D234" s="4" t="inlineStr">
        <x:is>
          <x:t xml:space="preserve">CUS-0022</x:t>
        </x:is>
      </x:c>
      <x:c r="E234" s="4" t="inlineStr">
        <x:is>
          <x:t xml:space="preserve">USB-C Hub</x:t>
        </x:is>
      </x:c>
      <x:c r="F234" s="4" t="inlineStr">
        <x:is>
          <x:t xml:space="preserve">Accessories</x:t>
        </x:is>
      </x:c>
      <x:c r="G234" s="4" t="inlineStr">
        <x:is>
          <x:t xml:space="preserve">San Francisco</x:t>
        </x:is>
      </x:c>
      <x:c r="H234" s="18" t="n">
        <x:v>2</x:v>
      </x:c>
      <x:c r="I234" s="19" t="n">
        <x:v>64.02</x:v>
      </x:c>
      <x:c r="J234" s="20" t="n">
        <x:v>0.05</x:v>
      </x:c>
      <x:c r="K234" s="4" t="inlineStr">
        <x:is>
          <x:t xml:space="preserve">PayPal</x:t>
        </x:is>
      </x:c>
      <x:c r="L234" s="19" t="n">
        <x:v>128.04</x:v>
      </x:c>
      <x:c r="M234" s="19" t="n">
        <x:v>6.4</x:v>
      </x:c>
      <x:c r="N234" s="19" t="n">
        <x:v>121.64</x:v>
      </x:c>
      <x:c r="O234" s="4" t="n">
        <x:f>YEAR(C234)</x:f>
        <x:v>2025</x:v>
      </x:c>
      <x:c r="P234" s="4" t="str">
        <x:f>TEXT(C234,"yyyy-mm")</x:f>
        <x:v>2025-08</x:v>
      </x:c>
      <x:c r="Q234" s="4" t="str">
        <x:f>TEXT(C234,"mmmm")</x:f>
        <x:v>August</x:v>
      </x:c>
    </x:row>
    <x:row r="235" ht="20" customHeight="1">
      <x:c r="A235" s="4" t="inlineStr">
        <x:is>
          <x:t xml:space="preserve">LINE-00235</x:t>
        </x:is>
      </x:c>
      <x:c r="B235" s="4" t="inlineStr">
        <x:is>
          <x:t xml:space="preserve">ORD-2025-0156</x:t>
        </x:is>
      </x:c>
      <x:c r="C235" s="17" t="n">
        <x:v>46005</x:v>
      </x:c>
      <x:c r="D235" s="4" t="inlineStr">
        <x:is>
          <x:t xml:space="preserve">CUS-0082</x:t>
        </x:is>
      </x:c>
      <x:c r="E235" s="4" t="inlineStr">
        <x:is>
          <x:t xml:space="preserve">Office Chair</x:t>
        </x:is>
      </x:c>
      <x:c r="F235" s="4" t="inlineStr">
        <x:is>
          <x:t xml:space="preserve">Furniture</x:t>
        </x:is>
      </x:c>
      <x:c r="G235" s="4" t="inlineStr">
        <x:is>
          <x:t xml:space="preserve">New York</x:t>
        </x:is>
      </x:c>
      <x:c r="H235" s="18" t="n">
        <x:v>1</x:v>
      </x:c>
      <x:c r="I235" s="19" t="n">
        <x:v>223.38</x:v>
      </x:c>
      <x:c r="J235" s="20" t="n">
        <x:v>0.1</x:v>
      </x:c>
      <x:c r="K235" s="4" t="inlineStr">
        <x:is>
          <x:t xml:space="preserve">Debit Card</x:t>
        </x:is>
      </x:c>
      <x:c r="L235" s="19" t="n">
        <x:v>223.38</x:v>
      </x:c>
      <x:c r="M235" s="19" t="n">
        <x:v>22.34</x:v>
      </x:c>
      <x:c r="N235" s="19" t="n">
        <x:v>201.04</x:v>
      </x:c>
      <x:c r="O235" s="4" t="n">
        <x:f>YEAR(C235)</x:f>
        <x:v>2025</x:v>
      </x:c>
      <x:c r="P235" s="4" t="str">
        <x:f>TEXT(C235,"yyyy-mm")</x:f>
        <x:v>2025-12</x:v>
      </x:c>
      <x:c r="Q235" s="4" t="str">
        <x:f>TEXT(C235,"mmmm")</x:f>
        <x:v>December</x:v>
      </x:c>
    </x:row>
    <x:row r="236" ht="20" customHeight="1">
      <x:c r="A236" s="4" t="inlineStr">
        <x:is>
          <x:t xml:space="preserve">LINE-00236</x:t>
        </x:is>
      </x:c>
      <x:c r="B236" s="4" t="inlineStr">
        <x:is>
          <x:t xml:space="preserve">ORD-2025-0156</x:t>
        </x:is>
      </x:c>
      <x:c r="C236" s="17" t="n">
        <x:v>46005</x:v>
      </x:c>
      <x:c r="D236" s="4" t="inlineStr">
        <x:is>
          <x:t xml:space="preserve">CUS-0082</x:t>
        </x:is>
      </x:c>
      <x:c r="E236" s="4" t="inlineStr">
        <x:is>
          <x:t xml:space="preserve">Bluetooth Speaker</x:t>
        </x:is>
      </x:c>
      <x:c r="F236" s="4" t="inlineStr">
        <x:is>
          <x:t xml:space="preserve">Audio</x:t>
        </x:is>
      </x:c>
      <x:c r="G236" s="4" t="inlineStr">
        <x:is>
          <x:t xml:space="preserve">New York</x:t>
        </x:is>
      </x:c>
      <x:c r="H236" s="18" t="n">
        <x:v>1</x:v>
      </x:c>
      <x:c r="I236" s="19" t="n">
        <x:v>107.94</x:v>
      </x:c>
      <x:c r="J236" s="20" t="n">
        <x:v>0.05</x:v>
      </x:c>
      <x:c r="K236" s="4" t="inlineStr">
        <x:is>
          <x:t xml:space="preserve">Debit Card</x:t>
        </x:is>
      </x:c>
      <x:c r="L236" s="19" t="n">
        <x:v>107.94</x:v>
      </x:c>
      <x:c r="M236" s="19" t="n">
        <x:v>5.4</x:v>
      </x:c>
      <x:c r="N236" s="19" t="n">
        <x:v>102.54</x:v>
      </x:c>
      <x:c r="O236" s="4" t="n">
        <x:f>YEAR(C236)</x:f>
        <x:v>2025</x:v>
      </x:c>
      <x:c r="P236" s="4" t="str">
        <x:f>TEXT(C236,"yyyy-mm")</x:f>
        <x:v>2025-12</x:v>
      </x:c>
      <x:c r="Q236" s="4" t="str">
        <x:f>TEXT(C236,"mmmm")</x:f>
        <x:v>December</x:v>
      </x:c>
    </x:row>
    <x:row r="237" ht="20" customHeight="1">
      <x:c r="A237" s="4" t="inlineStr">
        <x:is>
          <x:t xml:space="preserve">LINE-00237</x:t>
        </x:is>
      </x:c>
      <x:c r="B237" s="4" t="inlineStr">
        <x:is>
          <x:t xml:space="preserve">ORD-2025-0157</x:t>
        </x:is>
      </x:c>
      <x:c r="C237" s="17" t="n">
        <x:v>45967</x:v>
      </x:c>
      <x:c r="D237" s="4" t="inlineStr">
        <x:is>
          <x:t xml:space="preserve">CUS-0079</x:t>
        </x:is>
      </x:c>
      <x:c r="E237" s="4" t="inlineStr">
        <x:is>
          <x:t xml:space="preserve">Webcam</x:t>
        </x:is>
      </x:c>
      <x:c r="F237" s="4" t="inlineStr">
        <x:is>
          <x:t xml:space="preserve">Accessories</x:t>
        </x:is>
      </x:c>
      <x:c r="G237" s="4" t="inlineStr">
        <x:is>
          <x:t xml:space="preserve">San Francisco</x:t>
        </x:is>
      </x:c>
      <x:c r="H237" s="18" t="n">
        <x:v>2</x:v>
      </x:c>
      <x:c r="I237" s="19" t="n">
        <x:v>90.42</x:v>
      </x:c>
      <x:c r="J237" s="20" t="n">
        <x:v>0</x:v>
      </x:c>
      <x:c r="K237" s="4" t="inlineStr">
        <x:is>
          <x:t xml:space="preserve">Bank Transfer</x:t>
        </x:is>
      </x:c>
      <x:c r="L237" s="19" t="n">
        <x:v>180.84</x:v>
      </x:c>
      <x:c r="M237" s="19" t="n">
        <x:v>0</x:v>
      </x:c>
      <x:c r="N237" s="19" t="n">
        <x:v>180.84</x:v>
      </x:c>
      <x:c r="O237" s="4" t="n">
        <x:f>YEAR(C237)</x:f>
        <x:v>2025</x:v>
      </x:c>
      <x:c r="P237" s="4" t="str">
        <x:f>TEXT(C237,"yyyy-mm")</x:f>
        <x:v>2025-11</x:v>
      </x:c>
      <x:c r="Q237" s="4" t="str">
        <x:f>TEXT(C237,"mmmm")</x:f>
        <x:v>November</x:v>
      </x:c>
    </x:row>
    <x:row r="238" ht="20" customHeight="1">
      <x:c r="A238" s="4" t="inlineStr">
        <x:is>
          <x:t xml:space="preserve">LINE-00238</x:t>
        </x:is>
      </x:c>
      <x:c r="B238" s="4" t="inlineStr">
        <x:is>
          <x:t xml:space="preserve">ORD-2025-0157</x:t>
        </x:is>
      </x:c>
      <x:c r="C238" s="17" t="n">
        <x:v>45967</x:v>
      </x:c>
      <x:c r="D238" s="4" t="inlineStr">
        <x:is>
          <x:t xml:space="preserve">CUS-0079</x:t>
        </x:is>
      </x:c>
      <x:c r="E238" s="4" t="inlineStr">
        <x:is>
          <x:t xml:space="preserve">Bluetooth Speaker</x:t>
        </x:is>
      </x:c>
      <x:c r="F238" s="4" t="inlineStr">
        <x:is>
          <x:t xml:space="preserve">Audio</x:t>
        </x:is>
      </x:c>
      <x:c r="G238" s="4" t="inlineStr">
        <x:is>
          <x:t xml:space="preserve">San Francisco</x:t>
        </x:is>
      </x:c>
      <x:c r="H238" s="18" t="n">
        <x:v>2</x:v>
      </x:c>
      <x:c r="I238" s="19" t="n">
        <x:v>105.59</x:v>
      </x:c>
      <x:c r="J238" s="20" t="n">
        <x:v>0</x:v>
      </x:c>
      <x:c r="K238" s="4" t="inlineStr">
        <x:is>
          <x:t xml:space="preserve">Bank Transfer</x:t>
        </x:is>
      </x:c>
      <x:c r="L238" s="19" t="n">
        <x:v>211.18</x:v>
      </x:c>
      <x:c r="M238" s="19" t="n">
        <x:v>0</x:v>
      </x:c>
      <x:c r="N238" s="19" t="n">
        <x:v>211.18</x:v>
      </x:c>
      <x:c r="O238" s="4" t="n">
        <x:f>YEAR(C238)</x:f>
        <x:v>2025</x:v>
      </x:c>
      <x:c r="P238" s="4" t="str">
        <x:f>TEXT(C238,"yyyy-mm")</x:f>
        <x:v>2025-11</x:v>
      </x:c>
      <x:c r="Q238" s="4" t="str">
        <x:f>TEXT(C238,"mmmm")</x:f>
        <x:v>November</x:v>
      </x:c>
    </x:row>
    <x:row r="239" ht="20" customHeight="1">
      <x:c r="A239" s="4" t="inlineStr">
        <x:is>
          <x:t xml:space="preserve">LINE-00239</x:t>
        </x:is>
      </x:c>
      <x:c r="B239" s="4" t="inlineStr">
        <x:is>
          <x:t xml:space="preserve">ORD-2025-0157</x:t>
        </x:is>
      </x:c>
      <x:c r="C239" s="17" t="n">
        <x:v>45967</x:v>
      </x:c>
      <x:c r="D239" s="4" t="inlineStr">
        <x:is>
          <x:t xml:space="preserve">CUS-0079</x:t>
        </x:is>
      </x:c>
      <x:c r="E239" s="4" t="inlineStr">
        <x:is>
          <x:t xml:space="preserve">Monitor</x:t>
        </x:is>
      </x:c>
      <x:c r="F239" s="4" t="inlineStr">
        <x:is>
          <x:t xml:space="preserve">Computers</x:t>
        </x:is>
      </x:c>
      <x:c r="G239" s="4" t="inlineStr">
        <x:is>
          <x:t xml:space="preserve">San Francisco</x:t>
        </x:is>
      </x:c>
      <x:c r="H239" s="18" t="n">
        <x:v>3</x:v>
      </x:c>
      <x:c r="I239" s="19" t="n">
        <x:v>279.96</x:v>
      </x:c>
      <x:c r="J239" s="20" t="n">
        <x:v>0</x:v>
      </x:c>
      <x:c r="K239" s="4" t="inlineStr">
        <x:is>
          <x:t xml:space="preserve">Bank Transfer</x:t>
        </x:is>
      </x:c>
      <x:c r="L239" s="19" t="n">
        <x:v>839.88</x:v>
      </x:c>
      <x:c r="M239" s="19" t="n">
        <x:v>0</x:v>
      </x:c>
      <x:c r="N239" s="19" t="n">
        <x:v>839.88</x:v>
      </x:c>
      <x:c r="O239" s="4" t="n">
        <x:f>YEAR(C239)</x:f>
        <x:v>2025</x:v>
      </x:c>
      <x:c r="P239" s="4" t="str">
        <x:f>TEXT(C239,"yyyy-mm")</x:f>
        <x:v>2025-11</x:v>
      </x:c>
      <x:c r="Q239" s="4" t="str">
        <x:f>TEXT(C239,"mmmm")</x:f>
        <x:v>November</x:v>
      </x:c>
    </x:row>
    <x:row r="240" ht="20" customHeight="1">
      <x:c r="A240" s="4" t="inlineStr">
        <x:is>
          <x:t xml:space="preserve">LINE-00240</x:t>
        </x:is>
      </x:c>
      <x:c r="B240" s="4" t="inlineStr">
        <x:is>
          <x:t xml:space="preserve">ORD-2025-0158</x:t>
        </x:is>
      </x:c>
      <x:c r="C240" s="17" t="n">
        <x:v>45945</x:v>
      </x:c>
      <x:c r="D240" s="4" t="inlineStr">
        <x:is>
          <x:t xml:space="preserve">CUS-0061</x:t>
        </x:is>
      </x:c>
      <x:c r="E240" s="4" t="inlineStr">
        <x:is>
          <x:t xml:space="preserve">Wireless Mouse</x:t>
        </x:is>
      </x:c>
      <x:c r="F240" s="4" t="inlineStr">
        <x:is>
          <x:t xml:space="preserve">Accessories</x:t>
        </x:is>
      </x:c>
      <x:c r="G240" s="4" t="inlineStr">
        <x:is>
          <x:t xml:space="preserve">Austin</x:t>
        </x:is>
      </x:c>
      <x:c r="H240" s="18" t="n">
        <x:v>1</x:v>
      </x:c>
      <x:c r="I240" s="19" t="n">
        <x:v>48</x:v>
      </x:c>
      <x:c r="J240" s="20" t="n">
        <x:v>0.05</x:v>
      </x:c>
      <x:c r="K240" s="4" t="inlineStr">
        <x:is>
          <x:t xml:space="preserve">PayPal</x:t>
        </x:is>
      </x:c>
      <x:c r="L240" s="19" t="n">
        <x:v>48</x:v>
      </x:c>
      <x:c r="M240" s="19" t="n">
        <x:v>2.4</x:v>
      </x:c>
      <x:c r="N240" s="19" t="n">
        <x:v>45.6</x:v>
      </x:c>
      <x:c r="O240" s="4" t="n">
        <x:f>YEAR(C240)</x:f>
        <x:v>2025</x:v>
      </x:c>
      <x:c r="P240" s="4" t="str">
        <x:f>TEXT(C240,"yyyy-mm")</x:f>
        <x:v>2025-10</x:v>
      </x:c>
      <x:c r="Q240" s="4" t="str">
        <x:f>TEXT(C240,"mmmm")</x:f>
        <x:v>October</x:v>
      </x:c>
    </x:row>
    <x:row r="241" ht="20" customHeight="1">
      <x:c r="A241" s="4" t="inlineStr">
        <x:is>
          <x:t xml:space="preserve">LINE-00241</x:t>
        </x:is>
      </x:c>
      <x:c r="B241" s="4" t="inlineStr">
        <x:is>
          <x:t xml:space="preserve">ORD-2025-0158</x:t>
        </x:is>
      </x:c>
      <x:c r="C241" s="17" t="n">
        <x:v>45945</x:v>
      </x:c>
      <x:c r="D241" s="4" t="inlineStr">
        <x:is>
          <x:t xml:space="preserve">CUS-0061</x:t>
        </x:is>
      </x:c>
      <x:c r="E241" s="4" t="inlineStr">
        <x:is>
          <x:t xml:space="preserve">USB Flash Drive</x:t>
        </x:is>
      </x:c>
      <x:c r="F241" s="4" t="inlineStr">
        <x:is>
          <x:t xml:space="preserve">Storage</x:t>
        </x:is>
      </x:c>
      <x:c r="G241" s="4" t="inlineStr">
        <x:is>
          <x:t xml:space="preserve">Austin</x:t>
        </x:is>
      </x:c>
      <x:c r="H241" s="18" t="n">
        <x:v>1</x:v>
      </x:c>
      <x:c r="I241" s="19" t="n">
        <x:v>31.69</x:v>
      </x:c>
      <x:c r="J241" s="20" t="n">
        <x:v>0.05</x:v>
      </x:c>
      <x:c r="K241" s="4" t="inlineStr">
        <x:is>
          <x:t xml:space="preserve">PayPal</x:t>
        </x:is>
      </x:c>
      <x:c r="L241" s="19" t="n">
        <x:v>31.69</x:v>
      </x:c>
      <x:c r="M241" s="19" t="n">
        <x:v>1.58</x:v>
      </x:c>
      <x:c r="N241" s="19" t="n">
        <x:v>30.11</x:v>
      </x:c>
      <x:c r="O241" s="4" t="n">
        <x:f>YEAR(C241)</x:f>
        <x:v>2025</x:v>
      </x:c>
      <x:c r="P241" s="4" t="str">
        <x:f>TEXT(C241,"yyyy-mm")</x:f>
        <x:v>2025-10</x:v>
      </x:c>
      <x:c r="Q241" s="4" t="str">
        <x:f>TEXT(C241,"mmmm")</x:f>
        <x:v>October</x:v>
      </x:c>
    </x:row>
    <x:row r="242" ht="20" customHeight="1">
      <x:c r="A242" s="4" t="inlineStr">
        <x:is>
          <x:t xml:space="preserve">LINE-00242</x:t>
        </x:is>
      </x:c>
      <x:c r="B242" s="4" t="inlineStr">
        <x:is>
          <x:t xml:space="preserve">ORD-2025-0159</x:t>
        </x:is>
      </x:c>
      <x:c r="C242" s="17" t="n">
        <x:v>45885</x:v>
      </x:c>
      <x:c r="D242" s="4" t="inlineStr">
        <x:is>
          <x:t xml:space="preserve">CUS-0045</x:t>
        </x:is>
      </x:c>
      <x:c r="E242" s="4" t="inlineStr">
        <x:is>
          <x:t xml:space="preserve">Desk Lamp</x:t>
        </x:is>
      </x:c>
      <x:c r="F242" s="4" t="inlineStr">
        <x:is>
          <x:t xml:space="preserve">Furniture</x:t>
        </x:is>
      </x:c>
      <x:c r="G242" s="4" t="inlineStr">
        <x:is>
          <x:t xml:space="preserve">San Francisco</x:t>
        </x:is>
      </x:c>
      <x:c r="H242" s="18" t="n">
        <x:v>2</x:v>
      </x:c>
      <x:c r="I242" s="19" t="n">
        <x:v>53.16</x:v>
      </x:c>
      <x:c r="J242" s="20" t="n">
        <x:v>0</x:v>
      </x:c>
      <x:c r="K242" s="4" t="inlineStr">
        <x:is>
          <x:t xml:space="preserve">PayPal</x:t>
        </x:is>
      </x:c>
      <x:c r="L242" s="19" t="n">
        <x:v>106.32</x:v>
      </x:c>
      <x:c r="M242" s="19" t="n">
        <x:v>0</x:v>
      </x:c>
      <x:c r="N242" s="19" t="n">
        <x:v>106.32</x:v>
      </x:c>
      <x:c r="O242" s="4" t="n">
        <x:f>YEAR(C242)</x:f>
        <x:v>2025</x:v>
      </x:c>
      <x:c r="P242" s="4" t="str">
        <x:f>TEXT(C242,"yyyy-mm")</x:f>
        <x:v>2025-08</x:v>
      </x:c>
      <x:c r="Q242" s="4" t="str">
        <x:f>TEXT(C242,"mmmm")</x:f>
        <x:v>August</x:v>
      </x:c>
    </x:row>
    <x:row r="243" ht="20" customHeight="1">
      <x:c r="A243" s="4" t="inlineStr">
        <x:is>
          <x:t xml:space="preserve">LINE-00243</x:t>
        </x:is>
      </x:c>
      <x:c r="B243" s="4" t="inlineStr">
        <x:is>
          <x:t xml:space="preserve">ORD-2025-0159</x:t>
        </x:is>
      </x:c>
      <x:c r="C243" s="17" t="n">
        <x:v>45885</x:v>
      </x:c>
      <x:c r="D243" s="4" t="inlineStr">
        <x:is>
          <x:t xml:space="preserve">CUS-0045</x:t>
        </x:is>
      </x:c>
      <x:c r="E243" s="4" t="inlineStr">
        <x:is>
          <x:t xml:space="preserve">Monitor</x:t>
        </x:is>
      </x:c>
      <x:c r="F243" s="4" t="inlineStr">
        <x:is>
          <x:t xml:space="preserve">Computers</x:t>
        </x:is>
      </x:c>
      <x:c r="G243" s="4" t="inlineStr">
        <x:is>
          <x:t xml:space="preserve">San Francisco</x:t>
        </x:is>
      </x:c>
      <x:c r="H243" s="18" t="n">
        <x:v>1</x:v>
      </x:c>
      <x:c r="I243" s="19" t="n">
        <x:v>289.39</x:v>
      </x:c>
      <x:c r="J243" s="20" t="n">
        <x:v>0.1</x:v>
      </x:c>
      <x:c r="K243" s="4" t="inlineStr">
        <x:is>
          <x:t xml:space="preserve">PayPal</x:t>
        </x:is>
      </x:c>
      <x:c r="L243" s="19" t="n">
        <x:v>289.39</x:v>
      </x:c>
      <x:c r="M243" s="19" t="n">
        <x:v>28.94</x:v>
      </x:c>
      <x:c r="N243" s="19" t="n">
        <x:v>260.45</x:v>
      </x:c>
      <x:c r="O243" s="4" t="n">
        <x:f>YEAR(C243)</x:f>
        <x:v>2025</x:v>
      </x:c>
      <x:c r="P243" s="4" t="str">
        <x:f>TEXT(C243,"yyyy-mm")</x:f>
        <x:v>2025-08</x:v>
      </x:c>
      <x:c r="Q243" s="4" t="str">
        <x:f>TEXT(C243,"mmmm")</x:f>
        <x:v>August</x:v>
      </x:c>
    </x:row>
    <x:row r="244" ht="20" customHeight="1">
      <x:c r="A244" s="4" t="inlineStr">
        <x:is>
          <x:t xml:space="preserve">LINE-00244</x:t>
        </x:is>
      </x:c>
      <x:c r="B244" s="4" t="inlineStr">
        <x:is>
          <x:t xml:space="preserve">ORD-2025-0160</x:t>
        </x:is>
      </x:c>
      <x:c r="C244" s="17" t="n">
        <x:v>45747</x:v>
      </x:c>
      <x:c r="D244" s="4" t="inlineStr">
        <x:is>
          <x:t xml:space="preserve">CUS-0186</x:t>
        </x:is>
      </x:c>
      <x:c r="E244" s="4" t="inlineStr">
        <x:is>
          <x:t xml:space="preserve">Wireless Mouse</x:t>
        </x:is>
      </x:c>
      <x:c r="F244" s="4" t="inlineStr">
        <x:is>
          <x:t xml:space="preserve">Accessories</x:t>
        </x:is>
      </x:c>
      <x:c r="G244" s="4" t="inlineStr">
        <x:is>
          <x:t xml:space="preserve">Boston</x:t>
        </x:is>
      </x:c>
      <x:c r="H244" s="18" t="n">
        <x:v>3</x:v>
      </x:c>
      <x:c r="I244" s="19" t="n">
        <x:v>43.1</x:v>
      </x:c>
      <x:c r="J244" s="20" t="n">
        <x:v>0.05</x:v>
      </x:c>
      <x:c r="K244" s="4" t="inlineStr">
        <x:is>
          <x:t xml:space="preserve">Debit Card</x:t>
        </x:is>
      </x:c>
      <x:c r="L244" s="19" t="n">
        <x:v>129.3</x:v>
      </x:c>
      <x:c r="M244" s="19" t="n">
        <x:v>6.47</x:v>
      </x:c>
      <x:c r="N244" s="19" t="n">
        <x:v>122.83</x:v>
      </x:c>
      <x:c r="O244" s="4" t="n">
        <x:f>YEAR(C244)</x:f>
        <x:v>2025</x:v>
      </x:c>
      <x:c r="P244" s="4" t="str">
        <x:f>TEXT(C244,"yyyy-mm")</x:f>
        <x:v>2025-03</x:v>
      </x:c>
      <x:c r="Q244" s="4" t="str">
        <x:f>TEXT(C244,"mmmm")</x:f>
        <x:v>March</x:v>
      </x:c>
    </x:row>
    <x:row r="245" ht="20" customHeight="1">
      <x:c r="A245" s="4" t="inlineStr">
        <x:is>
          <x:t xml:space="preserve">LINE-00245</x:t>
        </x:is>
      </x:c>
      <x:c r="B245" s="4" t="inlineStr">
        <x:is>
          <x:t xml:space="preserve">ORD-2025-0161</x:t>
        </x:is>
      </x:c>
      <x:c r="C245" s="17" t="n">
        <x:v>45842</x:v>
      </x:c>
      <x:c r="D245" s="4" t="inlineStr">
        <x:is>
          <x:t xml:space="preserve">CUS-0284</x:t>
        </x:is>
      </x:c>
      <x:c r="E245" s="4" t="inlineStr">
        <x:is>
          <x:t xml:space="preserve">External SSD</x:t>
        </x:is>
      </x:c>
      <x:c r="F245" s="4" t="inlineStr">
        <x:is>
          <x:t xml:space="preserve">Storage</x:t>
        </x:is>
      </x:c>
      <x:c r="G245" s="4" t="inlineStr">
        <x:is>
          <x:t xml:space="preserve">Boston</x:t>
        </x:is>
      </x:c>
      <x:c r="H245" s="18" t="n">
        <x:v>1</x:v>
      </x:c>
      <x:c r="I245" s="19" t="n">
        <x:v>159.22</x:v>
      </x:c>
      <x:c r="J245" s="20" t="n">
        <x:v>0</x:v>
      </x:c>
      <x:c r="K245" s="4" t="inlineStr">
        <x:is>
          <x:t xml:space="preserve">PayPal</x:t>
        </x:is>
      </x:c>
      <x:c r="L245" s="19" t="n">
        <x:v>159.22</x:v>
      </x:c>
      <x:c r="M245" s="19" t="n">
        <x:v>0</x:v>
      </x:c>
      <x:c r="N245" s="19" t="n">
        <x:v>159.22</x:v>
      </x:c>
      <x:c r="O245" s="4" t="n">
        <x:f>YEAR(C245)</x:f>
        <x:v>2025</x:v>
      </x:c>
      <x:c r="P245" s="4" t="str">
        <x:f>TEXT(C245,"yyyy-mm")</x:f>
        <x:v>2025-07</x:v>
      </x:c>
      <x:c r="Q245" s="4" t="str">
        <x:f>TEXT(C245,"mmmm")</x:f>
        <x:v>July</x:v>
      </x:c>
    </x:row>
    <x:row r="246" ht="20" customHeight="1">
      <x:c r="A246" s="4" t="inlineStr">
        <x:is>
          <x:t xml:space="preserve">LINE-00246</x:t>
        </x:is>
      </x:c>
      <x:c r="B246" s="4" t="inlineStr">
        <x:is>
          <x:t xml:space="preserve">ORD-2025-0162</x:t>
        </x:is>
      </x:c>
      <x:c r="C246" s="17" t="n">
        <x:v>45861</x:v>
      </x:c>
      <x:c r="D246" s="4" t="inlineStr">
        <x:is>
          <x:t xml:space="preserve">CUS-0246</x:t>
        </x:is>
      </x:c>
      <x:c r="E246" s="4" t="inlineStr">
        <x:is>
          <x:t xml:space="preserve">USB Flash Drive</x:t>
        </x:is>
      </x:c>
      <x:c r="F246" s="4" t="inlineStr">
        <x:is>
          <x:t xml:space="preserve">Storage</x:t>
        </x:is>
      </x:c>
      <x:c r="G246" s="4" t="inlineStr">
        <x:is>
          <x:t xml:space="preserve">Boston</x:t>
        </x:is>
      </x:c>
      <x:c r="H246" s="18" t="n">
        <x:v>1</x:v>
      </x:c>
      <x:c r="I246" s="19" t="n">
        <x:v>29.12</x:v>
      </x:c>
      <x:c r="J246" s="20" t="n">
        <x:v>0</x:v>
      </x:c>
      <x:c r="K246" s="4" t="inlineStr">
        <x:is>
          <x:t xml:space="preserve">Bank Transfer</x:t>
        </x:is>
      </x:c>
      <x:c r="L246" s="19" t="n">
        <x:v>29.12</x:v>
      </x:c>
      <x:c r="M246" s="19" t="n">
        <x:v>0</x:v>
      </x:c>
      <x:c r="N246" s="19" t="n">
        <x:v>29.12</x:v>
      </x:c>
      <x:c r="O246" s="4" t="n">
        <x:f>YEAR(C246)</x:f>
        <x:v>2025</x:v>
      </x:c>
      <x:c r="P246" s="4" t="str">
        <x:f>TEXT(C246,"yyyy-mm")</x:f>
        <x:v>2025-07</x:v>
      </x:c>
      <x:c r="Q246" s="4" t="str">
        <x:f>TEXT(C246,"mmmm")</x:f>
        <x:v>July</x:v>
      </x:c>
    </x:row>
    <x:row r="247" ht="20" customHeight="1">
      <x:c r="A247" s="4" t="inlineStr">
        <x:is>
          <x:t xml:space="preserve">LINE-00247</x:t>
        </x:is>
      </x:c>
      <x:c r="B247" s="4" t="inlineStr">
        <x:is>
          <x:t xml:space="preserve">ORD-2025-0162</x:t>
        </x:is>
      </x:c>
      <x:c r="C247" s="17" t="n">
        <x:v>45861</x:v>
      </x:c>
      <x:c r="D247" s="4" t="inlineStr">
        <x:is>
          <x:t xml:space="preserve">CUS-0246</x:t>
        </x:is>
      </x:c>
      <x:c r="E247" s="4" t="inlineStr">
        <x:is>
          <x:t xml:space="preserve">Monitor</x:t>
        </x:is>
      </x:c>
      <x:c r="F247" s="4" t="inlineStr">
        <x:is>
          <x:t xml:space="preserve">Computers</x:t>
        </x:is>
      </x:c>
      <x:c r="G247" s="4" t="inlineStr">
        <x:is>
          <x:t xml:space="preserve">Boston</x:t>
        </x:is>
      </x:c>
      <x:c r="H247" s="18" t="n">
        <x:v>2</x:v>
      </x:c>
      <x:c r="I247" s="19" t="n">
        <x:v>280.78</x:v>
      </x:c>
      <x:c r="J247" s="20" t="n">
        <x:v>0</x:v>
      </x:c>
      <x:c r="K247" s="4" t="inlineStr">
        <x:is>
          <x:t xml:space="preserve">Bank Transfer</x:t>
        </x:is>
      </x:c>
      <x:c r="L247" s="19" t="n">
        <x:v>561.5599999999999</x:v>
      </x:c>
      <x:c r="M247" s="19" t="n">
        <x:v>0</x:v>
      </x:c>
      <x:c r="N247" s="19" t="n">
        <x:v>561.5599999999999</x:v>
      </x:c>
      <x:c r="O247" s="4" t="n">
        <x:f>YEAR(C247)</x:f>
        <x:v>2025</x:v>
      </x:c>
      <x:c r="P247" s="4" t="str">
        <x:f>TEXT(C247,"yyyy-mm")</x:f>
        <x:v>2025-07</x:v>
      </x:c>
      <x:c r="Q247" s="4" t="str">
        <x:f>TEXT(C247,"mmmm")</x:f>
        <x:v>July</x:v>
      </x:c>
    </x:row>
    <x:row r="248" ht="20" customHeight="1">
      <x:c r="A248" s="4" t="inlineStr">
        <x:is>
          <x:t xml:space="preserve">LINE-00248</x:t>
        </x:is>
      </x:c>
      <x:c r="B248" s="4" t="inlineStr">
        <x:is>
          <x:t xml:space="preserve">ORD-2025-0163</x:t>
        </x:is>
      </x:c>
      <x:c r="C248" s="17" t="n">
        <x:v>45940</x:v>
      </x:c>
      <x:c r="D248" s="4" t="inlineStr">
        <x:is>
          <x:t xml:space="preserve">CUS-0328</x:t>
        </x:is>
      </x:c>
      <x:c r="E248" s="4" t="inlineStr">
        <x:is>
          <x:t xml:space="preserve">Keyboard</x:t>
        </x:is>
      </x:c>
      <x:c r="F248" s="4" t="inlineStr">
        <x:is>
          <x:t xml:space="preserve">Accessories</x:t>
        </x:is>
      </x:c>
      <x:c r="G248" s="4" t="inlineStr">
        <x:is>
          <x:t xml:space="preserve">Boston</x:t>
        </x:is>
      </x:c>
      <x:c r="H248" s="18" t="n">
        <x:v>2</x:v>
      </x:c>
      <x:c r="I248" s="19" t="n">
        <x:v>79.42</x:v>
      </x:c>
      <x:c r="J248" s="20" t="n">
        <x:v>0.1</x:v>
      </x:c>
      <x:c r="K248" s="4" t="inlineStr">
        <x:is>
          <x:t xml:space="preserve">Debit Card</x:t>
        </x:is>
      </x:c>
      <x:c r="L248" s="19" t="n">
        <x:v>158.84</x:v>
      </x:c>
      <x:c r="M248" s="19" t="n">
        <x:v>15.88</x:v>
      </x:c>
      <x:c r="N248" s="19" t="n">
        <x:v>142.96</x:v>
      </x:c>
      <x:c r="O248" s="4" t="n">
        <x:f>YEAR(C248)</x:f>
        <x:v>2025</x:v>
      </x:c>
      <x:c r="P248" s="4" t="str">
        <x:f>TEXT(C248,"yyyy-mm")</x:f>
        <x:v>2025-10</x:v>
      </x:c>
      <x:c r="Q248" s="4" t="str">
        <x:f>TEXT(C248,"mmmm")</x:f>
        <x:v>October</x:v>
      </x:c>
    </x:row>
    <x:row r="249" ht="20" customHeight="1">
      <x:c r="A249" s="4" t="inlineStr">
        <x:is>
          <x:t xml:space="preserve">LINE-00249</x:t>
        </x:is>
      </x:c>
      <x:c r="B249" s="4" t="inlineStr">
        <x:is>
          <x:t xml:space="preserve">ORD-2025-0163</x:t>
        </x:is>
      </x:c>
      <x:c r="C249" s="17" t="n">
        <x:v>45940</x:v>
      </x:c>
      <x:c r="D249" s="4" t="inlineStr">
        <x:is>
          <x:t xml:space="preserve">CUS-0328</x:t>
        </x:is>
      </x:c>
      <x:c r="E249" s="4" t="inlineStr">
        <x:is>
          <x:t xml:space="preserve">Headphones</x:t>
        </x:is>
      </x:c>
      <x:c r="F249" s="4" t="inlineStr">
        <x:is>
          <x:t xml:space="preserve">Audio</x:t>
        </x:is>
      </x:c>
      <x:c r="G249" s="4" t="inlineStr">
        <x:is>
          <x:t xml:space="preserve">Boston</x:t>
        </x:is>
      </x:c>
      <x:c r="H249" s="18" t="n">
        <x:v>2</x:v>
      </x:c>
      <x:c r="I249" s="19" t="n">
        <x:v>125.93</x:v>
      </x:c>
      <x:c r="J249" s="20" t="n">
        <x:v>0</x:v>
      </x:c>
      <x:c r="K249" s="4" t="inlineStr">
        <x:is>
          <x:t xml:space="preserve">Debit Card</x:t>
        </x:is>
      </x:c>
      <x:c r="L249" s="19" t="n">
        <x:v>251.86</x:v>
      </x:c>
      <x:c r="M249" s="19" t="n">
        <x:v>0</x:v>
      </x:c>
      <x:c r="N249" s="19" t="n">
        <x:v>251.86</x:v>
      </x:c>
      <x:c r="O249" s="4" t="n">
        <x:f>YEAR(C249)</x:f>
        <x:v>2025</x:v>
      </x:c>
      <x:c r="P249" s="4" t="str">
        <x:f>TEXT(C249,"yyyy-mm")</x:f>
        <x:v>2025-10</x:v>
      </x:c>
      <x:c r="Q249" s="4" t="str">
        <x:f>TEXT(C249,"mmmm")</x:f>
        <x:v>October</x:v>
      </x:c>
    </x:row>
    <x:row r="250" ht="20" customHeight="1">
      <x:c r="A250" s="4" t="inlineStr">
        <x:is>
          <x:t xml:space="preserve">LINE-00250</x:t>
        </x:is>
      </x:c>
      <x:c r="B250" s="4" t="inlineStr">
        <x:is>
          <x:t xml:space="preserve">ORD-2025-0164</x:t>
        </x:is>
      </x:c>
      <x:c r="C250" s="17" t="n">
        <x:v>46021</x:v>
      </x:c>
      <x:c r="D250" s="4" t="inlineStr">
        <x:is>
          <x:t xml:space="preserve">CUS-0116</x:t>
        </x:is>
      </x:c>
      <x:c r="E250" s="4" t="inlineStr">
        <x:is>
          <x:t xml:space="preserve">USB-C Hub</x:t>
        </x:is>
      </x:c>
      <x:c r="F250" s="4" t="inlineStr">
        <x:is>
          <x:t xml:space="preserve">Accessories</x:t>
        </x:is>
      </x:c>
      <x:c r="G250" s="4" t="inlineStr">
        <x:is>
          <x:t xml:space="preserve">Austin</x:t>
        </x:is>
      </x:c>
      <x:c r="H250" s="18" t="n">
        <x:v>2</x:v>
      </x:c>
      <x:c r="I250" s="19" t="n">
        <x:v>65.53</x:v>
      </x:c>
      <x:c r="J250" s="20" t="n">
        <x:v>0</x:v>
      </x:c>
      <x:c r="K250" s="4" t="inlineStr">
        <x:is>
          <x:t xml:space="preserve">PayPal</x:t>
        </x:is>
      </x:c>
      <x:c r="L250" s="19" t="n">
        <x:v>131.06</x:v>
      </x:c>
      <x:c r="M250" s="19" t="n">
        <x:v>0</x:v>
      </x:c>
      <x:c r="N250" s="19" t="n">
        <x:v>131.06</x:v>
      </x:c>
      <x:c r="O250" s="4" t="n">
        <x:f>YEAR(C250)</x:f>
        <x:v>2025</x:v>
      </x:c>
      <x:c r="P250" s="4" t="str">
        <x:f>TEXT(C250,"yyyy-mm")</x:f>
        <x:v>2025-12</x:v>
      </x:c>
      <x:c r="Q250" s="4" t="str">
        <x:f>TEXT(C250,"mmmm")</x:f>
        <x:v>December</x:v>
      </x:c>
    </x:row>
    <x:row r="251" ht="20" customHeight="1">
      <x:c r="A251" s="4" t="inlineStr">
        <x:is>
          <x:t xml:space="preserve">LINE-00251</x:t>
        </x:is>
      </x:c>
      <x:c r="B251" s="4" t="inlineStr">
        <x:is>
          <x:t xml:space="preserve">ORD-2025-0164</x:t>
        </x:is>
      </x:c>
      <x:c r="C251" s="17" t="n">
        <x:v>46021</x:v>
      </x:c>
      <x:c r="D251" s="4" t="inlineStr">
        <x:is>
          <x:t xml:space="preserve">CUS-0116</x:t>
        </x:is>
      </x:c>
      <x:c r="E251" s="4" t="inlineStr">
        <x:is>
          <x:t xml:space="preserve">Wireless Mouse</x:t>
        </x:is>
      </x:c>
      <x:c r="F251" s="4" t="inlineStr">
        <x:is>
          <x:t xml:space="preserve">Accessories</x:t>
        </x:is>
      </x:c>
      <x:c r="G251" s="4" t="inlineStr">
        <x:is>
          <x:t xml:space="preserve">Austin</x:t>
        </x:is>
      </x:c>
      <x:c r="H251" s="18" t="n">
        <x:v>1</x:v>
      </x:c>
      <x:c r="I251" s="19" t="n">
        <x:v>45.24</x:v>
      </x:c>
      <x:c r="J251" s="20" t="n">
        <x:v>0.05</x:v>
      </x:c>
      <x:c r="K251" s="4" t="inlineStr">
        <x:is>
          <x:t xml:space="preserve">PayPal</x:t>
        </x:is>
      </x:c>
      <x:c r="L251" s="19" t="n">
        <x:v>45.24</x:v>
      </x:c>
      <x:c r="M251" s="19" t="n">
        <x:v>2.26</x:v>
      </x:c>
      <x:c r="N251" s="19" t="n">
        <x:v>42.98</x:v>
      </x:c>
      <x:c r="O251" s="4" t="n">
        <x:f>YEAR(C251)</x:f>
        <x:v>2025</x:v>
      </x:c>
      <x:c r="P251" s="4" t="str">
        <x:f>TEXT(C251,"yyyy-mm")</x:f>
        <x:v>2025-12</x:v>
      </x:c>
      <x:c r="Q251" s="4" t="str">
        <x:f>TEXT(C251,"mmmm")</x:f>
        <x:v>December</x:v>
      </x:c>
    </x:row>
    <x:row r="252" ht="20" customHeight="1">
      <x:c r="A252" s="4" t="inlineStr">
        <x:is>
          <x:t xml:space="preserve">LINE-00252</x:t>
        </x:is>
      </x:c>
      <x:c r="B252" s="4" t="inlineStr">
        <x:is>
          <x:t xml:space="preserve">ORD-2025-0165</x:t>
        </x:is>
      </x:c>
      <x:c r="C252" s="17" t="n">
        <x:v>45744</x:v>
      </x:c>
      <x:c r="D252" s="4" t="inlineStr">
        <x:is>
          <x:t xml:space="preserve">CUS-0304</x:t>
        </x:is>
      </x:c>
      <x:c r="E252" s="4" t="inlineStr">
        <x:is>
          <x:t xml:space="preserve">USB Flash Drive</x:t>
        </x:is>
      </x:c>
      <x:c r="F252" s="4" t="inlineStr">
        <x:is>
          <x:t xml:space="preserve">Storage</x:t>
        </x:is>
      </x:c>
      <x:c r="G252" s="4" t="inlineStr">
        <x:is>
          <x:t xml:space="preserve">Boston</x:t>
        </x:is>
      </x:c>
      <x:c r="H252" s="18" t="n">
        <x:v>3</x:v>
      </x:c>
      <x:c r="I252" s="19" t="n">
        <x:v>30.5</x:v>
      </x:c>
      <x:c r="J252" s="20" t="n">
        <x:v>0.1</x:v>
      </x:c>
      <x:c r="K252" s="4" t="inlineStr">
        <x:is>
          <x:t xml:space="preserve">Debit Card</x:t>
        </x:is>
      </x:c>
      <x:c r="L252" s="19" t="n">
        <x:v>91.5</x:v>
      </x:c>
      <x:c r="M252" s="19" t="n">
        <x:v>9.15</x:v>
      </x:c>
      <x:c r="N252" s="19" t="n">
        <x:v>82.34999999999999</x:v>
      </x:c>
      <x:c r="O252" s="4" t="n">
        <x:f>YEAR(C252)</x:f>
        <x:v>2025</x:v>
      </x:c>
      <x:c r="P252" s="4" t="str">
        <x:f>TEXT(C252,"yyyy-mm")</x:f>
        <x:v>2025-03</x:v>
      </x:c>
      <x:c r="Q252" s="4" t="str">
        <x:f>TEXT(C252,"mmmm")</x:f>
        <x:v>March</x:v>
      </x:c>
    </x:row>
    <x:row r="253" ht="20" customHeight="1">
      <x:c r="A253" s="4" t="inlineStr">
        <x:is>
          <x:t xml:space="preserve">LINE-00253</x:t>
        </x:is>
      </x:c>
      <x:c r="B253" s="4" t="inlineStr">
        <x:is>
          <x:t xml:space="preserve">ORD-2025-0166</x:t>
        </x:is>
      </x:c>
      <x:c r="C253" s="17" t="n">
        <x:v>45946</x:v>
      </x:c>
      <x:c r="D253" s="4" t="inlineStr">
        <x:is>
          <x:t xml:space="preserve">CUS-0022</x:t>
        </x:is>
      </x:c>
      <x:c r="E253" s="4" t="inlineStr">
        <x:is>
          <x:t xml:space="preserve">Office Chair</x:t>
        </x:is>
      </x:c>
      <x:c r="F253" s="4" t="inlineStr">
        <x:is>
          <x:t xml:space="preserve">Furniture</x:t>
        </x:is>
      </x:c>
      <x:c r="G253" s="4" t="inlineStr">
        <x:is>
          <x:t xml:space="preserve">New York</x:t>
        </x:is>
      </x:c>
      <x:c r="H253" s="18" t="n">
        <x:v>3</x:v>
      </x:c>
      <x:c r="I253" s="19" t="n">
        <x:v>230.96</x:v>
      </x:c>
      <x:c r="J253" s="20" t="n">
        <x:v>0</x:v>
      </x:c>
      <x:c r="K253" s="4" t="inlineStr">
        <x:is>
          <x:t xml:space="preserve">Credit Card</x:t>
        </x:is>
      </x:c>
      <x:c r="L253" s="19" t="n">
        <x:v>692.88</x:v>
      </x:c>
      <x:c r="M253" s="19" t="n">
        <x:v>0</x:v>
      </x:c>
      <x:c r="N253" s="19" t="n">
        <x:v>692.88</x:v>
      </x:c>
      <x:c r="O253" s="4" t="n">
        <x:f>YEAR(C253)</x:f>
        <x:v>2025</x:v>
      </x:c>
      <x:c r="P253" s="4" t="str">
        <x:f>TEXT(C253,"yyyy-mm")</x:f>
        <x:v>2025-10</x:v>
      </x:c>
      <x:c r="Q253" s="4" t="str">
        <x:f>TEXT(C253,"mmmm")</x:f>
        <x:v>October</x:v>
      </x:c>
    </x:row>
    <x:row r="254" ht="20" customHeight="1">
      <x:c r="A254" s="4" t="inlineStr">
        <x:is>
          <x:t xml:space="preserve">LINE-00254</x:t>
        </x:is>
      </x:c>
      <x:c r="B254" s="4" t="inlineStr">
        <x:is>
          <x:t xml:space="preserve">ORD-2025-0167</x:t>
        </x:is>
      </x:c>
      <x:c r="C254" s="17" t="n">
        <x:v>45950</x:v>
      </x:c>
      <x:c r="D254" s="4" t="inlineStr">
        <x:is>
          <x:t xml:space="preserve">CUS-0214</x:t>
        </x:is>
      </x:c>
      <x:c r="E254" s="4" t="inlineStr">
        <x:is>
          <x:t xml:space="preserve">Office Chair</x:t>
        </x:is>
      </x:c>
      <x:c r="F254" s="4" t="inlineStr">
        <x:is>
          <x:t xml:space="preserve">Furniture</x:t>
        </x:is>
      </x:c>
      <x:c r="G254" s="4" t="inlineStr">
        <x:is>
          <x:t xml:space="preserve">Boston</x:t>
        </x:is>
      </x:c>
      <x:c r="H254" s="18" t="n">
        <x:v>2</x:v>
      </x:c>
      <x:c r="I254" s="19" t="n">
        <x:v>245.45</x:v>
      </x:c>
      <x:c r="J254" s="20" t="n">
        <x:v>0</x:v>
      </x:c>
      <x:c r="K254" s="4" t="inlineStr">
        <x:is>
          <x:t xml:space="preserve">Credit Card</x:t>
        </x:is>
      </x:c>
      <x:c r="L254" s="19" t="n">
        <x:v>490.9</x:v>
      </x:c>
      <x:c r="M254" s="19" t="n">
        <x:v>0</x:v>
      </x:c>
      <x:c r="N254" s="19" t="n">
        <x:v>490.9</x:v>
      </x:c>
      <x:c r="O254" s="4" t="n">
        <x:f>YEAR(C254)</x:f>
        <x:v>2025</x:v>
      </x:c>
      <x:c r="P254" s="4" t="str">
        <x:f>TEXT(C254,"yyyy-mm")</x:f>
        <x:v>2025-10</x:v>
      </x:c>
      <x:c r="Q254" s="4" t="str">
        <x:f>TEXT(C254,"mmmm")</x:f>
        <x:v>October</x:v>
      </x:c>
    </x:row>
    <x:row r="255" ht="20" customHeight="1">
      <x:c r="A255" s="4" t="inlineStr">
        <x:is>
          <x:t xml:space="preserve">LINE-00255</x:t>
        </x:is>
      </x:c>
      <x:c r="B255" s="4" t="inlineStr">
        <x:is>
          <x:t xml:space="preserve">ORD-2025-0168</x:t>
        </x:is>
      </x:c>
      <x:c r="C255" s="17" t="n">
        <x:v>45783</x:v>
      </x:c>
      <x:c r="D255" s="4" t="inlineStr">
        <x:is>
          <x:t xml:space="preserve">CUS-0208</x:t>
        </x:is>
      </x:c>
      <x:c r="E255" s="4" t="inlineStr">
        <x:is>
          <x:t xml:space="preserve">Laptop</x:t>
        </x:is>
      </x:c>
      <x:c r="F255" s="4" t="inlineStr">
        <x:is>
          <x:t xml:space="preserve">Computers</x:t>
        </x:is>
      </x:c>
      <x:c r="G255" s="4" t="inlineStr">
        <x:is>
          <x:t xml:space="preserve">Austin</x:t>
        </x:is>
      </x:c>
      <x:c r="H255" s="18" t="n">
        <x:v>1</x:v>
      </x:c>
      <x:c r="I255" s="19" t="n">
        <x:v>937.17</x:v>
      </x:c>
      <x:c r="J255" s="20" t="n">
        <x:v>0.05</x:v>
      </x:c>
      <x:c r="K255" s="4" t="inlineStr">
        <x:is>
          <x:t xml:space="preserve">Bank Transfer</x:t>
        </x:is>
      </x:c>
      <x:c r="L255" s="19" t="n">
        <x:v>937.17</x:v>
      </x:c>
      <x:c r="M255" s="19" t="n">
        <x:v>46.86</x:v>
      </x:c>
      <x:c r="N255" s="19" t="n">
        <x:v>890.3099999999999</x:v>
      </x:c>
      <x:c r="O255" s="4" t="n">
        <x:f>YEAR(C255)</x:f>
        <x:v>2025</x:v>
      </x:c>
      <x:c r="P255" s="4" t="str">
        <x:f>TEXT(C255,"yyyy-mm")</x:f>
        <x:v>2025-05</x:v>
      </x:c>
      <x:c r="Q255" s="4" t="str">
        <x:f>TEXT(C255,"mmmm")</x:f>
        <x:v>May</x:v>
      </x:c>
    </x:row>
    <x:row r="256" ht="20" customHeight="1">
      <x:c r="A256" s="4" t="inlineStr">
        <x:is>
          <x:t xml:space="preserve">LINE-00256</x:t>
        </x:is>
      </x:c>
      <x:c r="B256" s="4" t="inlineStr">
        <x:is>
          <x:t xml:space="preserve">ORD-2025-0169</x:t>
        </x:is>
      </x:c>
      <x:c r="C256" s="17" t="n">
        <x:v>45832</x:v>
      </x:c>
      <x:c r="D256" s="4" t="inlineStr">
        <x:is>
          <x:t xml:space="preserve">CUS-0311</x:t>
        </x:is>
      </x:c>
      <x:c r="E256" s="4" t="inlineStr">
        <x:is>
          <x:t xml:space="preserve">Webcam</x:t>
        </x:is>
      </x:c>
      <x:c r="F256" s="4" t="inlineStr">
        <x:is>
          <x:t xml:space="preserve">Accessories</x:t>
        </x:is>
      </x:c>
      <x:c r="G256" s="4" t="inlineStr">
        <x:is>
          <x:t xml:space="preserve">Chicago</x:t>
        </x:is>
      </x:c>
      <x:c r="H256" s="18" t="n">
        <x:v>1</x:v>
      </x:c>
      <x:c r="I256" s="19" t="n">
        <x:v>88.14</x:v>
      </x:c>
      <x:c r="J256" s="20" t="n">
        <x:v>0.05</x:v>
      </x:c>
      <x:c r="K256" s="4" t="inlineStr">
        <x:is>
          <x:t xml:space="preserve">PayPal</x:t>
        </x:is>
      </x:c>
      <x:c r="L256" s="19" t="n">
        <x:v>88.14</x:v>
      </x:c>
      <x:c r="M256" s="19" t="n">
        <x:v>4.41</x:v>
      </x:c>
      <x:c r="N256" s="19" t="n">
        <x:v>83.73</x:v>
      </x:c>
      <x:c r="O256" s="4" t="n">
        <x:f>YEAR(C256)</x:f>
        <x:v>2025</x:v>
      </x:c>
      <x:c r="P256" s="4" t="str">
        <x:f>TEXT(C256,"yyyy-mm")</x:f>
        <x:v>2025-06</x:v>
      </x:c>
      <x:c r="Q256" s="4" t="str">
        <x:f>TEXT(C256,"mmmm")</x:f>
        <x:v>June</x:v>
      </x:c>
    </x:row>
    <x:row r="257" ht="20" customHeight="1">
      <x:c r="A257" s="4" t="inlineStr">
        <x:is>
          <x:t xml:space="preserve">LINE-00257</x:t>
        </x:is>
      </x:c>
      <x:c r="B257" s="4" t="inlineStr">
        <x:is>
          <x:t xml:space="preserve">ORD-2025-0169</x:t>
        </x:is>
      </x:c>
      <x:c r="C257" s="17" t="n">
        <x:v>45832</x:v>
      </x:c>
      <x:c r="D257" s="4" t="inlineStr">
        <x:is>
          <x:t xml:space="preserve">CUS-0311</x:t>
        </x:is>
      </x:c>
      <x:c r="E257" s="4" t="inlineStr">
        <x:is>
          <x:t xml:space="preserve">Desk Lamp</x:t>
        </x:is>
      </x:c>
      <x:c r="F257" s="4" t="inlineStr">
        <x:is>
          <x:t xml:space="preserve">Furniture</x:t>
        </x:is>
      </x:c>
      <x:c r="G257" s="4" t="inlineStr">
        <x:is>
          <x:t xml:space="preserve">Chicago</x:t>
        </x:is>
      </x:c>
      <x:c r="H257" s="18" t="n">
        <x:v>1</x:v>
      </x:c>
      <x:c r="I257" s="19" t="n">
        <x:v>54.7</x:v>
      </x:c>
      <x:c r="J257" s="20" t="n">
        <x:v>0</x:v>
      </x:c>
      <x:c r="K257" s="4" t="inlineStr">
        <x:is>
          <x:t xml:space="preserve">PayPal</x:t>
        </x:is>
      </x:c>
      <x:c r="L257" s="19" t="n">
        <x:v>54.7</x:v>
      </x:c>
      <x:c r="M257" s="19" t="n">
        <x:v>0</x:v>
      </x:c>
      <x:c r="N257" s="19" t="n">
        <x:v>54.7</x:v>
      </x:c>
      <x:c r="O257" s="4" t="n">
        <x:f>YEAR(C257)</x:f>
        <x:v>2025</x:v>
      </x:c>
      <x:c r="P257" s="4" t="str">
        <x:f>TEXT(C257,"yyyy-mm")</x:f>
        <x:v>2025-06</x:v>
      </x:c>
      <x:c r="Q257" s="4" t="str">
        <x:f>TEXT(C257,"mmmm")</x:f>
        <x:v>June</x:v>
      </x:c>
    </x:row>
    <x:row r="258" ht="20" customHeight="1">
      <x:c r="A258" s="4" t="inlineStr">
        <x:is>
          <x:t xml:space="preserve">LINE-00258</x:t>
        </x:is>
      </x:c>
      <x:c r="B258" s="4" t="inlineStr">
        <x:is>
          <x:t xml:space="preserve">ORD-2025-0169</x:t>
        </x:is>
      </x:c>
      <x:c r="C258" s="17" t="n">
        <x:v>45832</x:v>
      </x:c>
      <x:c r="D258" s="4" t="inlineStr">
        <x:is>
          <x:t xml:space="preserve">CUS-0311</x:t>
        </x:is>
      </x:c>
      <x:c r="E258" s="4" t="inlineStr">
        <x:is>
          <x:t xml:space="preserve">Headphones</x:t>
        </x:is>
      </x:c>
      <x:c r="F258" s="4" t="inlineStr">
        <x:is>
          <x:t xml:space="preserve">Audio</x:t>
        </x:is>
      </x:c>
      <x:c r="G258" s="4" t="inlineStr">
        <x:is>
          <x:t xml:space="preserve">Chicago</x:t>
        </x:is>
      </x:c>
      <x:c r="H258" s="18" t="n">
        <x:v>1</x:v>
      </x:c>
      <x:c r="I258" s="19" t="n">
        <x:v>121.61</x:v>
      </x:c>
      <x:c r="J258" s="20" t="n">
        <x:v>0</x:v>
      </x:c>
      <x:c r="K258" s="4" t="inlineStr">
        <x:is>
          <x:t xml:space="preserve">PayPal</x:t>
        </x:is>
      </x:c>
      <x:c r="L258" s="19" t="n">
        <x:v>121.61</x:v>
      </x:c>
      <x:c r="M258" s="19" t="n">
        <x:v>0</x:v>
      </x:c>
      <x:c r="N258" s="19" t="n">
        <x:v>121.61</x:v>
      </x:c>
      <x:c r="O258" s="4" t="n">
        <x:f>YEAR(C258)</x:f>
        <x:v>2025</x:v>
      </x:c>
      <x:c r="P258" s="4" t="str">
        <x:f>TEXT(C258,"yyyy-mm")</x:f>
        <x:v>2025-06</x:v>
      </x:c>
      <x:c r="Q258" s="4" t="str">
        <x:f>TEXT(C258,"mmmm")</x:f>
        <x:v>June</x:v>
      </x:c>
    </x:row>
    <x:row r="259" ht="20" customHeight="1">
      <x:c r="A259" s="4" t="inlineStr">
        <x:is>
          <x:t xml:space="preserve">LINE-00259</x:t>
        </x:is>
      </x:c>
      <x:c r="B259" s="4" t="inlineStr">
        <x:is>
          <x:t xml:space="preserve">ORD-2025-0170</x:t>
        </x:is>
      </x:c>
      <x:c r="C259" s="17" t="n">
        <x:v>45854</x:v>
      </x:c>
      <x:c r="D259" s="4" t="inlineStr">
        <x:is>
          <x:t xml:space="preserve">CUS-0316</x:t>
        </x:is>
      </x:c>
      <x:c r="E259" s="4" t="inlineStr">
        <x:is>
          <x:t xml:space="preserve">Keyboard</x:t>
        </x:is>
      </x:c>
      <x:c r="F259" s="4" t="inlineStr">
        <x:is>
          <x:t xml:space="preserve">Accessories</x:t>
        </x:is>
      </x:c>
      <x:c r="G259" s="4" t="inlineStr">
        <x:is>
          <x:t xml:space="preserve">Seattle</x:t>
        </x:is>
      </x:c>
      <x:c r="H259" s="18" t="n">
        <x:v>3</x:v>
      </x:c>
      <x:c r="I259" s="19" t="n">
        <x:v>71.28</x:v>
      </x:c>
      <x:c r="J259" s="20" t="n">
        <x:v>0</x:v>
      </x:c>
      <x:c r="K259" s="4" t="inlineStr">
        <x:is>
          <x:t xml:space="preserve">Debit Card</x:t>
        </x:is>
      </x:c>
      <x:c r="L259" s="19" t="n">
        <x:v>213.84</x:v>
      </x:c>
      <x:c r="M259" s="19" t="n">
        <x:v>0</x:v>
      </x:c>
      <x:c r="N259" s="19" t="n">
        <x:v>213.84</x:v>
      </x:c>
      <x:c r="O259" s="4" t="n">
        <x:f>YEAR(C259)</x:f>
        <x:v>2025</x:v>
      </x:c>
      <x:c r="P259" s="4" t="str">
        <x:f>TEXT(C259,"yyyy-mm")</x:f>
        <x:v>2025-07</x:v>
      </x:c>
      <x:c r="Q259" s="4" t="str">
        <x:f>TEXT(C259,"mmmm")</x:f>
        <x:v>July</x:v>
      </x:c>
    </x:row>
    <x:row r="260" ht="20" customHeight="1">
      <x:c r="A260" s="4" t="inlineStr">
        <x:is>
          <x:t xml:space="preserve">LINE-00260</x:t>
        </x:is>
      </x:c>
      <x:c r="B260" s="4" t="inlineStr">
        <x:is>
          <x:t xml:space="preserve">ORD-2025-0170</x:t>
        </x:is>
      </x:c>
      <x:c r="C260" s="17" t="n">
        <x:v>45854</x:v>
      </x:c>
      <x:c r="D260" s="4" t="inlineStr">
        <x:is>
          <x:t xml:space="preserve">CUS-0316</x:t>
        </x:is>
      </x:c>
      <x:c r="E260" s="4" t="inlineStr">
        <x:is>
          <x:t xml:space="preserve">Webcam</x:t>
        </x:is>
      </x:c>
      <x:c r="F260" s="4" t="inlineStr">
        <x:is>
          <x:t xml:space="preserve">Accessories</x:t>
        </x:is>
      </x:c>
      <x:c r="G260" s="4" t="inlineStr">
        <x:is>
          <x:t xml:space="preserve">Seattle</x:t>
        </x:is>
      </x:c>
      <x:c r="H260" s="18" t="n">
        <x:v>5</x:v>
      </x:c>
      <x:c r="I260" s="19" t="n">
        <x:v>89.52</x:v>
      </x:c>
      <x:c r="J260" s="20" t="n">
        <x:v>0.15</x:v>
      </x:c>
      <x:c r="K260" s="4" t="inlineStr">
        <x:is>
          <x:t xml:space="preserve">Debit Card</x:t>
        </x:is>
      </x:c>
      <x:c r="L260" s="19" t="n">
        <x:v>447.6</x:v>
      </x:c>
      <x:c r="M260" s="19" t="n">
        <x:v>67.14</x:v>
      </x:c>
      <x:c r="N260" s="19" t="n">
        <x:v>380.46</x:v>
      </x:c>
      <x:c r="O260" s="4" t="n">
        <x:f>YEAR(C260)</x:f>
        <x:v>2025</x:v>
      </x:c>
      <x:c r="P260" s="4" t="str">
        <x:f>TEXT(C260,"yyyy-mm")</x:f>
        <x:v>2025-07</x:v>
      </x:c>
      <x:c r="Q260" s="4" t="str">
        <x:f>TEXT(C260,"mmmm")</x:f>
        <x:v>July</x:v>
      </x:c>
    </x:row>
    <x:row r="261" ht="20" customHeight="1">
      <x:c r="A261" s="4" t="inlineStr">
        <x:is>
          <x:t xml:space="preserve">LINE-00261</x:t>
        </x:is>
      </x:c>
      <x:c r="B261" s="4" t="inlineStr">
        <x:is>
          <x:t xml:space="preserve">ORD-2025-0170</x:t>
        </x:is>
      </x:c>
      <x:c r="C261" s="17" t="n">
        <x:v>45854</x:v>
      </x:c>
      <x:c r="D261" s="4" t="inlineStr">
        <x:is>
          <x:t xml:space="preserve">CUS-0316</x:t>
        </x:is>
      </x:c>
      <x:c r="E261" s="4" t="inlineStr">
        <x:is>
          <x:t xml:space="preserve">USB Flash Drive</x:t>
        </x:is>
      </x:c>
      <x:c r="F261" s="4" t="inlineStr">
        <x:is>
          <x:t xml:space="preserve">Storage</x:t>
        </x:is>
      </x:c>
      <x:c r="G261" s="4" t="inlineStr">
        <x:is>
          <x:t xml:space="preserve">Seattle</x:t>
        </x:is>
      </x:c>
      <x:c r="H261" s="18" t="n">
        <x:v>2</x:v>
      </x:c>
      <x:c r="I261" s="19" t="n">
        <x:v>28.03</x:v>
      </x:c>
      <x:c r="J261" s="20" t="n">
        <x:v>0</x:v>
      </x:c>
      <x:c r="K261" s="4" t="inlineStr">
        <x:is>
          <x:t xml:space="preserve">Debit Card</x:t>
        </x:is>
      </x:c>
      <x:c r="L261" s="19" t="n">
        <x:v>56.06</x:v>
      </x:c>
      <x:c r="M261" s="19" t="n">
        <x:v>0</x:v>
      </x:c>
      <x:c r="N261" s="19" t="n">
        <x:v>56.06</x:v>
      </x:c>
      <x:c r="O261" s="4" t="n">
        <x:f>YEAR(C261)</x:f>
        <x:v>2025</x:v>
      </x:c>
      <x:c r="P261" s="4" t="str">
        <x:f>TEXT(C261,"yyyy-mm")</x:f>
        <x:v>2025-07</x:v>
      </x:c>
      <x:c r="Q261" s="4" t="str">
        <x:f>TEXT(C261,"mmmm")</x:f>
        <x:v>July</x:v>
      </x:c>
    </x:row>
    <x:row r="262" ht="20" customHeight="1">
      <x:c r="A262" s="4" t="inlineStr">
        <x:is>
          <x:t xml:space="preserve">LINE-00262</x:t>
        </x:is>
      </x:c>
      <x:c r="B262" s="4" t="inlineStr">
        <x:is>
          <x:t xml:space="preserve">ORD-2025-0171</x:t>
        </x:is>
      </x:c>
      <x:c r="C262" s="17" t="n">
        <x:v>45892</x:v>
      </x:c>
      <x:c r="D262" s="4" t="inlineStr">
        <x:is>
          <x:t xml:space="preserve">CUS-0124</x:t>
        </x:is>
      </x:c>
      <x:c r="E262" s="4" t="inlineStr">
        <x:is>
          <x:t xml:space="preserve">USB-C Hub</x:t>
        </x:is>
      </x:c>
      <x:c r="F262" s="4" t="inlineStr">
        <x:is>
          <x:t xml:space="preserve">Accessories</x:t>
        </x:is>
      </x:c>
      <x:c r="G262" s="4" t="inlineStr">
        <x:is>
          <x:t xml:space="preserve">Chicago</x:t>
        </x:is>
      </x:c>
      <x:c r="H262" s="18" t="n">
        <x:v>2</x:v>
      </x:c>
      <x:c r="I262" s="19" t="n">
        <x:v>68.98</x:v>
      </x:c>
      <x:c r="J262" s="20" t="n">
        <x:v>0.05</x:v>
      </x:c>
      <x:c r="K262" s="4" t="inlineStr">
        <x:is>
          <x:t xml:space="preserve">PayPal</x:t>
        </x:is>
      </x:c>
      <x:c r="L262" s="19" t="n">
        <x:v>137.96</x:v>
      </x:c>
      <x:c r="M262" s="19" t="n">
        <x:v>6.9</x:v>
      </x:c>
      <x:c r="N262" s="19" t="n">
        <x:v>131.06</x:v>
      </x:c>
      <x:c r="O262" s="4" t="n">
        <x:f>YEAR(C262)</x:f>
        <x:v>2025</x:v>
      </x:c>
      <x:c r="P262" s="4" t="str">
        <x:f>TEXT(C262,"yyyy-mm")</x:f>
        <x:v>2025-08</x:v>
      </x:c>
      <x:c r="Q262" s="4" t="str">
        <x:f>TEXT(C262,"mmmm")</x:f>
        <x:v>August</x:v>
      </x:c>
    </x:row>
    <x:row r="263" ht="20" customHeight="1">
      <x:c r="A263" s="4" t="inlineStr">
        <x:is>
          <x:t xml:space="preserve">LINE-00263</x:t>
        </x:is>
      </x:c>
      <x:c r="B263" s="4" t="inlineStr">
        <x:is>
          <x:t xml:space="preserve">ORD-2025-0172</x:t>
        </x:is>
      </x:c>
      <x:c r="C263" s="17" t="n">
        <x:v>45898</x:v>
      </x:c>
      <x:c r="D263" s="4" t="inlineStr">
        <x:is>
          <x:t xml:space="preserve">CUS-0147</x:t>
        </x:is>
      </x:c>
      <x:c r="E263" s="4" t="inlineStr">
        <x:is>
          <x:t xml:space="preserve">Headphones</x:t>
        </x:is>
      </x:c>
      <x:c r="F263" s="4" t="inlineStr">
        <x:is>
          <x:t xml:space="preserve">Audio</x:t>
        </x:is>
      </x:c>
      <x:c r="G263" s="4" t="inlineStr">
        <x:is>
          <x:t xml:space="preserve">Boston</x:t>
        </x:is>
      </x:c>
      <x:c r="H263" s="18" t="n">
        <x:v>4</x:v>
      </x:c>
      <x:c r="I263" s="19" t="n">
        <x:v>134.73</x:v>
      </x:c>
      <x:c r="J263" s="20" t="n">
        <x:v>0.1</x:v>
      </x:c>
      <x:c r="K263" s="4" t="inlineStr">
        <x:is>
          <x:t xml:space="preserve">Credit Card</x:t>
        </x:is>
      </x:c>
      <x:c r="L263" s="19" t="n">
        <x:v>538.92</x:v>
      </x:c>
      <x:c r="M263" s="19" t="n">
        <x:v>53.89</x:v>
      </x:c>
      <x:c r="N263" s="19" t="n">
        <x:v>485.03</x:v>
      </x:c>
      <x:c r="O263" s="4" t="n">
        <x:f>YEAR(C263)</x:f>
        <x:v>2025</x:v>
      </x:c>
      <x:c r="P263" s="4" t="str">
        <x:f>TEXT(C263,"yyyy-mm")</x:f>
        <x:v>2025-08</x:v>
      </x:c>
      <x:c r="Q263" s="4" t="str">
        <x:f>TEXT(C263,"mmmm")</x:f>
        <x:v>August</x:v>
      </x:c>
    </x:row>
    <x:row r="264" ht="20" customHeight="1">
      <x:c r="A264" s="4" t="inlineStr">
        <x:is>
          <x:t xml:space="preserve">LINE-00264</x:t>
        </x:is>
      </x:c>
      <x:c r="B264" s="4" t="inlineStr">
        <x:is>
          <x:t xml:space="preserve">ORD-2025-0172</x:t>
        </x:is>
      </x:c>
      <x:c r="C264" s="17" t="n">
        <x:v>45898</x:v>
      </x:c>
      <x:c r="D264" s="4" t="inlineStr">
        <x:is>
          <x:t xml:space="preserve">CUS-0147</x:t>
        </x:is>
      </x:c>
      <x:c r="E264" s="4" t="inlineStr">
        <x:is>
          <x:t xml:space="preserve">Keyboard</x:t>
        </x:is>
      </x:c>
      <x:c r="F264" s="4" t="inlineStr">
        <x:is>
          <x:t xml:space="preserve">Accessories</x:t>
        </x:is>
      </x:c>
      <x:c r="G264" s="4" t="inlineStr">
        <x:is>
          <x:t xml:space="preserve">Boston</x:t>
        </x:is>
      </x:c>
      <x:c r="H264" s="18" t="n">
        <x:v>1</x:v>
      </x:c>
      <x:c r="I264" s="19" t="n">
        <x:v>73.81</x:v>
      </x:c>
      <x:c r="J264" s="20" t="n">
        <x:v>0.05</x:v>
      </x:c>
      <x:c r="K264" s="4" t="inlineStr">
        <x:is>
          <x:t xml:space="preserve">Credit Card</x:t>
        </x:is>
      </x:c>
      <x:c r="L264" s="19" t="n">
        <x:v>73.81</x:v>
      </x:c>
      <x:c r="M264" s="19" t="n">
        <x:v>3.69</x:v>
      </x:c>
      <x:c r="N264" s="19" t="n">
        <x:v>70.12</x:v>
      </x:c>
      <x:c r="O264" s="4" t="n">
        <x:f>YEAR(C264)</x:f>
        <x:v>2025</x:v>
      </x:c>
      <x:c r="P264" s="4" t="str">
        <x:f>TEXT(C264,"yyyy-mm")</x:f>
        <x:v>2025-08</x:v>
      </x:c>
      <x:c r="Q264" s="4" t="str">
        <x:f>TEXT(C264,"mmmm")</x:f>
        <x:v>August</x:v>
      </x:c>
    </x:row>
    <x:row r="265" ht="20" customHeight="1">
      <x:c r="A265" s="4" t="inlineStr">
        <x:is>
          <x:t xml:space="preserve">LINE-00265</x:t>
        </x:is>
      </x:c>
      <x:c r="B265" s="4" t="inlineStr">
        <x:is>
          <x:t xml:space="preserve">ORD-2025-0173</x:t>
        </x:is>
      </x:c>
      <x:c r="C265" s="17" t="n">
        <x:v>45757</x:v>
      </x:c>
      <x:c r="D265" s="4" t="inlineStr">
        <x:is>
          <x:t xml:space="preserve">CUS-0186</x:t>
        </x:is>
      </x:c>
      <x:c r="E265" s="4" t="inlineStr">
        <x:is>
          <x:t xml:space="preserve">External SSD</x:t>
        </x:is>
      </x:c>
      <x:c r="F265" s="4" t="inlineStr">
        <x:is>
          <x:t xml:space="preserve">Storage</x:t>
        </x:is>
      </x:c>
      <x:c r="G265" s="4" t="inlineStr">
        <x:is>
          <x:t xml:space="preserve">Boston</x:t>
        </x:is>
      </x:c>
      <x:c r="H265" s="18" t="n">
        <x:v>2</x:v>
      </x:c>
      <x:c r="I265" s="19" t="n">
        <x:v>151.2</x:v>
      </x:c>
      <x:c r="J265" s="20" t="n">
        <x:v>0.1</x:v>
      </x:c>
      <x:c r="K265" s="4" t="inlineStr">
        <x:is>
          <x:t xml:space="preserve">PayPal</x:t>
        </x:is>
      </x:c>
      <x:c r="L265" s="19" t="n">
        <x:v>302.4</x:v>
      </x:c>
      <x:c r="M265" s="19" t="n">
        <x:v>30.24</x:v>
      </x:c>
      <x:c r="N265" s="19" t="n">
        <x:v>272.16</x:v>
      </x:c>
      <x:c r="O265" s="4" t="n">
        <x:f>YEAR(C265)</x:f>
        <x:v>2025</x:v>
      </x:c>
      <x:c r="P265" s="4" t="str">
        <x:f>TEXT(C265,"yyyy-mm")</x:f>
        <x:v>2025-04</x:v>
      </x:c>
      <x:c r="Q265" s="4" t="str">
        <x:f>TEXT(C265,"mmmm")</x:f>
        <x:v>April</x:v>
      </x:c>
    </x:row>
    <x:row r="266" ht="20" customHeight="1">
      <x:c r="A266" s="4" t="inlineStr">
        <x:is>
          <x:t xml:space="preserve">LINE-00266</x:t>
        </x:is>
      </x:c>
      <x:c r="B266" s="4" t="inlineStr">
        <x:is>
          <x:t xml:space="preserve">ORD-2025-0174</x:t>
        </x:is>
      </x:c>
      <x:c r="C266" s="17" t="n">
        <x:v>45977</x:v>
      </x:c>
      <x:c r="D266" s="4" t="inlineStr">
        <x:is>
          <x:t xml:space="preserve">CUS-0349</x:t>
        </x:is>
      </x:c>
      <x:c r="E266" s="4" t="inlineStr">
        <x:is>
          <x:t xml:space="preserve">Monitor</x:t>
        </x:is>
      </x:c>
      <x:c r="F266" s="4" t="inlineStr">
        <x:is>
          <x:t xml:space="preserve">Computers</x:t>
        </x:is>
      </x:c>
      <x:c r="G266" s="4" t="inlineStr">
        <x:is>
          <x:t xml:space="preserve">Boston</x:t>
        </x:is>
      </x:c>
      <x:c r="H266" s="18" t="n">
        <x:v>1</x:v>
      </x:c>
      <x:c r="I266" s="19" t="n">
        <x:v>293.21</x:v>
      </x:c>
      <x:c r="J266" s="20" t="n">
        <x:v>0</x:v>
      </x:c>
      <x:c r="K266" s="4" t="inlineStr">
        <x:is>
          <x:t xml:space="preserve">Credit Card</x:t>
        </x:is>
      </x:c>
      <x:c r="L266" s="19" t="n">
        <x:v>293.21</x:v>
      </x:c>
      <x:c r="M266" s="19" t="n">
        <x:v>0</x:v>
      </x:c>
      <x:c r="N266" s="19" t="n">
        <x:v>293.21</x:v>
      </x:c>
      <x:c r="O266" s="4" t="n">
        <x:f>YEAR(C266)</x:f>
        <x:v>2025</x:v>
      </x:c>
      <x:c r="P266" s="4" t="str">
        <x:f>TEXT(C266,"yyyy-mm")</x:f>
        <x:v>2025-11</x:v>
      </x:c>
      <x:c r="Q266" s="4" t="str">
        <x:f>TEXT(C266,"mmmm")</x:f>
        <x:v>November</x:v>
      </x:c>
    </x:row>
    <x:row r="267" ht="20" customHeight="1">
      <x:c r="A267" s="4" t="inlineStr">
        <x:is>
          <x:t xml:space="preserve">LINE-00267</x:t>
        </x:is>
      </x:c>
      <x:c r="B267" s="4" t="inlineStr">
        <x:is>
          <x:t xml:space="preserve">ORD-2025-0175</x:t>
        </x:is>
      </x:c>
      <x:c r="C267" s="17" t="n">
        <x:v>45845</x:v>
      </x:c>
      <x:c r="D267" s="4" t="inlineStr">
        <x:is>
          <x:t xml:space="preserve">CUS-0074</x:t>
        </x:is>
      </x:c>
      <x:c r="E267" s="4" t="inlineStr">
        <x:is>
          <x:t xml:space="preserve">Laptop</x:t>
        </x:is>
      </x:c>
      <x:c r="F267" s="4" t="inlineStr">
        <x:is>
          <x:t xml:space="preserve">Computers</x:t>
        </x:is>
      </x:c>
      <x:c r="G267" s="4" t="inlineStr">
        <x:is>
          <x:t xml:space="preserve">Chicago</x:t>
        </x:is>
      </x:c>
      <x:c r="H267" s="18" t="n">
        <x:v>1</x:v>
      </x:c>
      <x:c r="I267" s="19" t="n">
        <x:v>924.62</x:v>
      </x:c>
      <x:c r="J267" s="20" t="n">
        <x:v>0.05</x:v>
      </x:c>
      <x:c r="K267" s="4" t="inlineStr">
        <x:is>
          <x:t xml:space="preserve">Bank Transfer</x:t>
        </x:is>
      </x:c>
      <x:c r="L267" s="19" t="n">
        <x:v>924.62</x:v>
      </x:c>
      <x:c r="M267" s="19" t="n">
        <x:v>46.23</x:v>
      </x:c>
      <x:c r="N267" s="19" t="n">
        <x:v>878.39</x:v>
      </x:c>
      <x:c r="O267" s="4" t="n">
        <x:f>YEAR(C267)</x:f>
        <x:v>2025</x:v>
      </x:c>
      <x:c r="P267" s="4" t="str">
        <x:f>TEXT(C267,"yyyy-mm")</x:f>
        <x:v>2025-07</x:v>
      </x:c>
      <x:c r="Q267" s="4" t="str">
        <x:f>TEXT(C267,"mmmm")</x:f>
        <x:v>July</x:v>
      </x:c>
    </x:row>
    <x:row r="268" ht="20" customHeight="1">
      <x:c r="A268" s="4" t="inlineStr">
        <x:is>
          <x:t xml:space="preserve">LINE-00268</x:t>
        </x:is>
      </x:c>
      <x:c r="B268" s="4" t="inlineStr">
        <x:is>
          <x:t xml:space="preserve">ORD-2025-0175</x:t>
        </x:is>
      </x:c>
      <x:c r="C268" s="17" t="n">
        <x:v>45845</x:v>
      </x:c>
      <x:c r="D268" s="4" t="inlineStr">
        <x:is>
          <x:t xml:space="preserve">CUS-0074</x:t>
        </x:is>
      </x:c>
      <x:c r="E268" s="4" t="inlineStr">
        <x:is>
          <x:t xml:space="preserve">Desk Lamp</x:t>
        </x:is>
      </x:c>
      <x:c r="F268" s="4" t="inlineStr">
        <x:is>
          <x:t xml:space="preserve">Furniture</x:t>
        </x:is>
      </x:c>
      <x:c r="G268" s="4" t="inlineStr">
        <x:is>
          <x:t xml:space="preserve">Chicago</x:t>
        </x:is>
      </x:c>
      <x:c r="H268" s="18" t="n">
        <x:v>2</x:v>
      </x:c>
      <x:c r="I268" s="19" t="n">
        <x:v>55.94</x:v>
      </x:c>
      <x:c r="J268" s="20" t="n">
        <x:v>0.05</x:v>
      </x:c>
      <x:c r="K268" s="4" t="inlineStr">
        <x:is>
          <x:t xml:space="preserve">Bank Transfer</x:t>
        </x:is>
      </x:c>
      <x:c r="L268" s="19" t="n">
        <x:v>111.88</x:v>
      </x:c>
      <x:c r="M268" s="19" t="n">
        <x:v>5.59</x:v>
      </x:c>
      <x:c r="N268" s="19" t="n">
        <x:v>106.29</x:v>
      </x:c>
      <x:c r="O268" s="4" t="n">
        <x:f>YEAR(C268)</x:f>
        <x:v>2025</x:v>
      </x:c>
      <x:c r="P268" s="4" t="str">
        <x:f>TEXT(C268,"yyyy-mm")</x:f>
        <x:v>2025-07</x:v>
      </x:c>
      <x:c r="Q268" s="4" t="str">
        <x:f>TEXT(C268,"mmmm")</x:f>
        <x:v>July</x:v>
      </x:c>
    </x:row>
    <x:row r="269" ht="20" customHeight="1">
      <x:c r="A269" s="4" t="inlineStr">
        <x:is>
          <x:t xml:space="preserve">LINE-00269</x:t>
        </x:is>
      </x:c>
      <x:c r="B269" s="4" t="inlineStr">
        <x:is>
          <x:t xml:space="preserve">ORD-2025-0176</x:t>
        </x:is>
      </x:c>
      <x:c r="C269" s="17" t="n">
        <x:v>45825</x:v>
      </x:c>
      <x:c r="D269" s="4" t="inlineStr">
        <x:is>
          <x:t xml:space="preserve">CUS-0314</x:t>
        </x:is>
      </x:c>
      <x:c r="E269" s="4" t="inlineStr">
        <x:is>
          <x:t xml:space="preserve">USB Flash Drive</x:t>
        </x:is>
      </x:c>
      <x:c r="F269" s="4" t="inlineStr">
        <x:is>
          <x:t xml:space="preserve">Storage</x:t>
        </x:is>
      </x:c>
      <x:c r="G269" s="4" t="inlineStr">
        <x:is>
          <x:t xml:space="preserve">Austin</x:t>
        </x:is>
      </x:c>
      <x:c r="H269" s="18" t="n">
        <x:v>3</x:v>
      </x:c>
      <x:c r="I269" s="19" t="n">
        <x:v>29.04</x:v>
      </x:c>
      <x:c r="J269" s="20" t="n">
        <x:v>0</x:v>
      </x:c>
      <x:c r="K269" s="4" t="inlineStr">
        <x:is>
          <x:t xml:space="preserve">Debit Card</x:t>
        </x:is>
      </x:c>
      <x:c r="L269" s="19" t="n">
        <x:v>87.12</x:v>
      </x:c>
      <x:c r="M269" s="19" t="n">
        <x:v>0</x:v>
      </x:c>
      <x:c r="N269" s="19" t="n">
        <x:v>87.12</x:v>
      </x:c>
      <x:c r="O269" s="4" t="n">
        <x:f>YEAR(C269)</x:f>
        <x:v>2025</x:v>
      </x:c>
      <x:c r="P269" s="4" t="str">
        <x:f>TEXT(C269,"yyyy-mm")</x:f>
        <x:v>2025-06</x:v>
      </x:c>
      <x:c r="Q269" s="4" t="str">
        <x:f>TEXT(C269,"mmmm")</x:f>
        <x:v>June</x:v>
      </x:c>
    </x:row>
    <x:row r="270" ht="20" customHeight="1">
      <x:c r="A270" s="4" t="inlineStr">
        <x:is>
          <x:t xml:space="preserve">LINE-00270</x:t>
        </x:is>
      </x:c>
      <x:c r="B270" s="4" t="inlineStr">
        <x:is>
          <x:t xml:space="preserve">ORD-2025-0177</x:t>
        </x:is>
      </x:c>
      <x:c r="C270" s="17" t="n">
        <x:v>45918</x:v>
      </x:c>
      <x:c r="D270" s="4" t="inlineStr">
        <x:is>
          <x:t xml:space="preserve">CUS-0273</x:t>
        </x:is>
      </x:c>
      <x:c r="E270" s="4" t="inlineStr">
        <x:is>
          <x:t xml:space="preserve">Laptop</x:t>
        </x:is>
      </x:c>
      <x:c r="F270" s="4" t="inlineStr">
        <x:is>
          <x:t xml:space="preserve">Computers</x:t>
        </x:is>
      </x:c>
      <x:c r="G270" s="4" t="inlineStr">
        <x:is>
          <x:t xml:space="preserve">Seattle</x:t>
        </x:is>
      </x:c>
      <x:c r="H270" s="18" t="n">
        <x:v>1</x:v>
      </x:c>
      <x:c r="I270" s="19" t="n">
        <x:v>976.42</x:v>
      </x:c>
      <x:c r="J270" s="20" t="n">
        <x:v>0.2</x:v>
      </x:c>
      <x:c r="K270" s="4" t="inlineStr">
        <x:is>
          <x:t xml:space="preserve">PayPal</x:t>
        </x:is>
      </x:c>
      <x:c r="L270" s="19" t="n">
        <x:v>976.42</x:v>
      </x:c>
      <x:c r="M270" s="19" t="n">
        <x:v>195.28</x:v>
      </x:c>
      <x:c r="N270" s="19" t="n">
        <x:v>781.14</x:v>
      </x:c>
      <x:c r="O270" s="4" t="n">
        <x:f>YEAR(C270)</x:f>
        <x:v>2025</x:v>
      </x:c>
      <x:c r="P270" s="4" t="str">
        <x:f>TEXT(C270,"yyyy-mm")</x:f>
        <x:v>2025-09</x:v>
      </x:c>
      <x:c r="Q270" s="4" t="str">
        <x:f>TEXT(C270,"mmmm")</x:f>
        <x:v>September</x:v>
      </x:c>
    </x:row>
    <x:row r="271" ht="20" customHeight="1">
      <x:c r="A271" s="4" t="inlineStr">
        <x:is>
          <x:t xml:space="preserve">LINE-00271</x:t>
        </x:is>
      </x:c>
      <x:c r="B271" s="4" t="inlineStr">
        <x:is>
          <x:t xml:space="preserve">ORD-2025-0178</x:t>
        </x:is>
      </x:c>
      <x:c r="C271" s="17" t="n">
        <x:v>45956</x:v>
      </x:c>
      <x:c r="D271" s="4" t="inlineStr">
        <x:is>
          <x:t xml:space="preserve">CUS-0158</x:t>
        </x:is>
      </x:c>
      <x:c r="E271" s="4" t="inlineStr">
        <x:is>
          <x:t xml:space="preserve">USB-C Hub</x:t>
        </x:is>
      </x:c>
      <x:c r="F271" s="4" t="inlineStr">
        <x:is>
          <x:t xml:space="preserve">Accessories</x:t>
        </x:is>
      </x:c>
      <x:c r="G271" s="4" t="inlineStr">
        <x:is>
          <x:t xml:space="preserve">San Francisco</x:t>
        </x:is>
      </x:c>
      <x:c r="H271" s="18" t="n">
        <x:v>3</x:v>
      </x:c>
      <x:c r="I271" s="19" t="n">
        <x:v>67.87</x:v>
      </x:c>
      <x:c r="J271" s="20" t="n">
        <x:v>0.05</x:v>
      </x:c>
      <x:c r="K271" s="4" t="inlineStr">
        <x:is>
          <x:t xml:space="preserve">Credit Card</x:t>
        </x:is>
      </x:c>
      <x:c r="L271" s="19" t="n">
        <x:v>203.61</x:v>
      </x:c>
      <x:c r="M271" s="19" t="n">
        <x:v>10.18</x:v>
      </x:c>
      <x:c r="N271" s="19" t="n">
        <x:v>193.43</x:v>
      </x:c>
      <x:c r="O271" s="4" t="n">
        <x:f>YEAR(C271)</x:f>
        <x:v>2025</x:v>
      </x:c>
      <x:c r="P271" s="4" t="str">
        <x:f>TEXT(C271,"yyyy-mm")</x:f>
        <x:v>2025-10</x:v>
      </x:c>
      <x:c r="Q271" s="4" t="str">
        <x:f>TEXT(C271,"mmmm")</x:f>
        <x:v>October</x:v>
      </x:c>
    </x:row>
    <x:row r="272" ht="20" customHeight="1">
      <x:c r="A272" s="4" t="inlineStr">
        <x:is>
          <x:t xml:space="preserve">LINE-00272</x:t>
        </x:is>
      </x:c>
      <x:c r="B272" s="4" t="inlineStr">
        <x:is>
          <x:t xml:space="preserve">ORD-2025-0178</x:t>
        </x:is>
      </x:c>
      <x:c r="C272" s="17" t="n">
        <x:v>45956</x:v>
      </x:c>
      <x:c r="D272" s="4" t="inlineStr">
        <x:is>
          <x:t xml:space="preserve">CUS-0158</x:t>
        </x:is>
      </x:c>
      <x:c r="E272" s="4" t="inlineStr">
        <x:is>
          <x:t xml:space="preserve">Office Chair</x:t>
        </x:is>
      </x:c>
      <x:c r="F272" s="4" t="inlineStr">
        <x:is>
          <x:t xml:space="preserve">Furniture</x:t>
        </x:is>
      </x:c>
      <x:c r="G272" s="4" t="inlineStr">
        <x:is>
          <x:t xml:space="preserve">San Francisco</x:t>
        </x:is>
      </x:c>
      <x:c r="H272" s="18" t="n">
        <x:v>3</x:v>
      </x:c>
      <x:c r="I272" s="19" t="n">
        <x:v>243.21</x:v>
      </x:c>
      <x:c r="J272" s="20" t="n">
        <x:v>0</x:v>
      </x:c>
      <x:c r="K272" s="4" t="inlineStr">
        <x:is>
          <x:t xml:space="preserve">Credit Card</x:t>
        </x:is>
      </x:c>
      <x:c r="L272" s="19" t="n">
        <x:v>729.63</x:v>
      </x:c>
      <x:c r="M272" s="19" t="n">
        <x:v>0</x:v>
      </x:c>
      <x:c r="N272" s="19" t="n">
        <x:v>729.63</x:v>
      </x:c>
      <x:c r="O272" s="4" t="n">
        <x:f>YEAR(C272)</x:f>
        <x:v>2025</x:v>
      </x:c>
      <x:c r="P272" s="4" t="str">
        <x:f>TEXT(C272,"yyyy-mm")</x:f>
        <x:v>2025-10</x:v>
      </x:c>
      <x:c r="Q272" s="4" t="str">
        <x:f>TEXT(C272,"mmmm")</x:f>
        <x:v>October</x:v>
      </x:c>
    </x:row>
    <x:row r="273" ht="20" customHeight="1">
      <x:c r="A273" s="4" t="inlineStr">
        <x:is>
          <x:t xml:space="preserve">LINE-00273</x:t>
        </x:is>
      </x:c>
      <x:c r="B273" s="4" t="inlineStr">
        <x:is>
          <x:t xml:space="preserve">ORD-2025-0179</x:t>
        </x:is>
      </x:c>
      <x:c r="C273" s="17" t="n">
        <x:v>45980</x:v>
      </x:c>
      <x:c r="D273" s="4" t="inlineStr">
        <x:is>
          <x:t xml:space="preserve">CUS-0318</x:t>
        </x:is>
      </x:c>
      <x:c r="E273" s="4" t="inlineStr">
        <x:is>
          <x:t xml:space="preserve">Wireless Mouse</x:t>
        </x:is>
      </x:c>
      <x:c r="F273" s="4" t="inlineStr">
        <x:is>
          <x:t xml:space="preserve">Accessories</x:t>
        </x:is>
      </x:c>
      <x:c r="G273" s="4" t="inlineStr">
        <x:is>
          <x:t xml:space="preserve">Seattle</x:t>
        </x:is>
      </x:c>
      <x:c r="H273" s="18" t="n">
        <x:v>2</x:v>
      </x:c>
      <x:c r="I273" s="19" t="n">
        <x:v>46.44</x:v>
      </x:c>
      <x:c r="J273" s="20" t="n">
        <x:v>0</x:v>
      </x:c>
      <x:c r="K273" s="4" t="inlineStr">
        <x:is>
          <x:t xml:space="preserve">Debit Card</x:t>
        </x:is>
      </x:c>
      <x:c r="L273" s="19" t="n">
        <x:v>92.88</x:v>
      </x:c>
      <x:c r="M273" s="19" t="n">
        <x:v>0</x:v>
      </x:c>
      <x:c r="N273" s="19" t="n">
        <x:v>92.88</x:v>
      </x:c>
      <x:c r="O273" s="4" t="n">
        <x:f>YEAR(C273)</x:f>
        <x:v>2025</x:v>
      </x:c>
      <x:c r="P273" s="4" t="str">
        <x:f>TEXT(C273,"yyyy-mm")</x:f>
        <x:v>2025-11</x:v>
      </x:c>
      <x:c r="Q273" s="4" t="str">
        <x:f>TEXT(C273,"mmmm")</x:f>
        <x:v>November</x:v>
      </x:c>
    </x:row>
    <x:row r="274" ht="20" customHeight="1">
      <x:c r="A274" s="4" t="inlineStr">
        <x:is>
          <x:t xml:space="preserve">LINE-00274</x:t>
        </x:is>
      </x:c>
      <x:c r="B274" s="4" t="inlineStr">
        <x:is>
          <x:t xml:space="preserve">ORD-2025-0179</x:t>
        </x:is>
      </x:c>
      <x:c r="C274" s="17" t="n">
        <x:v>45980</x:v>
      </x:c>
      <x:c r="D274" s="4" t="inlineStr">
        <x:is>
          <x:t xml:space="preserve">CUS-0318</x:t>
        </x:is>
      </x:c>
      <x:c r="E274" s="4" t="inlineStr">
        <x:is>
          <x:t xml:space="preserve">Laptop</x:t>
        </x:is>
      </x:c>
      <x:c r="F274" s="4" t="inlineStr">
        <x:is>
          <x:t xml:space="preserve">Computers</x:t>
        </x:is>
      </x:c>
      <x:c r="G274" s="4" t="inlineStr">
        <x:is>
          <x:t xml:space="preserve">Seattle</x:t>
        </x:is>
      </x:c>
      <x:c r="H274" s="18" t="n">
        <x:v>2</x:v>
      </x:c>
      <x:c r="I274" s="19" t="n">
        <x:v>937.65</x:v>
      </x:c>
      <x:c r="J274" s="20" t="n">
        <x:v>0</x:v>
      </x:c>
      <x:c r="K274" s="4" t="inlineStr">
        <x:is>
          <x:t xml:space="preserve">Debit Card</x:t>
        </x:is>
      </x:c>
      <x:c r="L274" s="19" t="n">
        <x:v>1875.3</x:v>
      </x:c>
      <x:c r="M274" s="19" t="n">
        <x:v>0</x:v>
      </x:c>
      <x:c r="N274" s="19" t="n">
        <x:v>1875.3</x:v>
      </x:c>
      <x:c r="O274" s="4" t="n">
        <x:f>YEAR(C274)</x:f>
        <x:v>2025</x:v>
      </x:c>
      <x:c r="P274" s="4" t="str">
        <x:f>TEXT(C274,"yyyy-mm")</x:f>
        <x:v>2025-11</x:v>
      </x:c>
      <x:c r="Q274" s="4" t="str">
        <x:f>TEXT(C274,"mmmm")</x:f>
        <x:v>November</x:v>
      </x:c>
    </x:row>
    <x:row r="275" ht="20" customHeight="1">
      <x:c r="A275" s="4" t="inlineStr">
        <x:is>
          <x:t xml:space="preserve">LINE-00275</x:t>
        </x:is>
      </x:c>
      <x:c r="B275" s="4" t="inlineStr">
        <x:is>
          <x:t xml:space="preserve">ORD-2025-0180</x:t>
        </x:is>
      </x:c>
      <x:c r="C275" s="17" t="n">
        <x:v>45762</x:v>
      </x:c>
      <x:c r="D275" s="4" t="inlineStr">
        <x:is>
          <x:t xml:space="preserve">CUS-0211</x:t>
        </x:is>
      </x:c>
      <x:c r="E275" s="4" t="inlineStr">
        <x:is>
          <x:t xml:space="preserve">Desk Lamp</x:t>
        </x:is>
      </x:c>
      <x:c r="F275" s="4" t="inlineStr">
        <x:is>
          <x:t xml:space="preserve">Furniture</x:t>
        </x:is>
      </x:c>
      <x:c r="G275" s="4" t="inlineStr">
        <x:is>
          <x:t xml:space="preserve">Boston</x:t>
        </x:is>
      </x:c>
      <x:c r="H275" s="18" t="n">
        <x:v>2</x:v>
      </x:c>
      <x:c r="I275" s="19" t="n">
        <x:v>55.54</x:v>
      </x:c>
      <x:c r="J275" s="20" t="n">
        <x:v>0.2</x:v>
      </x:c>
      <x:c r="K275" s="4" t="inlineStr">
        <x:is>
          <x:t xml:space="preserve">Bank Transfer</x:t>
        </x:is>
      </x:c>
      <x:c r="L275" s="19" t="n">
        <x:v>111.08</x:v>
      </x:c>
      <x:c r="M275" s="19" t="n">
        <x:v>22.22</x:v>
      </x:c>
      <x:c r="N275" s="19" t="n">
        <x:v>88.86</x:v>
      </x:c>
      <x:c r="O275" s="4" t="n">
        <x:f>YEAR(C275)</x:f>
        <x:v>2025</x:v>
      </x:c>
      <x:c r="P275" s="4" t="str">
        <x:f>TEXT(C275,"yyyy-mm")</x:f>
        <x:v>2025-04</x:v>
      </x:c>
      <x:c r="Q275" s="4" t="str">
        <x:f>TEXT(C275,"mmmm")</x:f>
        <x:v>April</x:v>
      </x:c>
    </x:row>
    <x:row r="276" ht="20" customHeight="1">
      <x:c r="A276" s="4" t="inlineStr">
        <x:is>
          <x:t xml:space="preserve">LINE-00276</x:t>
        </x:is>
      </x:c>
      <x:c r="B276" s="4" t="inlineStr">
        <x:is>
          <x:t xml:space="preserve">ORD-2025-0180</x:t>
        </x:is>
      </x:c>
      <x:c r="C276" s="17" t="n">
        <x:v>45762</x:v>
      </x:c>
      <x:c r="D276" s="4" t="inlineStr">
        <x:is>
          <x:t xml:space="preserve">CUS-0211</x:t>
        </x:is>
      </x:c>
      <x:c r="E276" s="4" t="inlineStr">
        <x:is>
          <x:t xml:space="preserve">Laptop</x:t>
        </x:is>
      </x:c>
      <x:c r="F276" s="4" t="inlineStr">
        <x:is>
          <x:t xml:space="preserve">Computers</x:t>
        </x:is>
      </x:c>
      <x:c r="G276" s="4" t="inlineStr">
        <x:is>
          <x:t xml:space="preserve">Boston</x:t>
        </x:is>
      </x:c>
      <x:c r="H276" s="18" t="n">
        <x:v>2</x:v>
      </x:c>
      <x:c r="I276" s="19" t="n">
        <x:v>931.28</x:v>
      </x:c>
      <x:c r="J276" s="20" t="n">
        <x:v>0.15</x:v>
      </x:c>
      <x:c r="K276" s="4" t="inlineStr">
        <x:is>
          <x:t xml:space="preserve">Bank Transfer</x:t>
        </x:is>
      </x:c>
      <x:c r="L276" s="19" t="n">
        <x:v>1862.56</x:v>
      </x:c>
      <x:c r="M276" s="19" t="n">
        <x:v>279.38</x:v>
      </x:c>
      <x:c r="N276" s="19" t="n">
        <x:v>1583.18</x:v>
      </x:c>
      <x:c r="O276" s="4" t="n">
        <x:f>YEAR(C276)</x:f>
        <x:v>2025</x:v>
      </x:c>
      <x:c r="P276" s="4" t="str">
        <x:f>TEXT(C276,"yyyy-mm")</x:f>
        <x:v>2025-04</x:v>
      </x:c>
      <x:c r="Q276" s="4" t="str">
        <x:f>TEXT(C276,"mmmm")</x:f>
        <x:v>April</x:v>
      </x:c>
    </x:row>
    <x:row r="277" ht="20" customHeight="1">
      <x:c r="A277" s="4" t="inlineStr">
        <x:is>
          <x:t xml:space="preserve">LINE-00277</x:t>
        </x:is>
      </x:c>
      <x:c r="B277" s="4" t="inlineStr">
        <x:is>
          <x:t xml:space="preserve">ORD-2025-0180</x:t>
        </x:is>
      </x:c>
      <x:c r="C277" s="17" t="n">
        <x:v>45762</x:v>
      </x:c>
      <x:c r="D277" s="4" t="inlineStr">
        <x:is>
          <x:t xml:space="preserve">CUS-0211</x:t>
        </x:is>
      </x:c>
      <x:c r="E277" s="4" t="inlineStr">
        <x:is>
          <x:t xml:space="preserve">Keyboard</x:t>
        </x:is>
      </x:c>
      <x:c r="F277" s="4" t="inlineStr">
        <x:is>
          <x:t xml:space="preserve">Accessories</x:t>
        </x:is>
      </x:c>
      <x:c r="G277" s="4" t="inlineStr">
        <x:is>
          <x:t xml:space="preserve">Boston</x:t>
        </x:is>
      </x:c>
      <x:c r="H277" s="18" t="n">
        <x:v>2</x:v>
      </x:c>
      <x:c r="I277" s="19" t="n">
        <x:v>75.40000000000001</x:v>
      </x:c>
      <x:c r="J277" s="20" t="n">
        <x:v>0.05</x:v>
      </x:c>
      <x:c r="K277" s="4" t="inlineStr">
        <x:is>
          <x:t xml:space="preserve">Bank Transfer</x:t>
        </x:is>
      </x:c>
      <x:c r="L277" s="19" t="n">
        <x:v>150.8</x:v>
      </x:c>
      <x:c r="M277" s="19" t="n">
        <x:v>7.54</x:v>
      </x:c>
      <x:c r="N277" s="19" t="n">
        <x:v>143.26</x:v>
      </x:c>
      <x:c r="O277" s="4" t="n">
        <x:f>YEAR(C277)</x:f>
        <x:v>2025</x:v>
      </x:c>
      <x:c r="P277" s="4" t="str">
        <x:f>TEXT(C277,"yyyy-mm")</x:f>
        <x:v>2025-04</x:v>
      </x:c>
      <x:c r="Q277" s="4" t="str">
        <x:f>TEXT(C277,"mmmm")</x:f>
        <x:v>April</x:v>
      </x:c>
    </x:row>
    <x:row r="278" ht="20" customHeight="1">
      <x:c r="A278" s="4" t="inlineStr">
        <x:is>
          <x:t xml:space="preserve">LINE-00278</x:t>
        </x:is>
      </x:c>
      <x:c r="B278" s="4" t="inlineStr">
        <x:is>
          <x:t xml:space="preserve">ORD-2025-0181</x:t>
        </x:is>
      </x:c>
      <x:c r="C278" s="17" t="n">
        <x:v>46004</x:v>
      </x:c>
      <x:c r="D278" s="4" t="inlineStr">
        <x:is>
          <x:t xml:space="preserve">CUS-0349</x:t>
        </x:is>
      </x:c>
      <x:c r="E278" s="4" t="inlineStr">
        <x:is>
          <x:t xml:space="preserve">Wireless Mouse</x:t>
        </x:is>
      </x:c>
      <x:c r="F278" s="4" t="inlineStr">
        <x:is>
          <x:t xml:space="preserve">Accessories</x:t>
        </x:is>
      </x:c>
      <x:c r="G278" s="4" t="inlineStr">
        <x:is>
          <x:t xml:space="preserve">San Francisco</x:t>
        </x:is>
      </x:c>
      <x:c r="H278" s="18" t="n">
        <x:v>1</x:v>
      </x:c>
      <x:c r="I278" s="19" t="n">
        <x:v>43.55</x:v>
      </x:c>
      <x:c r="J278" s="20" t="n">
        <x:v>0.15</x:v>
      </x:c>
      <x:c r="K278" s="4" t="inlineStr">
        <x:is>
          <x:t xml:space="preserve">PayPal</x:t>
        </x:is>
      </x:c>
      <x:c r="L278" s="19" t="n">
        <x:v>43.55</x:v>
      </x:c>
      <x:c r="M278" s="19" t="n">
        <x:v>6.53</x:v>
      </x:c>
      <x:c r="N278" s="19" t="n">
        <x:v>37.02</x:v>
      </x:c>
      <x:c r="O278" s="4" t="n">
        <x:f>YEAR(C278)</x:f>
        <x:v>2025</x:v>
      </x:c>
      <x:c r="P278" s="4" t="str">
        <x:f>TEXT(C278,"yyyy-mm")</x:f>
        <x:v>2025-12</x:v>
      </x:c>
      <x:c r="Q278" s="4" t="str">
        <x:f>TEXT(C278,"mmmm")</x:f>
        <x:v>December</x:v>
      </x:c>
    </x:row>
    <x:row r="279" ht="20" customHeight="1">
      <x:c r="A279" s="4" t="inlineStr">
        <x:is>
          <x:t xml:space="preserve">LINE-00279</x:t>
        </x:is>
      </x:c>
      <x:c r="B279" s="4" t="inlineStr">
        <x:is>
          <x:t xml:space="preserve">ORD-2025-0181</x:t>
        </x:is>
      </x:c>
      <x:c r="C279" s="17" t="n">
        <x:v>46004</x:v>
      </x:c>
      <x:c r="D279" s="4" t="inlineStr">
        <x:is>
          <x:t xml:space="preserve">CUS-0349</x:t>
        </x:is>
      </x:c>
      <x:c r="E279" s="4" t="inlineStr">
        <x:is>
          <x:t xml:space="preserve">Desk Lamp</x:t>
        </x:is>
      </x:c>
      <x:c r="F279" s="4" t="inlineStr">
        <x:is>
          <x:t xml:space="preserve">Furniture</x:t>
        </x:is>
      </x:c>
      <x:c r="G279" s="4" t="inlineStr">
        <x:is>
          <x:t xml:space="preserve">San Francisco</x:t>
        </x:is>
      </x:c>
      <x:c r="H279" s="18" t="n">
        <x:v>5</x:v>
      </x:c>
      <x:c r="I279" s="19" t="n">
        <x:v>57.39</x:v>
      </x:c>
      <x:c r="J279" s="20" t="n">
        <x:v>0.1</x:v>
      </x:c>
      <x:c r="K279" s="4" t="inlineStr">
        <x:is>
          <x:t xml:space="preserve">PayPal</x:t>
        </x:is>
      </x:c>
      <x:c r="L279" s="19" t="n">
        <x:v>286.95</x:v>
      </x:c>
      <x:c r="M279" s="19" t="n">
        <x:v>28.7</x:v>
      </x:c>
      <x:c r="N279" s="19" t="n">
        <x:v>258.25</x:v>
      </x:c>
      <x:c r="O279" s="4" t="n">
        <x:f>YEAR(C279)</x:f>
        <x:v>2025</x:v>
      </x:c>
      <x:c r="P279" s="4" t="str">
        <x:f>TEXT(C279,"yyyy-mm")</x:f>
        <x:v>2025-12</x:v>
      </x:c>
      <x:c r="Q279" s="4" t="str">
        <x:f>TEXT(C279,"mmmm")</x:f>
        <x:v>December</x:v>
      </x:c>
    </x:row>
    <x:row r="280" ht="20" customHeight="1">
      <x:c r="A280" s="4" t="inlineStr">
        <x:is>
          <x:t xml:space="preserve">LINE-00280</x:t>
        </x:is>
      </x:c>
      <x:c r="B280" s="4" t="inlineStr">
        <x:is>
          <x:t xml:space="preserve">ORD-2025-0182</x:t>
        </x:is>
      </x:c>
      <x:c r="C280" s="17" t="n">
        <x:v>46011</x:v>
      </x:c>
      <x:c r="D280" s="4" t="inlineStr">
        <x:is>
          <x:t xml:space="preserve">CUS-0251</x:t>
        </x:is>
      </x:c>
      <x:c r="E280" s="4" t="inlineStr">
        <x:is>
          <x:t xml:space="preserve">Desk Lamp</x:t>
        </x:is>
      </x:c>
      <x:c r="F280" s="4" t="inlineStr">
        <x:is>
          <x:t xml:space="preserve">Furniture</x:t>
        </x:is>
      </x:c>
      <x:c r="G280" s="4" t="inlineStr">
        <x:is>
          <x:t xml:space="preserve">Austin</x:t>
        </x:is>
      </x:c>
      <x:c r="H280" s="18" t="n">
        <x:v>1</x:v>
      </x:c>
      <x:c r="I280" s="19" t="n">
        <x:v>51.67</x:v>
      </x:c>
      <x:c r="J280" s="20" t="n">
        <x:v>0.05</x:v>
      </x:c>
      <x:c r="K280" s="4" t="inlineStr">
        <x:is>
          <x:t xml:space="preserve">Bank Transfer</x:t>
        </x:is>
      </x:c>
      <x:c r="L280" s="19" t="n">
        <x:v>51.67</x:v>
      </x:c>
      <x:c r="M280" s="19" t="n">
        <x:v>2.58</x:v>
      </x:c>
      <x:c r="N280" s="19" t="n">
        <x:v>49.09</x:v>
      </x:c>
      <x:c r="O280" s="4" t="n">
        <x:f>YEAR(C280)</x:f>
        <x:v>2025</x:v>
      </x:c>
      <x:c r="P280" s="4" t="str">
        <x:f>TEXT(C280,"yyyy-mm")</x:f>
        <x:v>2025-12</x:v>
      </x:c>
      <x:c r="Q280" s="4" t="str">
        <x:f>TEXT(C280,"mmmm")</x:f>
        <x:v>December</x:v>
      </x:c>
    </x:row>
    <x:row r="281" ht="20" customHeight="1">
      <x:c r="A281" s="4" t="inlineStr">
        <x:is>
          <x:t xml:space="preserve">LINE-00281</x:t>
        </x:is>
      </x:c>
      <x:c r="B281" s="4" t="inlineStr">
        <x:is>
          <x:t xml:space="preserve">ORD-2025-0183</x:t>
        </x:is>
      </x:c>
      <x:c r="C281" s="17" t="n">
        <x:v>45852</x:v>
      </x:c>
      <x:c r="D281" s="4" t="inlineStr">
        <x:is>
          <x:t xml:space="preserve">CUS-0203</x:t>
        </x:is>
      </x:c>
      <x:c r="E281" s="4" t="inlineStr">
        <x:is>
          <x:t xml:space="preserve">USB-C Hub</x:t>
        </x:is>
      </x:c>
      <x:c r="F281" s="4" t="inlineStr">
        <x:is>
          <x:t xml:space="preserve">Accessories</x:t>
        </x:is>
      </x:c>
      <x:c r="G281" s="4" t="inlineStr">
        <x:is>
          <x:t xml:space="preserve">Austin</x:t>
        </x:is>
      </x:c>
      <x:c r="H281" s="18" t="n">
        <x:v>5</x:v>
      </x:c>
      <x:c r="I281" s="19" t="n">
        <x:v>60.62</x:v>
      </x:c>
      <x:c r="J281" s="20" t="n">
        <x:v>0.15</x:v>
      </x:c>
      <x:c r="K281" s="4" t="inlineStr">
        <x:is>
          <x:t xml:space="preserve">Debit Card</x:t>
        </x:is>
      </x:c>
      <x:c r="L281" s="19" t="n">
        <x:v>303.1</x:v>
      </x:c>
      <x:c r="M281" s="19" t="n">
        <x:v>45.46</x:v>
      </x:c>
      <x:c r="N281" s="19" t="n">
        <x:v>257.64</x:v>
      </x:c>
      <x:c r="O281" s="4" t="n">
        <x:f>YEAR(C281)</x:f>
        <x:v>2025</x:v>
      </x:c>
      <x:c r="P281" s="4" t="str">
        <x:f>TEXT(C281,"yyyy-mm")</x:f>
        <x:v>2025-07</x:v>
      </x:c>
      <x:c r="Q281" s="4" t="str">
        <x:f>TEXT(C281,"mmmm")</x:f>
        <x:v>July</x:v>
      </x:c>
    </x:row>
    <x:row r="282" ht="20" customHeight="1">
      <x:c r="A282" s="4" t="inlineStr">
        <x:is>
          <x:t xml:space="preserve">LINE-00282</x:t>
        </x:is>
      </x:c>
      <x:c r="B282" s="4" t="inlineStr">
        <x:is>
          <x:t xml:space="preserve">ORD-2025-0184</x:t>
        </x:is>
      </x:c>
      <x:c r="C282" s="17" t="n">
        <x:v>45993</x:v>
      </x:c>
      <x:c r="D282" s="4" t="inlineStr">
        <x:is>
          <x:t xml:space="preserve">CUS-0132</x:t>
        </x:is>
      </x:c>
      <x:c r="E282" s="4" t="inlineStr">
        <x:is>
          <x:t xml:space="preserve">External SSD</x:t>
        </x:is>
      </x:c>
      <x:c r="F282" s="4" t="inlineStr">
        <x:is>
          <x:t xml:space="preserve">Storage</x:t>
        </x:is>
      </x:c>
      <x:c r="G282" s="4" t="inlineStr">
        <x:is>
          <x:t xml:space="preserve">San Francisco</x:t>
        </x:is>
      </x:c>
      <x:c r="H282" s="18" t="n">
        <x:v>1</x:v>
      </x:c>
      <x:c r="I282" s="19" t="n">
        <x:v>151.49</x:v>
      </x:c>
      <x:c r="J282" s="20" t="n">
        <x:v>0</x:v>
      </x:c>
      <x:c r="K282" s="4" t="inlineStr">
        <x:is>
          <x:t xml:space="preserve">Bank Transfer</x:t>
        </x:is>
      </x:c>
      <x:c r="L282" s="19" t="n">
        <x:v>151.49</x:v>
      </x:c>
      <x:c r="M282" s="19" t="n">
        <x:v>0</x:v>
      </x:c>
      <x:c r="N282" s="19" t="n">
        <x:v>151.49</x:v>
      </x:c>
      <x:c r="O282" s="4" t="n">
        <x:f>YEAR(C282)</x:f>
        <x:v>2025</x:v>
      </x:c>
      <x:c r="P282" s="4" t="str">
        <x:f>TEXT(C282,"yyyy-mm")</x:f>
        <x:v>2025-12</x:v>
      </x:c>
      <x:c r="Q282" s="4" t="str">
        <x:f>TEXT(C282,"mmmm")</x:f>
        <x:v>December</x:v>
      </x:c>
    </x:row>
    <x:row r="283" ht="20" customHeight="1">
      <x:c r="A283" s="4" t="inlineStr">
        <x:is>
          <x:t xml:space="preserve">LINE-00283</x:t>
        </x:is>
      </x:c>
      <x:c r="B283" s="4" t="inlineStr">
        <x:is>
          <x:t xml:space="preserve">ORD-2025-0185</x:t>
        </x:is>
      </x:c>
      <x:c r="C283" s="17" t="n">
        <x:v>45713</x:v>
      </x:c>
      <x:c r="D283" s="4" t="inlineStr">
        <x:is>
          <x:t xml:space="preserve">CUS-0316</x:t>
        </x:is>
      </x:c>
      <x:c r="E283" s="4" t="inlineStr">
        <x:is>
          <x:t xml:space="preserve">Office Chair</x:t>
        </x:is>
      </x:c>
      <x:c r="F283" s="4" t="inlineStr">
        <x:is>
          <x:t xml:space="preserve">Furniture</x:t>
        </x:is>
      </x:c>
      <x:c r="G283" s="4" t="inlineStr">
        <x:is>
          <x:t xml:space="preserve">San Francisco</x:t>
        </x:is>
      </x:c>
      <x:c r="H283" s="18" t="n">
        <x:v>4</x:v>
      </x:c>
      <x:c r="I283" s="19" t="n">
        <x:v>229.47</x:v>
      </x:c>
      <x:c r="J283" s="20" t="n">
        <x:v>0</x:v>
      </x:c>
      <x:c r="K283" s="4" t="inlineStr">
        <x:is>
          <x:t xml:space="preserve">Debit Card</x:t>
        </x:is>
      </x:c>
      <x:c r="L283" s="19" t="n">
        <x:v>917.88</x:v>
      </x:c>
      <x:c r="M283" s="19" t="n">
        <x:v>0</x:v>
      </x:c>
      <x:c r="N283" s="19" t="n">
        <x:v>917.88</x:v>
      </x:c>
      <x:c r="O283" s="4" t="n">
        <x:f>YEAR(C283)</x:f>
        <x:v>2025</x:v>
      </x:c>
      <x:c r="P283" s="4" t="str">
        <x:f>TEXT(C283,"yyyy-mm")</x:f>
        <x:v>2025-02</x:v>
      </x:c>
      <x:c r="Q283" s="4" t="str">
        <x:f>TEXT(C283,"mmmm")</x:f>
        <x:v>February</x:v>
      </x:c>
    </x:row>
    <x:row r="284" ht="20" customHeight="1">
      <x:c r="A284" s="4" t="inlineStr">
        <x:is>
          <x:t xml:space="preserve">LINE-00284</x:t>
        </x:is>
      </x:c>
      <x:c r="B284" s="4" t="inlineStr">
        <x:is>
          <x:t xml:space="preserve">ORD-2025-0186</x:t>
        </x:is>
      </x:c>
      <x:c r="C284" s="17" t="n">
        <x:v>45709</x:v>
      </x:c>
      <x:c r="D284" s="4" t="inlineStr">
        <x:is>
          <x:t xml:space="preserve">CUS-0212</x:t>
        </x:is>
      </x:c>
      <x:c r="E284" s="4" t="inlineStr">
        <x:is>
          <x:t xml:space="preserve">Keyboard</x:t>
        </x:is>
      </x:c>
      <x:c r="F284" s="4" t="inlineStr">
        <x:is>
          <x:t xml:space="preserve">Accessories</x:t>
        </x:is>
      </x:c>
      <x:c r="G284" s="4" t="inlineStr">
        <x:is>
          <x:t xml:space="preserve">Austin</x:t>
        </x:is>
      </x:c>
      <x:c r="H284" s="18" t="n">
        <x:v>1</x:v>
      </x:c>
      <x:c r="I284" s="19" t="n">
        <x:v>75.59999999999999</x:v>
      </x:c>
      <x:c r="J284" s="20" t="n">
        <x:v>0.15</x:v>
      </x:c>
      <x:c r="K284" s="4" t="inlineStr">
        <x:is>
          <x:t xml:space="preserve">Bank Transfer</x:t>
        </x:is>
      </x:c>
      <x:c r="L284" s="19" t="n">
        <x:v>75.59999999999999</x:v>
      </x:c>
      <x:c r="M284" s="19" t="n">
        <x:v>11.34</x:v>
      </x:c>
      <x:c r="N284" s="19" t="n">
        <x:v>64.26000000000001</x:v>
      </x:c>
      <x:c r="O284" s="4" t="n">
        <x:f>YEAR(C284)</x:f>
        <x:v>2025</x:v>
      </x:c>
      <x:c r="P284" s="4" t="str">
        <x:f>TEXT(C284,"yyyy-mm")</x:f>
        <x:v>2025-02</x:v>
      </x:c>
      <x:c r="Q284" s="4" t="str">
        <x:f>TEXT(C284,"mmmm")</x:f>
        <x:v>February</x:v>
      </x:c>
    </x:row>
    <x:row r="285" ht="20" customHeight="1">
      <x:c r="A285" s="4" t="inlineStr">
        <x:is>
          <x:t xml:space="preserve">LINE-00285</x:t>
        </x:is>
      </x:c>
      <x:c r="B285" s="4" t="inlineStr">
        <x:is>
          <x:t xml:space="preserve">ORD-2025-0187</x:t>
        </x:is>
      </x:c>
      <x:c r="C285" s="17" t="n">
        <x:v>45866</x:v>
      </x:c>
      <x:c r="D285" s="4" t="inlineStr">
        <x:is>
          <x:t xml:space="preserve">CUS-0335</x:t>
        </x:is>
      </x:c>
      <x:c r="E285" s="4" t="inlineStr">
        <x:is>
          <x:t xml:space="preserve">USB-C Hub</x:t>
        </x:is>
      </x:c>
      <x:c r="F285" s="4" t="inlineStr">
        <x:is>
          <x:t xml:space="preserve">Accessories</x:t>
        </x:is>
      </x:c>
      <x:c r="G285" s="4" t="inlineStr">
        <x:is>
          <x:t xml:space="preserve">Seattle</x:t>
        </x:is>
      </x:c>
      <x:c r="H285" s="18" t="n">
        <x:v>1</x:v>
      </x:c>
      <x:c r="I285" s="19" t="n">
        <x:v>60.42</x:v>
      </x:c>
      <x:c r="J285" s="20" t="n">
        <x:v>0.1</x:v>
      </x:c>
      <x:c r="K285" s="4" t="inlineStr">
        <x:is>
          <x:t xml:space="preserve">Bank Transfer</x:t>
        </x:is>
      </x:c>
      <x:c r="L285" s="19" t="n">
        <x:v>60.42</x:v>
      </x:c>
      <x:c r="M285" s="19" t="n">
        <x:v>6.04</x:v>
      </x:c>
      <x:c r="N285" s="19" t="n">
        <x:v>54.38</x:v>
      </x:c>
      <x:c r="O285" s="4" t="n">
        <x:f>YEAR(C285)</x:f>
        <x:v>2025</x:v>
      </x:c>
      <x:c r="P285" s="4" t="str">
        <x:f>TEXT(C285,"yyyy-mm")</x:f>
        <x:v>2025-07</x:v>
      </x:c>
      <x:c r="Q285" s="4" t="str">
        <x:f>TEXT(C285,"mmmm")</x:f>
        <x:v>July</x:v>
      </x:c>
    </x:row>
    <x:row r="286" ht="20" customHeight="1">
      <x:c r="A286" s="4" t="inlineStr">
        <x:is>
          <x:t xml:space="preserve">LINE-00286</x:t>
        </x:is>
      </x:c>
      <x:c r="B286" s="4" t="inlineStr">
        <x:is>
          <x:t xml:space="preserve">ORD-2025-0187</x:t>
        </x:is>
      </x:c>
      <x:c r="C286" s="17" t="n">
        <x:v>45866</x:v>
      </x:c>
      <x:c r="D286" s="4" t="inlineStr">
        <x:is>
          <x:t xml:space="preserve">CUS-0335</x:t>
        </x:is>
      </x:c>
      <x:c r="E286" s="4" t="inlineStr">
        <x:is>
          <x:t xml:space="preserve">Webcam</x:t>
        </x:is>
      </x:c>
      <x:c r="F286" s="4" t="inlineStr">
        <x:is>
          <x:t xml:space="preserve">Accessories</x:t>
        </x:is>
      </x:c>
      <x:c r="G286" s="4" t="inlineStr">
        <x:is>
          <x:t xml:space="preserve">Seattle</x:t>
        </x:is>
      </x:c>
      <x:c r="H286" s="18" t="n">
        <x:v>2</x:v>
      </x:c>
      <x:c r="I286" s="19" t="n">
        <x:v>86.14</x:v>
      </x:c>
      <x:c r="J286" s="20" t="n">
        <x:v>0.1</x:v>
      </x:c>
      <x:c r="K286" s="4" t="inlineStr">
        <x:is>
          <x:t xml:space="preserve">Bank Transfer</x:t>
        </x:is>
      </x:c>
      <x:c r="L286" s="19" t="n">
        <x:v>172.28</x:v>
      </x:c>
      <x:c r="M286" s="19" t="n">
        <x:v>17.23</x:v>
      </x:c>
      <x:c r="N286" s="19" t="n">
        <x:v>155.05</x:v>
      </x:c>
      <x:c r="O286" s="4" t="n">
        <x:f>YEAR(C286)</x:f>
        <x:v>2025</x:v>
      </x:c>
      <x:c r="P286" s="4" t="str">
        <x:f>TEXT(C286,"yyyy-mm")</x:f>
        <x:v>2025-07</x:v>
      </x:c>
      <x:c r="Q286" s="4" t="str">
        <x:f>TEXT(C286,"mmmm")</x:f>
        <x:v>July</x:v>
      </x:c>
    </x:row>
    <x:row r="287" ht="20" customHeight="1">
      <x:c r="A287" s="4" t="inlineStr">
        <x:is>
          <x:t xml:space="preserve">LINE-00287</x:t>
        </x:is>
      </x:c>
      <x:c r="B287" s="4" t="inlineStr">
        <x:is>
          <x:t xml:space="preserve">ORD-2025-0188</x:t>
        </x:is>
      </x:c>
      <x:c r="C287" s="17" t="n">
        <x:v>45677</x:v>
      </x:c>
      <x:c r="D287" s="4" t="inlineStr">
        <x:is>
          <x:t xml:space="preserve">CUS-0090</x:t>
        </x:is>
      </x:c>
      <x:c r="E287" s="4" t="inlineStr">
        <x:is>
          <x:t xml:space="preserve">Laptop</x:t>
        </x:is>
      </x:c>
      <x:c r="F287" s="4" t="inlineStr">
        <x:is>
          <x:t xml:space="preserve">Computers</x:t>
        </x:is>
      </x:c>
      <x:c r="G287" s="4" t="inlineStr">
        <x:is>
          <x:t xml:space="preserve">Seattle</x:t>
        </x:is>
      </x:c>
      <x:c r="H287" s="18" t="n">
        <x:v>1</x:v>
      </x:c>
      <x:c r="I287" s="19" t="n">
        <x:v>987.85</x:v>
      </x:c>
      <x:c r="J287" s="20" t="n">
        <x:v>0.15</x:v>
      </x:c>
      <x:c r="K287" s="4" t="inlineStr">
        <x:is>
          <x:t xml:space="preserve">Debit Card</x:t>
        </x:is>
      </x:c>
      <x:c r="L287" s="19" t="n">
        <x:v>987.85</x:v>
      </x:c>
      <x:c r="M287" s="19" t="n">
        <x:v>148.18</x:v>
      </x:c>
      <x:c r="N287" s="19" t="n">
        <x:v>839.67</x:v>
      </x:c>
      <x:c r="O287" s="4" t="n">
        <x:f>YEAR(C287)</x:f>
        <x:v>2025</x:v>
      </x:c>
      <x:c r="P287" s="4" t="str">
        <x:f>TEXT(C287,"yyyy-mm")</x:f>
        <x:v>2025-01</x:v>
      </x:c>
      <x:c r="Q287" s="4" t="str">
        <x:f>TEXT(C287,"mmmm")</x:f>
        <x:v>January</x:v>
      </x:c>
    </x:row>
    <x:row r="288" ht="20" customHeight="1">
      <x:c r="A288" s="4" t="inlineStr">
        <x:is>
          <x:t xml:space="preserve">LINE-00288</x:t>
        </x:is>
      </x:c>
      <x:c r="B288" s="4" t="inlineStr">
        <x:is>
          <x:t xml:space="preserve">ORD-2025-0188</x:t>
        </x:is>
      </x:c>
      <x:c r="C288" s="17" t="n">
        <x:v>45677</x:v>
      </x:c>
      <x:c r="D288" s="4" t="inlineStr">
        <x:is>
          <x:t xml:space="preserve">CUS-0090</x:t>
        </x:is>
      </x:c>
      <x:c r="E288" s="4" t="inlineStr">
        <x:is>
          <x:t xml:space="preserve">Headphones</x:t>
        </x:is>
      </x:c>
      <x:c r="F288" s="4" t="inlineStr">
        <x:is>
          <x:t xml:space="preserve">Audio</x:t>
        </x:is>
      </x:c>
      <x:c r="G288" s="4" t="inlineStr">
        <x:is>
          <x:t xml:space="preserve">Seattle</x:t>
        </x:is>
      </x:c>
      <x:c r="H288" s="18" t="n">
        <x:v>1</x:v>
      </x:c>
      <x:c r="I288" s="19" t="n">
        <x:v>120.38</x:v>
      </x:c>
      <x:c r="J288" s="20" t="n">
        <x:v>0</x:v>
      </x:c>
      <x:c r="K288" s="4" t="inlineStr">
        <x:is>
          <x:t xml:space="preserve">Debit Card</x:t>
        </x:is>
      </x:c>
      <x:c r="L288" s="19" t="n">
        <x:v>120.38</x:v>
      </x:c>
      <x:c r="M288" s="19" t="n">
        <x:v>0</x:v>
      </x:c>
      <x:c r="N288" s="19" t="n">
        <x:v>120.38</x:v>
      </x:c>
      <x:c r="O288" s="4" t="n">
        <x:f>YEAR(C288)</x:f>
        <x:v>2025</x:v>
      </x:c>
      <x:c r="P288" s="4" t="str">
        <x:f>TEXT(C288,"yyyy-mm")</x:f>
        <x:v>2025-01</x:v>
      </x:c>
      <x:c r="Q288" s="4" t="str">
        <x:f>TEXT(C288,"mmmm")</x:f>
        <x:v>January</x:v>
      </x:c>
    </x:row>
    <x:row r="289" ht="20" customHeight="1">
      <x:c r="A289" s="4" t="inlineStr">
        <x:is>
          <x:t xml:space="preserve">LINE-00289</x:t>
        </x:is>
      </x:c>
      <x:c r="B289" s="4" t="inlineStr">
        <x:is>
          <x:t xml:space="preserve">ORD-2025-0188</x:t>
        </x:is>
      </x:c>
      <x:c r="C289" s="17" t="n">
        <x:v>45677</x:v>
      </x:c>
      <x:c r="D289" s="4" t="inlineStr">
        <x:is>
          <x:t xml:space="preserve">CUS-0090</x:t>
        </x:is>
      </x:c>
      <x:c r="E289" s="4" t="inlineStr">
        <x:is>
          <x:t xml:space="preserve">Bluetooth Speaker</x:t>
        </x:is>
      </x:c>
      <x:c r="F289" s="4" t="inlineStr">
        <x:is>
          <x:t xml:space="preserve">Audio</x:t>
        </x:is>
      </x:c>
      <x:c r="G289" s="4" t="inlineStr">
        <x:is>
          <x:t xml:space="preserve">Seattle</x:t>
        </x:is>
      </x:c>
      <x:c r="H289" s="18" t="n">
        <x:v>2</x:v>
      </x:c>
      <x:c r="I289" s="19" t="n">
        <x:v>117.54</x:v>
      </x:c>
      <x:c r="J289" s="20" t="n">
        <x:v>0</x:v>
      </x:c>
      <x:c r="K289" s="4" t="inlineStr">
        <x:is>
          <x:t xml:space="preserve">Debit Card</x:t>
        </x:is>
      </x:c>
      <x:c r="L289" s="19" t="n">
        <x:v>235.08</x:v>
      </x:c>
      <x:c r="M289" s="19" t="n">
        <x:v>0</x:v>
      </x:c>
      <x:c r="N289" s="19" t="n">
        <x:v>235.08</x:v>
      </x:c>
      <x:c r="O289" s="4" t="n">
        <x:f>YEAR(C289)</x:f>
        <x:v>2025</x:v>
      </x:c>
      <x:c r="P289" s="4" t="str">
        <x:f>TEXT(C289,"yyyy-mm")</x:f>
        <x:v>2025-01</x:v>
      </x:c>
      <x:c r="Q289" s="4" t="str">
        <x:f>TEXT(C289,"mmmm")</x:f>
        <x:v>January</x:v>
      </x:c>
    </x:row>
    <x:row r="290" ht="20" customHeight="1">
      <x:c r="A290" s="4" t="inlineStr">
        <x:is>
          <x:t xml:space="preserve">LINE-00290</x:t>
        </x:is>
      </x:c>
      <x:c r="B290" s="4" t="inlineStr">
        <x:is>
          <x:t xml:space="preserve">ORD-2025-0189</x:t>
        </x:is>
      </x:c>
      <x:c r="C290" s="17" t="n">
        <x:v>45890</x:v>
      </x:c>
      <x:c r="D290" s="4" t="inlineStr">
        <x:is>
          <x:t xml:space="preserve">CUS-0329</x:t>
        </x:is>
      </x:c>
      <x:c r="E290" s="4" t="inlineStr">
        <x:is>
          <x:t xml:space="preserve">Keyboard</x:t>
        </x:is>
      </x:c>
      <x:c r="F290" s="4" t="inlineStr">
        <x:is>
          <x:t xml:space="preserve">Accessories</x:t>
        </x:is>
      </x:c>
      <x:c r="G290" s="4" t="inlineStr">
        <x:is>
          <x:t xml:space="preserve">Boston</x:t>
        </x:is>
      </x:c>
      <x:c r="H290" s="18" t="n">
        <x:v>1</x:v>
      </x:c>
      <x:c r="I290" s="19" t="n">
        <x:v>78.70999999999999</x:v>
      </x:c>
      <x:c r="J290" s="20" t="n">
        <x:v>0</x:v>
      </x:c>
      <x:c r="K290" s="4" t="inlineStr">
        <x:is>
          <x:t xml:space="preserve">Bank Transfer</x:t>
        </x:is>
      </x:c>
      <x:c r="L290" s="19" t="n">
        <x:v>78.70999999999999</x:v>
      </x:c>
      <x:c r="M290" s="19" t="n">
        <x:v>0</x:v>
      </x:c>
      <x:c r="N290" s="19" t="n">
        <x:v>78.70999999999999</x:v>
      </x:c>
      <x:c r="O290" s="4" t="n">
        <x:f>YEAR(C290)</x:f>
        <x:v>2025</x:v>
      </x:c>
      <x:c r="P290" s="4" t="str">
        <x:f>TEXT(C290,"yyyy-mm")</x:f>
        <x:v>2025-08</x:v>
      </x:c>
      <x:c r="Q290" s="4" t="str">
        <x:f>TEXT(C290,"mmmm")</x:f>
        <x:v>August</x:v>
      </x:c>
    </x:row>
    <x:row r="291" ht="20" customHeight="1">
      <x:c r="A291" s="4" t="inlineStr">
        <x:is>
          <x:t xml:space="preserve">LINE-00291</x:t>
        </x:is>
      </x:c>
      <x:c r="B291" s="4" t="inlineStr">
        <x:is>
          <x:t xml:space="preserve">ORD-2025-0189</x:t>
        </x:is>
      </x:c>
      <x:c r="C291" s="17" t="n">
        <x:v>45890</x:v>
      </x:c>
      <x:c r="D291" s="4" t="inlineStr">
        <x:is>
          <x:t xml:space="preserve">CUS-0329</x:t>
        </x:is>
      </x:c>
      <x:c r="E291" s="4" t="inlineStr">
        <x:is>
          <x:t xml:space="preserve">External SSD</x:t>
        </x:is>
      </x:c>
      <x:c r="F291" s="4" t="inlineStr">
        <x:is>
          <x:t xml:space="preserve">Storage</x:t>
        </x:is>
      </x:c>
      <x:c r="G291" s="4" t="inlineStr">
        <x:is>
          <x:t xml:space="preserve">Boston</x:t>
        </x:is>
      </x:c>
      <x:c r="H291" s="18" t="n">
        <x:v>3</x:v>
      </x:c>
      <x:c r="I291" s="19" t="n">
        <x:v>153.56</x:v>
      </x:c>
      <x:c r="J291" s="20" t="n">
        <x:v>0.1</x:v>
      </x:c>
      <x:c r="K291" s="4" t="inlineStr">
        <x:is>
          <x:t xml:space="preserve">Bank Transfer</x:t>
        </x:is>
      </x:c>
      <x:c r="L291" s="19" t="n">
        <x:v>460.68</x:v>
      </x:c>
      <x:c r="M291" s="19" t="n">
        <x:v>46.07</x:v>
      </x:c>
      <x:c r="N291" s="19" t="n">
        <x:v>414.61</x:v>
      </x:c>
      <x:c r="O291" s="4" t="n">
        <x:f>YEAR(C291)</x:f>
        <x:v>2025</x:v>
      </x:c>
      <x:c r="P291" s="4" t="str">
        <x:f>TEXT(C291,"yyyy-mm")</x:f>
        <x:v>2025-08</x:v>
      </x:c>
      <x:c r="Q291" s="4" t="str">
        <x:f>TEXT(C291,"mmmm")</x:f>
        <x:v>August</x:v>
      </x:c>
    </x:row>
    <x:row r="292" ht="20" customHeight="1">
      <x:c r="A292" s="4" t="inlineStr">
        <x:is>
          <x:t xml:space="preserve">LINE-00292</x:t>
        </x:is>
      </x:c>
      <x:c r="B292" s="4" t="inlineStr">
        <x:is>
          <x:t xml:space="preserve">ORD-2025-0189</x:t>
        </x:is>
      </x:c>
      <x:c r="C292" s="17" t="n">
        <x:v>45890</x:v>
      </x:c>
      <x:c r="D292" s="4" t="inlineStr">
        <x:is>
          <x:t xml:space="preserve">CUS-0329</x:t>
        </x:is>
      </x:c>
      <x:c r="E292" s="4" t="inlineStr">
        <x:is>
          <x:t xml:space="preserve">Bluetooth Speaker</x:t>
        </x:is>
      </x:c>
      <x:c r="F292" s="4" t="inlineStr">
        <x:is>
          <x:t xml:space="preserve">Audio</x:t>
        </x:is>
      </x:c>
      <x:c r="G292" s="4" t="inlineStr">
        <x:is>
          <x:t xml:space="preserve">Boston</x:t>
        </x:is>
      </x:c>
      <x:c r="H292" s="18" t="n">
        <x:v>1</x:v>
      </x:c>
      <x:c r="I292" s="19" t="n">
        <x:v>107.13</x:v>
      </x:c>
      <x:c r="J292" s="20" t="n">
        <x:v>0</x:v>
      </x:c>
      <x:c r="K292" s="4" t="inlineStr">
        <x:is>
          <x:t xml:space="preserve">Bank Transfer</x:t>
        </x:is>
      </x:c>
      <x:c r="L292" s="19" t="n">
        <x:v>107.13</x:v>
      </x:c>
      <x:c r="M292" s="19" t="n">
        <x:v>0</x:v>
      </x:c>
      <x:c r="N292" s="19" t="n">
        <x:v>107.13</x:v>
      </x:c>
      <x:c r="O292" s="4" t="n">
        <x:f>YEAR(C292)</x:f>
        <x:v>2025</x:v>
      </x:c>
      <x:c r="P292" s="4" t="str">
        <x:f>TEXT(C292,"yyyy-mm")</x:f>
        <x:v>2025-08</x:v>
      </x:c>
      <x:c r="Q292" s="4" t="str">
        <x:f>TEXT(C292,"mmmm")</x:f>
        <x:v>August</x:v>
      </x:c>
    </x:row>
    <x:row r="293" ht="20" customHeight="1">
      <x:c r="A293" s="4" t="inlineStr">
        <x:is>
          <x:t xml:space="preserve">LINE-00293</x:t>
        </x:is>
      </x:c>
      <x:c r="B293" s="4" t="inlineStr">
        <x:is>
          <x:t xml:space="preserve">ORD-2025-0190</x:t>
        </x:is>
      </x:c>
      <x:c r="C293" s="17" t="n">
        <x:v>46003</x:v>
      </x:c>
      <x:c r="D293" s="4" t="inlineStr">
        <x:is>
          <x:t xml:space="preserve">CUS-0099</x:t>
        </x:is>
      </x:c>
      <x:c r="E293" s="4" t="inlineStr">
        <x:is>
          <x:t xml:space="preserve">External SSD</x:t>
        </x:is>
      </x:c>
      <x:c r="F293" s="4" t="inlineStr">
        <x:is>
          <x:t xml:space="preserve">Storage</x:t>
        </x:is>
      </x:c>
      <x:c r="G293" s="4" t="inlineStr">
        <x:is>
          <x:t xml:space="preserve">Chicago</x:t>
        </x:is>
      </x:c>
      <x:c r="H293" s="18" t="n">
        <x:v>1</x:v>
      </x:c>
      <x:c r="I293" s="19" t="n">
        <x:v>154.06</x:v>
      </x:c>
      <x:c r="J293" s="20" t="n">
        <x:v>0</x:v>
      </x:c>
      <x:c r="K293" s="4" t="inlineStr">
        <x:is>
          <x:t xml:space="preserve">Bank Transfer</x:t>
        </x:is>
      </x:c>
      <x:c r="L293" s="19" t="n">
        <x:v>154.06</x:v>
      </x:c>
      <x:c r="M293" s="19" t="n">
        <x:v>0</x:v>
      </x:c>
      <x:c r="N293" s="19" t="n">
        <x:v>154.06</x:v>
      </x:c>
      <x:c r="O293" s="4" t="n">
        <x:f>YEAR(C293)</x:f>
        <x:v>2025</x:v>
      </x:c>
      <x:c r="P293" s="4" t="str">
        <x:f>TEXT(C293,"yyyy-mm")</x:f>
        <x:v>2025-12</x:v>
      </x:c>
      <x:c r="Q293" s="4" t="str">
        <x:f>TEXT(C293,"mmmm")</x:f>
        <x:v>December</x:v>
      </x:c>
    </x:row>
    <x:row r="294" ht="20" customHeight="1">
      <x:c r="A294" s="4" t="inlineStr">
        <x:is>
          <x:t xml:space="preserve">LINE-00294</x:t>
        </x:is>
      </x:c>
      <x:c r="B294" s="4" t="inlineStr">
        <x:is>
          <x:t xml:space="preserve">ORD-2025-0190</x:t>
        </x:is>
      </x:c>
      <x:c r="C294" s="17" t="n">
        <x:v>46003</x:v>
      </x:c>
      <x:c r="D294" s="4" t="inlineStr">
        <x:is>
          <x:t xml:space="preserve">CUS-0099</x:t>
        </x:is>
      </x:c>
      <x:c r="E294" s="4" t="inlineStr">
        <x:is>
          <x:t xml:space="preserve">Webcam</x:t>
        </x:is>
      </x:c>
      <x:c r="F294" s="4" t="inlineStr">
        <x:is>
          <x:t xml:space="preserve">Accessories</x:t>
        </x:is>
      </x:c>
      <x:c r="G294" s="4" t="inlineStr">
        <x:is>
          <x:t xml:space="preserve">Chicago</x:t>
        </x:is>
      </x:c>
      <x:c r="H294" s="18" t="n">
        <x:v>1</x:v>
      </x:c>
      <x:c r="I294" s="19" t="n">
        <x:v>87.45999999999999</x:v>
      </x:c>
      <x:c r="J294" s="20" t="n">
        <x:v>0</x:v>
      </x:c>
      <x:c r="K294" s="4" t="inlineStr">
        <x:is>
          <x:t xml:space="preserve">Bank Transfer</x:t>
        </x:is>
      </x:c>
      <x:c r="L294" s="19" t="n">
        <x:v>87.45999999999999</x:v>
      </x:c>
      <x:c r="M294" s="19" t="n">
        <x:v>0</x:v>
      </x:c>
      <x:c r="N294" s="19" t="n">
        <x:v>87.45999999999999</x:v>
      </x:c>
      <x:c r="O294" s="4" t="n">
        <x:f>YEAR(C294)</x:f>
        <x:v>2025</x:v>
      </x:c>
      <x:c r="P294" s="4" t="str">
        <x:f>TEXT(C294,"yyyy-mm")</x:f>
        <x:v>2025-12</x:v>
      </x:c>
      <x:c r="Q294" s="4" t="str">
        <x:f>TEXT(C294,"mmmm")</x:f>
        <x:v>December</x:v>
      </x:c>
    </x:row>
    <x:row r="295" ht="20" customHeight="1">
      <x:c r="A295" s="4" t="inlineStr">
        <x:is>
          <x:t xml:space="preserve">LINE-00295</x:t>
        </x:is>
      </x:c>
      <x:c r="B295" s="4" t="inlineStr">
        <x:is>
          <x:t xml:space="preserve">ORD-2025-0191</x:t>
        </x:is>
      </x:c>
      <x:c r="C295" s="17" t="n">
        <x:v>45791</x:v>
      </x:c>
      <x:c r="D295" s="4" t="inlineStr">
        <x:is>
          <x:t xml:space="preserve">CUS-0197</x:t>
        </x:is>
      </x:c>
      <x:c r="E295" s="4" t="inlineStr">
        <x:is>
          <x:t xml:space="preserve">Webcam</x:t>
        </x:is>
      </x:c>
      <x:c r="F295" s="4" t="inlineStr">
        <x:is>
          <x:t xml:space="preserve">Accessories</x:t>
        </x:is>
      </x:c>
      <x:c r="G295" s="4" t="inlineStr">
        <x:is>
          <x:t xml:space="preserve">Chicago</x:t>
        </x:is>
      </x:c>
      <x:c r="H295" s="18" t="n">
        <x:v>2</x:v>
      </x:c>
      <x:c r="I295" s="19" t="n">
        <x:v>91.05</x:v>
      </x:c>
      <x:c r="J295" s="20" t="n">
        <x:v>0</x:v>
      </x:c>
      <x:c r="K295" s="4" t="inlineStr">
        <x:is>
          <x:t xml:space="preserve">Bank Transfer</x:t>
        </x:is>
      </x:c>
      <x:c r="L295" s="19" t="n">
        <x:v>182.1</x:v>
      </x:c>
      <x:c r="M295" s="19" t="n">
        <x:v>0</x:v>
      </x:c>
      <x:c r="N295" s="19" t="n">
        <x:v>182.1</x:v>
      </x:c>
      <x:c r="O295" s="4" t="n">
        <x:f>YEAR(C295)</x:f>
        <x:v>2025</x:v>
      </x:c>
      <x:c r="P295" s="4" t="str">
        <x:f>TEXT(C295,"yyyy-mm")</x:f>
        <x:v>2025-05</x:v>
      </x:c>
      <x:c r="Q295" s="4" t="str">
        <x:f>TEXT(C295,"mmmm")</x:f>
        <x:v>May</x:v>
      </x:c>
    </x:row>
    <x:row r="296" ht="20" customHeight="1">
      <x:c r="A296" s="4" t="inlineStr">
        <x:is>
          <x:t xml:space="preserve">LINE-00296</x:t>
        </x:is>
      </x:c>
      <x:c r="B296" s="4" t="inlineStr">
        <x:is>
          <x:t xml:space="preserve">ORD-2025-0191</x:t>
        </x:is>
      </x:c>
      <x:c r="C296" s="17" t="n">
        <x:v>45791</x:v>
      </x:c>
      <x:c r="D296" s="4" t="inlineStr">
        <x:is>
          <x:t xml:space="preserve">CUS-0197</x:t>
        </x:is>
      </x:c>
      <x:c r="E296" s="4" t="inlineStr">
        <x:is>
          <x:t xml:space="preserve">USB-C Hub</x:t>
        </x:is>
      </x:c>
      <x:c r="F296" s="4" t="inlineStr">
        <x:is>
          <x:t xml:space="preserve">Accessories</x:t>
        </x:is>
      </x:c>
      <x:c r="G296" s="4" t="inlineStr">
        <x:is>
          <x:t xml:space="preserve">Chicago</x:t>
        </x:is>
      </x:c>
      <x:c r="H296" s="18" t="n">
        <x:v>1</x:v>
      </x:c>
      <x:c r="I296" s="19" t="n">
        <x:v>62.26</x:v>
      </x:c>
      <x:c r="J296" s="20" t="n">
        <x:v>0.05</x:v>
      </x:c>
      <x:c r="K296" s="4" t="inlineStr">
        <x:is>
          <x:t xml:space="preserve">Bank Transfer</x:t>
        </x:is>
      </x:c>
      <x:c r="L296" s="19" t="n">
        <x:v>62.26</x:v>
      </x:c>
      <x:c r="M296" s="19" t="n">
        <x:v>3.11</x:v>
      </x:c>
      <x:c r="N296" s="19" t="n">
        <x:v>59.15</x:v>
      </x:c>
      <x:c r="O296" s="4" t="n">
        <x:f>YEAR(C296)</x:f>
        <x:v>2025</x:v>
      </x:c>
      <x:c r="P296" s="4" t="str">
        <x:f>TEXT(C296,"yyyy-mm")</x:f>
        <x:v>2025-05</x:v>
      </x:c>
      <x:c r="Q296" s="4" t="str">
        <x:f>TEXT(C296,"mmmm")</x:f>
        <x:v>May</x:v>
      </x:c>
    </x:row>
    <x:row r="297" ht="20" customHeight="1">
      <x:c r="A297" s="4" t="inlineStr">
        <x:is>
          <x:t xml:space="preserve">LINE-00297</x:t>
        </x:is>
      </x:c>
      <x:c r="B297" s="4" t="inlineStr">
        <x:is>
          <x:t xml:space="preserve">ORD-2025-0192</x:t>
        </x:is>
      </x:c>
      <x:c r="C297" s="17" t="n">
        <x:v>45896</x:v>
      </x:c>
      <x:c r="D297" s="4" t="inlineStr">
        <x:is>
          <x:t xml:space="preserve">CUS-0158</x:t>
        </x:is>
      </x:c>
      <x:c r="E297" s="4" t="inlineStr">
        <x:is>
          <x:t xml:space="preserve">Desk Lamp</x:t>
        </x:is>
      </x:c>
      <x:c r="F297" s="4" t="inlineStr">
        <x:is>
          <x:t xml:space="preserve">Furniture</x:t>
        </x:is>
      </x:c>
      <x:c r="G297" s="4" t="inlineStr">
        <x:is>
          <x:t xml:space="preserve">Chicago</x:t>
        </x:is>
      </x:c>
      <x:c r="H297" s="18" t="n">
        <x:v>3</x:v>
      </x:c>
      <x:c r="I297" s="19" t="n">
        <x:v>56.22</x:v>
      </x:c>
      <x:c r="J297" s="20" t="n">
        <x:v>0.15</x:v>
      </x:c>
      <x:c r="K297" s="4" t="inlineStr">
        <x:is>
          <x:t xml:space="preserve">Bank Transfer</x:t>
        </x:is>
      </x:c>
      <x:c r="L297" s="19" t="n">
        <x:v>168.66</x:v>
      </x:c>
      <x:c r="M297" s="19" t="n">
        <x:v>25.3</x:v>
      </x:c>
      <x:c r="N297" s="19" t="n">
        <x:v>143.36</x:v>
      </x:c>
      <x:c r="O297" s="4" t="n">
        <x:f>YEAR(C297)</x:f>
        <x:v>2025</x:v>
      </x:c>
      <x:c r="P297" s="4" t="str">
        <x:f>TEXT(C297,"yyyy-mm")</x:f>
        <x:v>2025-08</x:v>
      </x:c>
      <x:c r="Q297" s="4" t="str">
        <x:f>TEXT(C297,"mmmm")</x:f>
        <x:v>August</x:v>
      </x:c>
    </x:row>
    <x:row r="298" ht="20" customHeight="1">
      <x:c r="A298" s="4" t="inlineStr">
        <x:is>
          <x:t xml:space="preserve">LINE-00298</x:t>
        </x:is>
      </x:c>
      <x:c r="B298" s="4" t="inlineStr">
        <x:is>
          <x:t xml:space="preserve">ORD-2025-0192</x:t>
        </x:is>
      </x:c>
      <x:c r="C298" s="17" t="n">
        <x:v>45896</x:v>
      </x:c>
      <x:c r="D298" s="4" t="inlineStr">
        <x:is>
          <x:t xml:space="preserve">CUS-0158</x:t>
        </x:is>
      </x:c>
      <x:c r="E298" s="4" t="inlineStr">
        <x:is>
          <x:t xml:space="preserve">USB-C Hub</x:t>
        </x:is>
      </x:c>
      <x:c r="F298" s="4" t="inlineStr">
        <x:is>
          <x:t xml:space="preserve">Accessories</x:t>
        </x:is>
      </x:c>
      <x:c r="G298" s="4" t="inlineStr">
        <x:is>
          <x:t xml:space="preserve">Chicago</x:t>
        </x:is>
      </x:c>
      <x:c r="H298" s="18" t="n">
        <x:v>1</x:v>
      </x:c>
      <x:c r="I298" s="19" t="n">
        <x:v>62.1</x:v>
      </x:c>
      <x:c r="J298" s="20" t="n">
        <x:v>0.15</x:v>
      </x:c>
      <x:c r="K298" s="4" t="inlineStr">
        <x:is>
          <x:t xml:space="preserve">Bank Transfer</x:t>
        </x:is>
      </x:c>
      <x:c r="L298" s="19" t="n">
        <x:v>62.1</x:v>
      </x:c>
      <x:c r="M298" s="19" t="n">
        <x:v>9.32</x:v>
      </x:c>
      <x:c r="N298" s="19" t="n">
        <x:v>52.78</x:v>
      </x:c>
      <x:c r="O298" s="4" t="n">
        <x:f>YEAR(C298)</x:f>
        <x:v>2025</x:v>
      </x:c>
      <x:c r="P298" s="4" t="str">
        <x:f>TEXT(C298,"yyyy-mm")</x:f>
        <x:v>2025-08</x:v>
      </x:c>
      <x:c r="Q298" s="4" t="str">
        <x:f>TEXT(C298,"mmmm")</x:f>
        <x:v>August</x:v>
      </x:c>
    </x:row>
    <x:row r="299" ht="20" customHeight="1">
      <x:c r="A299" s="4" t="inlineStr">
        <x:is>
          <x:t xml:space="preserve">LINE-00299</x:t>
        </x:is>
      </x:c>
      <x:c r="B299" s="4" t="inlineStr">
        <x:is>
          <x:t xml:space="preserve">ORD-2025-0193</x:t>
        </x:is>
      </x:c>
      <x:c r="C299" s="17" t="n">
        <x:v>45902</x:v>
      </x:c>
      <x:c r="D299" s="4" t="inlineStr">
        <x:is>
          <x:t xml:space="preserve">CUS-0079</x:t>
        </x:is>
      </x:c>
      <x:c r="E299" s="4" t="inlineStr">
        <x:is>
          <x:t xml:space="preserve">External SSD</x:t>
        </x:is>
      </x:c>
      <x:c r="F299" s="4" t="inlineStr">
        <x:is>
          <x:t xml:space="preserve">Storage</x:t>
        </x:is>
      </x:c>
      <x:c r="G299" s="4" t="inlineStr">
        <x:is>
          <x:t xml:space="preserve">Seattle</x:t>
        </x:is>
      </x:c>
      <x:c r="H299" s="18" t="n">
        <x:v>4</x:v>
      </x:c>
      <x:c r="I299" s="19" t="n">
        <x:v>156.18</x:v>
      </x:c>
      <x:c r="J299" s="20" t="n">
        <x:v>0.1</x:v>
      </x:c>
      <x:c r="K299" s="4" t="inlineStr">
        <x:is>
          <x:t xml:space="preserve">PayPal</x:t>
        </x:is>
      </x:c>
      <x:c r="L299" s="19" t="n">
        <x:v>624.72</x:v>
      </x:c>
      <x:c r="M299" s="19" t="n">
        <x:v>62.47</x:v>
      </x:c>
      <x:c r="N299" s="19" t="n">
        <x:v>562.25</x:v>
      </x:c>
      <x:c r="O299" s="4" t="n">
        <x:f>YEAR(C299)</x:f>
        <x:v>2025</x:v>
      </x:c>
      <x:c r="P299" s="4" t="str">
        <x:f>TEXT(C299,"yyyy-mm")</x:f>
        <x:v>2025-09</x:v>
      </x:c>
      <x:c r="Q299" s="4" t="str">
        <x:f>TEXT(C299,"mmmm")</x:f>
        <x:v>September</x:v>
      </x:c>
    </x:row>
    <x:row r="300" ht="20" customHeight="1">
      <x:c r="A300" s="4" t="inlineStr">
        <x:is>
          <x:t xml:space="preserve">LINE-00300</x:t>
        </x:is>
      </x:c>
      <x:c r="B300" s="4" t="inlineStr">
        <x:is>
          <x:t xml:space="preserve">ORD-2025-0194</x:t>
        </x:is>
      </x:c>
      <x:c r="C300" s="17" t="n">
        <x:v>45769</x:v>
      </x:c>
      <x:c r="D300" s="4" t="inlineStr">
        <x:is>
          <x:t xml:space="preserve">CUS-0127</x:t>
        </x:is>
      </x:c>
      <x:c r="E300" s="4" t="inlineStr">
        <x:is>
          <x:t xml:space="preserve">External SSD</x:t>
        </x:is>
      </x:c>
      <x:c r="F300" s="4" t="inlineStr">
        <x:is>
          <x:t xml:space="preserve">Storage</x:t>
        </x:is>
      </x:c>
      <x:c r="G300" s="4" t="inlineStr">
        <x:is>
          <x:t xml:space="preserve">San Francisco</x:t>
        </x:is>
      </x:c>
      <x:c r="H300" s="18" t="n">
        <x:v>1</x:v>
      </x:c>
      <x:c r="I300" s="19" t="n">
        <x:v>151.54</x:v>
      </x:c>
      <x:c r="J300" s="20" t="n">
        <x:v>0</x:v>
      </x:c>
      <x:c r="K300" s="4" t="inlineStr">
        <x:is>
          <x:t xml:space="preserve">Credit Card</x:t>
        </x:is>
      </x:c>
      <x:c r="L300" s="19" t="n">
        <x:v>151.54</x:v>
      </x:c>
      <x:c r="M300" s="19" t="n">
        <x:v>0</x:v>
      </x:c>
      <x:c r="N300" s="19" t="n">
        <x:v>151.54</x:v>
      </x:c>
      <x:c r="O300" s="4" t="n">
        <x:f>YEAR(C300)</x:f>
        <x:v>2025</x:v>
      </x:c>
      <x:c r="P300" s="4" t="str">
        <x:f>TEXT(C300,"yyyy-mm")</x:f>
        <x:v>2025-04</x:v>
      </x:c>
      <x:c r="Q300" s="4" t="str">
        <x:f>TEXT(C300,"mmmm")</x:f>
        <x:v>April</x:v>
      </x:c>
    </x:row>
    <x:row r="301" ht="20" customHeight="1">
      <x:c r="A301" s="4" t="inlineStr">
        <x:is>
          <x:t xml:space="preserve">LINE-00301</x:t>
        </x:is>
      </x:c>
      <x:c r="B301" s="4" t="inlineStr">
        <x:is>
          <x:t xml:space="preserve">ORD-2025-0194</x:t>
        </x:is>
      </x:c>
      <x:c r="C301" s="17" t="n">
        <x:v>45769</x:v>
      </x:c>
      <x:c r="D301" s="4" t="inlineStr">
        <x:is>
          <x:t xml:space="preserve">CUS-0127</x:t>
        </x:is>
      </x:c>
      <x:c r="E301" s="4" t="inlineStr">
        <x:is>
          <x:t xml:space="preserve">Webcam</x:t>
        </x:is>
      </x:c>
      <x:c r="F301" s="4" t="inlineStr">
        <x:is>
          <x:t xml:space="preserve">Accessories</x:t>
        </x:is>
      </x:c>
      <x:c r="G301" s="4" t="inlineStr">
        <x:is>
          <x:t xml:space="preserve">San Francisco</x:t>
        </x:is>
      </x:c>
      <x:c r="H301" s="18" t="n">
        <x:v>2</x:v>
      </x:c>
      <x:c r="I301" s="19" t="n">
        <x:v>90.08</x:v>
      </x:c>
      <x:c r="J301" s="20" t="n">
        <x:v>0.05</x:v>
      </x:c>
      <x:c r="K301" s="4" t="inlineStr">
        <x:is>
          <x:t xml:space="preserve">Credit Card</x:t>
        </x:is>
      </x:c>
      <x:c r="L301" s="19" t="n">
        <x:v>180.16</x:v>
      </x:c>
      <x:c r="M301" s="19" t="n">
        <x:v>9.01</x:v>
      </x:c>
      <x:c r="N301" s="19" t="n">
        <x:v>171.15</x:v>
      </x:c>
      <x:c r="O301" s="4" t="n">
        <x:f>YEAR(C301)</x:f>
        <x:v>2025</x:v>
      </x:c>
      <x:c r="P301" s="4" t="str">
        <x:f>TEXT(C301,"yyyy-mm")</x:f>
        <x:v>2025-04</x:v>
      </x:c>
      <x:c r="Q301" s="4" t="str">
        <x:f>TEXT(C301,"mmmm")</x:f>
        <x:v>April</x:v>
      </x:c>
    </x:row>
    <x:row r="302" ht="20" customHeight="1">
      <x:c r="A302" s="4" t="inlineStr">
        <x:is>
          <x:t xml:space="preserve">LINE-00302</x:t>
        </x:is>
      </x:c>
      <x:c r="B302" s="4" t="inlineStr">
        <x:is>
          <x:t xml:space="preserve">ORD-2025-0195</x:t>
        </x:is>
      </x:c>
      <x:c r="C302" s="17" t="n">
        <x:v>45734</x:v>
      </x:c>
      <x:c r="D302" s="4" t="inlineStr">
        <x:is>
          <x:t xml:space="preserve">CUS-0085</x:t>
        </x:is>
      </x:c>
      <x:c r="E302" s="4" t="inlineStr">
        <x:is>
          <x:t xml:space="preserve">Wireless Mouse</x:t>
        </x:is>
      </x:c>
      <x:c r="F302" s="4" t="inlineStr">
        <x:is>
          <x:t xml:space="preserve">Accessories</x:t>
        </x:is>
      </x:c>
      <x:c r="G302" s="4" t="inlineStr">
        <x:is>
          <x:t xml:space="preserve">Austin</x:t>
        </x:is>
      </x:c>
      <x:c r="H302" s="18" t="n">
        <x:v>3</x:v>
      </x:c>
      <x:c r="I302" s="19" t="n">
        <x:v>44.92</x:v>
      </x:c>
      <x:c r="J302" s="20" t="n">
        <x:v>0.15</x:v>
      </x:c>
      <x:c r="K302" s="4" t="inlineStr">
        <x:is>
          <x:t xml:space="preserve">Bank Transfer</x:t>
        </x:is>
      </x:c>
      <x:c r="L302" s="19" t="n">
        <x:v>134.76</x:v>
      </x:c>
      <x:c r="M302" s="19" t="n">
        <x:v>20.21</x:v>
      </x:c>
      <x:c r="N302" s="19" t="n">
        <x:v>114.55</x:v>
      </x:c>
      <x:c r="O302" s="4" t="n">
        <x:f>YEAR(C302)</x:f>
        <x:v>2025</x:v>
      </x:c>
      <x:c r="P302" s="4" t="str">
        <x:f>TEXT(C302,"yyyy-mm")</x:f>
        <x:v>2025-03</x:v>
      </x:c>
      <x:c r="Q302" s="4" t="str">
        <x:f>TEXT(C302,"mmmm")</x:f>
        <x:v>March</x:v>
      </x:c>
    </x:row>
    <x:row r="303" ht="20" customHeight="1">
      <x:c r="A303" s="4" t="inlineStr">
        <x:is>
          <x:t xml:space="preserve">LINE-00303</x:t>
        </x:is>
      </x:c>
      <x:c r="B303" s="4" t="inlineStr">
        <x:is>
          <x:t xml:space="preserve">ORD-2025-0196</x:t>
        </x:is>
      </x:c>
      <x:c r="C303" s="17" t="n">
        <x:v>45886</x:v>
      </x:c>
      <x:c r="D303" s="4" t="inlineStr">
        <x:is>
          <x:t xml:space="preserve">CUS-0029</x:t>
        </x:is>
      </x:c>
      <x:c r="E303" s="4" t="inlineStr">
        <x:is>
          <x:t xml:space="preserve">Bluetooth Speaker</x:t>
        </x:is>
      </x:c>
      <x:c r="F303" s="4" t="inlineStr">
        <x:is>
          <x:t xml:space="preserve">Audio</x:t>
        </x:is>
      </x:c>
      <x:c r="G303" s="4" t="inlineStr">
        <x:is>
          <x:t xml:space="preserve">Seattle</x:t>
        </x:is>
      </x:c>
      <x:c r="H303" s="18" t="n">
        <x:v>1</x:v>
      </x:c>
      <x:c r="I303" s="19" t="n">
        <x:v>109.34</x:v>
      </x:c>
      <x:c r="J303" s="20" t="n">
        <x:v>0.1</x:v>
      </x:c>
      <x:c r="K303" s="4" t="inlineStr">
        <x:is>
          <x:t xml:space="preserve">Debit Card</x:t>
        </x:is>
      </x:c>
      <x:c r="L303" s="19" t="n">
        <x:v>109.34</x:v>
      </x:c>
      <x:c r="M303" s="19" t="n">
        <x:v>10.93</x:v>
      </x:c>
      <x:c r="N303" s="19" t="n">
        <x:v>98.41</x:v>
      </x:c>
      <x:c r="O303" s="4" t="n">
        <x:f>YEAR(C303)</x:f>
        <x:v>2025</x:v>
      </x:c>
      <x:c r="P303" s="4" t="str">
        <x:f>TEXT(C303,"yyyy-mm")</x:f>
        <x:v>2025-08</x:v>
      </x:c>
      <x:c r="Q303" s="4" t="str">
        <x:f>TEXT(C303,"mmmm")</x:f>
        <x:v>August</x:v>
      </x:c>
    </x:row>
    <x:row r="304" ht="20" customHeight="1">
      <x:c r="A304" s="4" t="inlineStr">
        <x:is>
          <x:t xml:space="preserve">LINE-00304</x:t>
        </x:is>
      </x:c>
      <x:c r="B304" s="4" t="inlineStr">
        <x:is>
          <x:t xml:space="preserve">ORD-2025-0196</x:t>
        </x:is>
      </x:c>
      <x:c r="C304" s="17" t="n">
        <x:v>45886</x:v>
      </x:c>
      <x:c r="D304" s="4" t="inlineStr">
        <x:is>
          <x:t xml:space="preserve">CUS-0029</x:t>
        </x:is>
      </x:c>
      <x:c r="E304" s="4" t="inlineStr">
        <x:is>
          <x:t xml:space="preserve">USB Flash Drive</x:t>
        </x:is>
      </x:c>
      <x:c r="F304" s="4" t="inlineStr">
        <x:is>
          <x:t xml:space="preserve">Storage</x:t>
        </x:is>
      </x:c>
      <x:c r="G304" s="4" t="inlineStr">
        <x:is>
          <x:t xml:space="preserve">Seattle</x:t>
        </x:is>
      </x:c>
      <x:c r="H304" s="18" t="n">
        <x:v>3</x:v>
      </x:c>
      <x:c r="I304" s="19" t="n">
        <x:v>29.5</x:v>
      </x:c>
      <x:c r="J304" s="20" t="n">
        <x:v>0.1</x:v>
      </x:c>
      <x:c r="K304" s="4" t="inlineStr">
        <x:is>
          <x:t xml:space="preserve">Debit Card</x:t>
        </x:is>
      </x:c>
      <x:c r="L304" s="19" t="n">
        <x:v>88.5</x:v>
      </x:c>
      <x:c r="M304" s="19" t="n">
        <x:v>8.85</x:v>
      </x:c>
      <x:c r="N304" s="19" t="n">
        <x:v>79.65000000000001</x:v>
      </x:c>
      <x:c r="O304" s="4" t="n">
        <x:f>YEAR(C304)</x:f>
        <x:v>2025</x:v>
      </x:c>
      <x:c r="P304" s="4" t="str">
        <x:f>TEXT(C304,"yyyy-mm")</x:f>
        <x:v>2025-08</x:v>
      </x:c>
      <x:c r="Q304" s="4" t="str">
        <x:f>TEXT(C304,"mmmm")</x:f>
        <x:v>August</x:v>
      </x:c>
    </x:row>
    <x:row r="305" ht="20" customHeight="1">
      <x:c r="A305" s="4" t="inlineStr">
        <x:is>
          <x:t xml:space="preserve">LINE-00305</x:t>
        </x:is>
      </x:c>
      <x:c r="B305" s="4" t="inlineStr">
        <x:is>
          <x:t xml:space="preserve">ORD-2025-0197</x:t>
        </x:is>
      </x:c>
      <x:c r="C305" s="17" t="n">
        <x:v>45769</x:v>
      </x:c>
      <x:c r="D305" s="4" t="inlineStr">
        <x:is>
          <x:t xml:space="preserve">CUS-0297</x:t>
        </x:is>
      </x:c>
      <x:c r="E305" s="4" t="inlineStr">
        <x:is>
          <x:t xml:space="preserve">Desk Lamp</x:t>
        </x:is>
      </x:c>
      <x:c r="F305" s="4" t="inlineStr">
        <x:is>
          <x:t xml:space="preserve">Furniture</x:t>
        </x:is>
      </x:c>
      <x:c r="G305" s="4" t="inlineStr">
        <x:is>
          <x:t xml:space="preserve">New York</x:t>
        </x:is>
      </x:c>
      <x:c r="H305" s="18" t="n">
        <x:v>1</x:v>
      </x:c>
      <x:c r="I305" s="19" t="n">
        <x:v>59.35</x:v>
      </x:c>
      <x:c r="J305" s="20" t="n">
        <x:v>0.15</x:v>
      </x:c>
      <x:c r="K305" s="4" t="inlineStr">
        <x:is>
          <x:t xml:space="preserve">Credit Card</x:t>
        </x:is>
      </x:c>
      <x:c r="L305" s="19" t="n">
        <x:v>59.35</x:v>
      </x:c>
      <x:c r="M305" s="19" t="n">
        <x:v>8.9</x:v>
      </x:c>
      <x:c r="N305" s="19" t="n">
        <x:v>50.45</x:v>
      </x:c>
      <x:c r="O305" s="4" t="n">
        <x:f>YEAR(C305)</x:f>
        <x:v>2025</x:v>
      </x:c>
      <x:c r="P305" s="4" t="str">
        <x:f>TEXT(C305,"yyyy-mm")</x:f>
        <x:v>2025-04</x:v>
      </x:c>
      <x:c r="Q305" s="4" t="str">
        <x:f>TEXT(C305,"mmmm")</x:f>
        <x:v>April</x:v>
      </x:c>
    </x:row>
    <x:row r="306" ht="20" customHeight="1">
      <x:c r="A306" s="4" t="inlineStr">
        <x:is>
          <x:t xml:space="preserve">LINE-00306</x:t>
        </x:is>
      </x:c>
      <x:c r="B306" s="4" t="inlineStr">
        <x:is>
          <x:t xml:space="preserve">ORD-2025-0198</x:t>
        </x:is>
      </x:c>
      <x:c r="C306" s="17" t="n">
        <x:v>45693</x:v>
      </x:c>
      <x:c r="D306" s="4" t="inlineStr">
        <x:is>
          <x:t xml:space="preserve">CUS-0242</x:t>
        </x:is>
      </x:c>
      <x:c r="E306" s="4" t="inlineStr">
        <x:is>
          <x:t xml:space="preserve">Keyboard</x:t>
        </x:is>
      </x:c>
      <x:c r="F306" s="4" t="inlineStr">
        <x:is>
          <x:t xml:space="preserve">Accessories</x:t>
        </x:is>
      </x:c>
      <x:c r="G306" s="4" t="inlineStr">
        <x:is>
          <x:t xml:space="preserve">New York</x:t>
        </x:is>
      </x:c>
      <x:c r="H306" s="18" t="n">
        <x:v>3</x:v>
      </x:c>
      <x:c r="I306" s="19" t="n">
        <x:v>80.73999999999999</x:v>
      </x:c>
      <x:c r="J306" s="20" t="n">
        <x:v>0.05</x:v>
      </x:c>
      <x:c r="K306" s="4" t="inlineStr">
        <x:is>
          <x:t xml:space="preserve">PayPal</x:t>
        </x:is>
      </x:c>
      <x:c r="L306" s="19" t="n">
        <x:v>242.22</x:v>
      </x:c>
      <x:c r="M306" s="19" t="n">
        <x:v>12.11</x:v>
      </x:c>
      <x:c r="N306" s="19" t="n">
        <x:v>230.11</x:v>
      </x:c>
      <x:c r="O306" s="4" t="n">
        <x:f>YEAR(C306)</x:f>
        <x:v>2025</x:v>
      </x:c>
      <x:c r="P306" s="4" t="str">
        <x:f>TEXT(C306,"yyyy-mm")</x:f>
        <x:v>2025-02</x:v>
      </x:c>
      <x:c r="Q306" s="4" t="str">
        <x:f>TEXT(C306,"mmmm")</x:f>
        <x:v>February</x:v>
      </x:c>
    </x:row>
    <x:row r="307" ht="20" customHeight="1">
      <x:c r="A307" s="4" t="inlineStr">
        <x:is>
          <x:t xml:space="preserve">LINE-00307</x:t>
        </x:is>
      </x:c>
      <x:c r="B307" s="4" t="inlineStr">
        <x:is>
          <x:t xml:space="preserve">ORD-2025-0199</x:t>
        </x:is>
      </x:c>
      <x:c r="C307" s="17" t="n">
        <x:v>45873</x:v>
      </x:c>
      <x:c r="D307" s="4" t="inlineStr">
        <x:is>
          <x:t xml:space="preserve">CUS-0192</x:t>
        </x:is>
      </x:c>
      <x:c r="E307" s="4" t="inlineStr">
        <x:is>
          <x:t xml:space="preserve">Headphones</x:t>
        </x:is>
      </x:c>
      <x:c r="F307" s="4" t="inlineStr">
        <x:is>
          <x:t xml:space="preserve">Audio</x:t>
        </x:is>
      </x:c>
      <x:c r="G307" s="4" t="inlineStr">
        <x:is>
          <x:t xml:space="preserve">Seattle</x:t>
        </x:is>
      </x:c>
      <x:c r="H307" s="18" t="n">
        <x:v>3</x:v>
      </x:c>
      <x:c r="I307" s="19" t="n">
        <x:v>133.37</x:v>
      </x:c>
      <x:c r="J307" s="20" t="n">
        <x:v>0.05</x:v>
      </x:c>
      <x:c r="K307" s="4" t="inlineStr">
        <x:is>
          <x:t xml:space="preserve">Bank Transfer</x:t>
        </x:is>
      </x:c>
      <x:c r="L307" s="19" t="n">
        <x:v>400.11</x:v>
      </x:c>
      <x:c r="M307" s="19" t="n">
        <x:v>20.01</x:v>
      </x:c>
      <x:c r="N307" s="19" t="n">
        <x:v>380.1</x:v>
      </x:c>
      <x:c r="O307" s="4" t="n">
        <x:f>YEAR(C307)</x:f>
        <x:v>2025</x:v>
      </x:c>
      <x:c r="P307" s="4" t="str">
        <x:f>TEXT(C307,"yyyy-mm")</x:f>
        <x:v>2025-08</x:v>
      </x:c>
      <x:c r="Q307" s="4" t="str">
        <x:f>TEXT(C307,"mmmm")</x:f>
        <x:v>August</x:v>
      </x:c>
    </x:row>
    <x:row r="308" ht="20" customHeight="1">
      <x:c r="A308" s="4" t="inlineStr">
        <x:is>
          <x:t xml:space="preserve">LINE-00308</x:t>
        </x:is>
      </x:c>
      <x:c r="B308" s="4" t="inlineStr">
        <x:is>
          <x:t xml:space="preserve">ORD-2025-0199</x:t>
        </x:is>
      </x:c>
      <x:c r="C308" s="17" t="n">
        <x:v>45873</x:v>
      </x:c>
      <x:c r="D308" s="4" t="inlineStr">
        <x:is>
          <x:t xml:space="preserve">CUS-0192</x:t>
        </x:is>
      </x:c>
      <x:c r="E308" s="4" t="inlineStr">
        <x:is>
          <x:t xml:space="preserve">Desk Lamp</x:t>
        </x:is>
      </x:c>
      <x:c r="F308" s="4" t="inlineStr">
        <x:is>
          <x:t xml:space="preserve">Furniture</x:t>
        </x:is>
      </x:c>
      <x:c r="G308" s="4" t="inlineStr">
        <x:is>
          <x:t xml:space="preserve">Seattle</x:t>
        </x:is>
      </x:c>
      <x:c r="H308" s="18" t="n">
        <x:v>2</x:v>
      </x:c>
      <x:c r="I308" s="19" t="n">
        <x:v>53.66</x:v>
      </x:c>
      <x:c r="J308" s="20" t="n">
        <x:v>0</x:v>
      </x:c>
      <x:c r="K308" s="4" t="inlineStr">
        <x:is>
          <x:t xml:space="preserve">Bank Transfer</x:t>
        </x:is>
      </x:c>
      <x:c r="L308" s="19" t="n">
        <x:v>107.32</x:v>
      </x:c>
      <x:c r="M308" s="19" t="n">
        <x:v>0</x:v>
      </x:c>
      <x:c r="N308" s="19" t="n">
        <x:v>107.32</x:v>
      </x:c>
      <x:c r="O308" s="4" t="n">
        <x:f>YEAR(C308)</x:f>
        <x:v>2025</x:v>
      </x:c>
      <x:c r="P308" s="4" t="str">
        <x:f>TEXT(C308,"yyyy-mm")</x:f>
        <x:v>2025-08</x:v>
      </x:c>
      <x:c r="Q308" s="4" t="str">
        <x:f>TEXT(C308,"mmmm")</x:f>
        <x:v>August</x:v>
      </x:c>
    </x:row>
    <x:row r="309" ht="20" customHeight="1">
      <x:c r="A309" s="4" t="inlineStr">
        <x:is>
          <x:t xml:space="preserve">LINE-00309</x:t>
        </x:is>
      </x:c>
      <x:c r="B309" s="4" t="inlineStr">
        <x:is>
          <x:t xml:space="preserve">ORD-2025-0199</x:t>
        </x:is>
      </x:c>
      <x:c r="C309" s="17" t="n">
        <x:v>45873</x:v>
      </x:c>
      <x:c r="D309" s="4" t="inlineStr">
        <x:is>
          <x:t xml:space="preserve">CUS-0192</x:t>
        </x:is>
      </x:c>
      <x:c r="E309" s="4" t="inlineStr">
        <x:is>
          <x:t xml:space="preserve">Monitor</x:t>
        </x:is>
      </x:c>
      <x:c r="F309" s="4" t="inlineStr">
        <x:is>
          <x:t xml:space="preserve">Computers</x:t>
        </x:is>
      </x:c>
      <x:c r="G309" s="4" t="inlineStr">
        <x:is>
          <x:t xml:space="preserve">Seattle</x:t>
        </x:is>
      </x:c>
      <x:c r="H309" s="18" t="n">
        <x:v>2</x:v>
      </x:c>
      <x:c r="I309" s="19" t="n">
        <x:v>281.29</x:v>
      </x:c>
      <x:c r="J309" s="20" t="n">
        <x:v>0.1</x:v>
      </x:c>
      <x:c r="K309" s="4" t="inlineStr">
        <x:is>
          <x:t xml:space="preserve">Bank Transfer</x:t>
        </x:is>
      </x:c>
      <x:c r="L309" s="19" t="n">
        <x:v>562.58</x:v>
      </x:c>
      <x:c r="M309" s="19" t="n">
        <x:v>56.26</x:v>
      </x:c>
      <x:c r="N309" s="19" t="n">
        <x:v>506.32</x:v>
      </x:c>
      <x:c r="O309" s="4" t="n">
        <x:f>YEAR(C309)</x:f>
        <x:v>2025</x:v>
      </x:c>
      <x:c r="P309" s="4" t="str">
        <x:f>TEXT(C309,"yyyy-mm")</x:f>
        <x:v>2025-08</x:v>
      </x:c>
      <x:c r="Q309" s="4" t="str">
        <x:f>TEXT(C309,"mmmm")</x:f>
        <x:v>August</x:v>
      </x:c>
    </x:row>
    <x:row r="310" ht="20" customHeight="1">
      <x:c r="A310" s="4" t="inlineStr">
        <x:is>
          <x:t xml:space="preserve">LINE-00310</x:t>
        </x:is>
      </x:c>
      <x:c r="B310" s="4" t="inlineStr">
        <x:is>
          <x:t xml:space="preserve">ORD-2025-0200</x:t>
        </x:is>
      </x:c>
      <x:c r="C310" s="17" t="n">
        <x:v>45772</x:v>
      </x:c>
      <x:c r="D310" s="4" t="inlineStr">
        <x:is>
          <x:t xml:space="preserve">CUS-0002</x:t>
        </x:is>
      </x:c>
      <x:c r="E310" s="4" t="inlineStr">
        <x:is>
          <x:t xml:space="preserve">Desk Lamp</x:t>
        </x:is>
      </x:c>
      <x:c r="F310" s="4" t="inlineStr">
        <x:is>
          <x:t xml:space="preserve">Furniture</x:t>
        </x:is>
      </x:c>
      <x:c r="G310" s="4" t="inlineStr">
        <x:is>
          <x:t xml:space="preserve">New York</x:t>
        </x:is>
      </x:c>
      <x:c r="H310" s="18" t="n">
        <x:v>2</x:v>
      </x:c>
      <x:c r="I310" s="19" t="n">
        <x:v>55.28</x:v>
      </x:c>
      <x:c r="J310" s="20" t="n">
        <x:v>0.1</x:v>
      </x:c>
      <x:c r="K310" s="4" t="inlineStr">
        <x:is>
          <x:t xml:space="preserve">PayPal</x:t>
        </x:is>
      </x:c>
      <x:c r="L310" s="19" t="n">
        <x:v>110.56</x:v>
      </x:c>
      <x:c r="M310" s="19" t="n">
        <x:v>11.06</x:v>
      </x:c>
      <x:c r="N310" s="19" t="n">
        <x:v>99.5</x:v>
      </x:c>
      <x:c r="O310" s="4" t="n">
        <x:f>YEAR(C310)</x:f>
        <x:v>2025</x:v>
      </x:c>
      <x:c r="P310" s="4" t="str">
        <x:f>TEXT(C310,"yyyy-mm")</x:f>
        <x:v>2025-04</x:v>
      </x:c>
      <x:c r="Q310" s="4" t="str">
        <x:f>TEXT(C310,"mmmm")</x:f>
        <x:v>April</x:v>
      </x:c>
    </x:row>
    <x:row r="311" ht="20" customHeight="1">
      <x:c r="A311" s="4" t="inlineStr">
        <x:is>
          <x:t xml:space="preserve">LINE-00311</x:t>
        </x:is>
      </x:c>
      <x:c r="B311" s="4" t="inlineStr">
        <x:is>
          <x:t xml:space="preserve">ORD-2025-0201</x:t>
        </x:is>
      </x:c>
      <x:c r="C311" s="17" t="n">
        <x:v>45784</x:v>
      </x:c>
      <x:c r="D311" s="4" t="inlineStr">
        <x:is>
          <x:t xml:space="preserve">CUS-0236</x:t>
        </x:is>
      </x:c>
      <x:c r="E311" s="4" t="inlineStr">
        <x:is>
          <x:t xml:space="preserve">Desk Lamp</x:t>
        </x:is>
      </x:c>
      <x:c r="F311" s="4" t="inlineStr">
        <x:is>
          <x:t xml:space="preserve">Furniture</x:t>
        </x:is>
      </x:c>
      <x:c r="G311" s="4" t="inlineStr">
        <x:is>
          <x:t xml:space="preserve">Austin</x:t>
        </x:is>
      </x:c>
      <x:c r="H311" s="18" t="n">
        <x:v>3</x:v>
      </x:c>
      <x:c r="I311" s="19" t="n">
        <x:v>50.88</x:v>
      </x:c>
      <x:c r="J311" s="20" t="n">
        <x:v>0.05</x:v>
      </x:c>
      <x:c r="K311" s="4" t="inlineStr">
        <x:is>
          <x:t xml:space="preserve">Debit Card</x:t>
        </x:is>
      </x:c>
      <x:c r="L311" s="19" t="n">
        <x:v>152.64</x:v>
      </x:c>
      <x:c r="M311" s="19" t="n">
        <x:v>7.63</x:v>
      </x:c>
      <x:c r="N311" s="19" t="n">
        <x:v>145.01</x:v>
      </x:c>
      <x:c r="O311" s="4" t="n">
        <x:f>YEAR(C311)</x:f>
        <x:v>2025</x:v>
      </x:c>
      <x:c r="P311" s="4" t="str">
        <x:f>TEXT(C311,"yyyy-mm")</x:f>
        <x:v>2025-05</x:v>
      </x:c>
      <x:c r="Q311" s="4" t="str">
        <x:f>TEXT(C311,"mmmm")</x:f>
        <x:v>May</x:v>
      </x:c>
    </x:row>
    <x:row r="312" ht="20" customHeight="1">
      <x:c r="A312" s="4" t="inlineStr">
        <x:is>
          <x:t xml:space="preserve">LINE-00312</x:t>
        </x:is>
      </x:c>
      <x:c r="B312" s="4" t="inlineStr">
        <x:is>
          <x:t xml:space="preserve">ORD-2025-0202</x:t>
        </x:is>
      </x:c>
      <x:c r="C312" s="17" t="n">
        <x:v>45972</x:v>
      </x:c>
      <x:c r="D312" s="4" t="inlineStr">
        <x:is>
          <x:t xml:space="preserve">CUS-0009</x:t>
        </x:is>
      </x:c>
      <x:c r="E312" s="4" t="inlineStr">
        <x:is>
          <x:t xml:space="preserve">USB Flash Drive</x:t>
        </x:is>
      </x:c>
      <x:c r="F312" s="4" t="inlineStr">
        <x:is>
          <x:t xml:space="preserve">Storage</x:t>
        </x:is>
      </x:c>
      <x:c r="G312" s="4" t="inlineStr">
        <x:is>
          <x:t xml:space="preserve">Chicago</x:t>
        </x:is>
      </x:c>
      <x:c r="H312" s="18" t="n">
        <x:v>1</x:v>
      </x:c>
      <x:c r="I312" s="19" t="n">
        <x:v>30.47</x:v>
      </x:c>
      <x:c r="J312" s="20" t="n">
        <x:v>0.1</x:v>
      </x:c>
      <x:c r="K312" s="4" t="inlineStr">
        <x:is>
          <x:t xml:space="preserve">Debit Card</x:t>
        </x:is>
      </x:c>
      <x:c r="L312" s="19" t="n">
        <x:v>30.47</x:v>
      </x:c>
      <x:c r="M312" s="19" t="n">
        <x:v>3.05</x:v>
      </x:c>
      <x:c r="N312" s="19" t="n">
        <x:v>27.42</x:v>
      </x:c>
      <x:c r="O312" s="4" t="n">
        <x:f>YEAR(C312)</x:f>
        <x:v>2025</x:v>
      </x:c>
      <x:c r="P312" s="4" t="str">
        <x:f>TEXT(C312,"yyyy-mm")</x:f>
        <x:v>2025-11</x:v>
      </x:c>
      <x:c r="Q312" s="4" t="str">
        <x:f>TEXT(C312,"mmmm")</x:f>
        <x:v>November</x:v>
      </x:c>
    </x:row>
    <x:row r="313" ht="20" customHeight="1">
      <x:c r="A313" s="4" t="inlineStr">
        <x:is>
          <x:t xml:space="preserve">LINE-00313</x:t>
        </x:is>
      </x:c>
      <x:c r="B313" s="4" t="inlineStr">
        <x:is>
          <x:t xml:space="preserve">ORD-2025-0203</x:t>
        </x:is>
      </x:c>
      <x:c r="C313" s="17" t="n">
        <x:v>45682</x:v>
      </x:c>
      <x:c r="D313" s="4" t="inlineStr">
        <x:is>
          <x:t xml:space="preserve">CUS-0126</x:t>
        </x:is>
      </x:c>
      <x:c r="E313" s="4" t="inlineStr">
        <x:is>
          <x:t xml:space="preserve">Wireless Mouse</x:t>
        </x:is>
      </x:c>
      <x:c r="F313" s="4" t="inlineStr">
        <x:is>
          <x:t xml:space="preserve">Accessories</x:t>
        </x:is>
      </x:c>
      <x:c r="G313" s="4" t="inlineStr">
        <x:is>
          <x:t xml:space="preserve">San Francisco</x:t>
        </x:is>
      </x:c>
      <x:c r="H313" s="18" t="n">
        <x:v>2</x:v>
      </x:c>
      <x:c r="I313" s="19" t="n">
        <x:v>46.83</x:v>
      </x:c>
      <x:c r="J313" s="20" t="n">
        <x:v>0.1</x:v>
      </x:c>
      <x:c r="K313" s="4" t="inlineStr">
        <x:is>
          <x:t xml:space="preserve">Credit Card</x:t>
        </x:is>
      </x:c>
      <x:c r="L313" s="19" t="n">
        <x:v>93.66</x:v>
      </x:c>
      <x:c r="M313" s="19" t="n">
        <x:v>9.369999999999999</x:v>
      </x:c>
      <x:c r="N313" s="19" t="n">
        <x:v>84.29000000000001</x:v>
      </x:c>
      <x:c r="O313" s="4" t="n">
        <x:f>YEAR(C313)</x:f>
        <x:v>2025</x:v>
      </x:c>
      <x:c r="P313" s="4" t="str">
        <x:f>TEXT(C313,"yyyy-mm")</x:f>
        <x:v>2025-01</x:v>
      </x:c>
      <x:c r="Q313" s="4" t="str">
        <x:f>TEXT(C313,"mmmm")</x:f>
        <x:v>January</x:v>
      </x:c>
    </x:row>
    <x:row r="314" ht="20" customHeight="1">
      <x:c r="A314" s="4" t="inlineStr">
        <x:is>
          <x:t xml:space="preserve">LINE-00314</x:t>
        </x:is>
      </x:c>
      <x:c r="B314" s="4" t="inlineStr">
        <x:is>
          <x:t xml:space="preserve">ORD-2025-0204</x:t>
        </x:is>
      </x:c>
      <x:c r="C314" s="17" t="n">
        <x:v>45729</x:v>
      </x:c>
      <x:c r="D314" s="4" t="inlineStr">
        <x:is>
          <x:t xml:space="preserve">CUS-0258</x:t>
        </x:is>
      </x:c>
      <x:c r="E314" s="4" t="inlineStr">
        <x:is>
          <x:t xml:space="preserve">Desk Lamp</x:t>
        </x:is>
      </x:c>
      <x:c r="F314" s="4" t="inlineStr">
        <x:is>
          <x:t xml:space="preserve">Furniture</x:t>
        </x:is>
      </x:c>
      <x:c r="G314" s="4" t="inlineStr">
        <x:is>
          <x:t xml:space="preserve">Austin</x:t>
        </x:is>
      </x:c>
      <x:c r="H314" s="18" t="n">
        <x:v>1</x:v>
      </x:c>
      <x:c r="I314" s="19" t="n">
        <x:v>55.86</x:v>
      </x:c>
      <x:c r="J314" s="20" t="n">
        <x:v>0.05</x:v>
      </x:c>
      <x:c r="K314" s="4" t="inlineStr">
        <x:is>
          <x:t xml:space="preserve">Debit Card</x:t>
        </x:is>
      </x:c>
      <x:c r="L314" s="19" t="n">
        <x:v>55.86</x:v>
      </x:c>
      <x:c r="M314" s="19" t="n">
        <x:v>2.79</x:v>
      </x:c>
      <x:c r="N314" s="19" t="n">
        <x:v>53.07</x:v>
      </x:c>
      <x:c r="O314" s="4" t="n">
        <x:f>YEAR(C314)</x:f>
        <x:v>2025</x:v>
      </x:c>
      <x:c r="P314" s="4" t="str">
        <x:f>TEXT(C314,"yyyy-mm")</x:f>
        <x:v>2025-03</x:v>
      </x:c>
      <x:c r="Q314" s="4" t="str">
        <x:f>TEXT(C314,"mmmm")</x:f>
        <x:v>March</x:v>
      </x:c>
    </x:row>
    <x:row r="315" ht="20" customHeight="1">
      <x:c r="A315" s="4" t="inlineStr">
        <x:is>
          <x:t xml:space="preserve">LINE-00315</x:t>
        </x:is>
      </x:c>
      <x:c r="B315" s="4" t="inlineStr">
        <x:is>
          <x:t xml:space="preserve">ORD-2025-0204</x:t>
        </x:is>
      </x:c>
      <x:c r="C315" s="17" t="n">
        <x:v>45729</x:v>
      </x:c>
      <x:c r="D315" s="4" t="inlineStr">
        <x:is>
          <x:t xml:space="preserve">CUS-0258</x:t>
        </x:is>
      </x:c>
      <x:c r="E315" s="4" t="inlineStr">
        <x:is>
          <x:t xml:space="preserve">USB Flash Drive</x:t>
        </x:is>
      </x:c>
      <x:c r="F315" s="4" t="inlineStr">
        <x:is>
          <x:t xml:space="preserve">Storage</x:t>
        </x:is>
      </x:c>
      <x:c r="G315" s="4" t="inlineStr">
        <x:is>
          <x:t xml:space="preserve">Austin</x:t>
        </x:is>
      </x:c>
      <x:c r="H315" s="18" t="n">
        <x:v>1</x:v>
      </x:c>
      <x:c r="I315" s="19" t="n">
        <x:v>29.05</x:v>
      </x:c>
      <x:c r="J315" s="20" t="n">
        <x:v>0</x:v>
      </x:c>
      <x:c r="K315" s="4" t="inlineStr">
        <x:is>
          <x:t xml:space="preserve">Debit Card</x:t>
        </x:is>
      </x:c>
      <x:c r="L315" s="19" t="n">
        <x:v>29.05</x:v>
      </x:c>
      <x:c r="M315" s="19" t="n">
        <x:v>0</x:v>
      </x:c>
      <x:c r="N315" s="19" t="n">
        <x:v>29.05</x:v>
      </x:c>
      <x:c r="O315" s="4" t="n">
        <x:f>YEAR(C315)</x:f>
        <x:v>2025</x:v>
      </x:c>
      <x:c r="P315" s="4" t="str">
        <x:f>TEXT(C315,"yyyy-mm")</x:f>
        <x:v>2025-03</x:v>
      </x:c>
      <x:c r="Q315" s="4" t="str">
        <x:f>TEXT(C315,"mmmm")</x:f>
        <x:v>March</x:v>
      </x:c>
    </x:row>
    <x:row r="316" ht="20" customHeight="1">
      <x:c r="A316" s="4" t="inlineStr">
        <x:is>
          <x:t xml:space="preserve">LINE-00316</x:t>
        </x:is>
      </x:c>
      <x:c r="B316" s="4" t="inlineStr">
        <x:is>
          <x:t xml:space="preserve">ORD-2025-0205</x:t>
        </x:is>
      </x:c>
      <x:c r="C316" s="17" t="n">
        <x:v>45996</x:v>
      </x:c>
      <x:c r="D316" s="4" t="inlineStr">
        <x:is>
          <x:t xml:space="preserve">CUS-0267</x:t>
        </x:is>
      </x:c>
      <x:c r="E316" s="4" t="inlineStr">
        <x:is>
          <x:t xml:space="preserve">Laptop</x:t>
        </x:is>
      </x:c>
      <x:c r="F316" s="4" t="inlineStr">
        <x:is>
          <x:t xml:space="preserve">Computers</x:t>
        </x:is>
      </x:c>
      <x:c r="G316" s="4" t="inlineStr">
        <x:is>
          <x:t xml:space="preserve">Chicago</x:t>
        </x:is>
      </x:c>
      <x:c r="H316" s="18" t="n">
        <x:v>2</x:v>
      </x:c>
      <x:c r="I316" s="19" t="n">
        <x:v>963.9299999999999</x:v>
      </x:c>
      <x:c r="J316" s="20" t="n">
        <x:v>0.1</x:v>
      </x:c>
      <x:c r="K316" s="4" t="inlineStr">
        <x:is>
          <x:t xml:space="preserve">Bank Transfer</x:t>
        </x:is>
      </x:c>
      <x:c r="L316" s="19" t="n">
        <x:v>1927.86</x:v>
      </x:c>
      <x:c r="M316" s="19" t="n">
        <x:v>192.79</x:v>
      </x:c>
      <x:c r="N316" s="19" t="n">
        <x:v>1735.07</x:v>
      </x:c>
      <x:c r="O316" s="4" t="n">
        <x:f>YEAR(C316)</x:f>
        <x:v>2025</x:v>
      </x:c>
      <x:c r="P316" s="4" t="str">
        <x:f>TEXT(C316,"yyyy-mm")</x:f>
        <x:v>2025-12</x:v>
      </x:c>
      <x:c r="Q316" s="4" t="str">
        <x:f>TEXT(C316,"mmmm")</x:f>
        <x:v>December</x:v>
      </x:c>
    </x:row>
    <x:row r="317" ht="20" customHeight="1">
      <x:c r="A317" s="4" t="inlineStr">
        <x:is>
          <x:t xml:space="preserve">LINE-00317</x:t>
        </x:is>
      </x:c>
      <x:c r="B317" s="4" t="inlineStr">
        <x:is>
          <x:t xml:space="preserve">ORD-2025-0206</x:t>
        </x:is>
      </x:c>
      <x:c r="C317" s="17" t="n">
        <x:v>45747</x:v>
      </x:c>
      <x:c r="D317" s="4" t="inlineStr">
        <x:is>
          <x:t xml:space="preserve">CUS-0321</x:t>
        </x:is>
      </x:c>
      <x:c r="E317" s="4" t="inlineStr">
        <x:is>
          <x:t xml:space="preserve">Laptop</x:t>
        </x:is>
      </x:c>
      <x:c r="F317" s="4" t="inlineStr">
        <x:is>
          <x:t xml:space="preserve">Computers</x:t>
        </x:is>
      </x:c>
      <x:c r="G317" s="4" t="inlineStr">
        <x:is>
          <x:t xml:space="preserve">San Francisco</x:t>
        </x:is>
      </x:c>
      <x:c r="H317" s="18" t="n">
        <x:v>4</x:v>
      </x:c>
      <x:c r="I317" s="19" t="n">
        <x:v>976.04</x:v>
      </x:c>
      <x:c r="J317" s="20" t="n">
        <x:v>0.1</x:v>
      </x:c>
      <x:c r="K317" s="4" t="inlineStr">
        <x:is>
          <x:t xml:space="preserve">Bank Transfer</x:t>
        </x:is>
      </x:c>
      <x:c r="L317" s="19" t="n">
        <x:v>3904.16</x:v>
      </x:c>
      <x:c r="M317" s="19" t="n">
        <x:v>390.42</x:v>
      </x:c>
      <x:c r="N317" s="19" t="n">
        <x:v>3513.74</x:v>
      </x:c>
      <x:c r="O317" s="4" t="n">
        <x:f>YEAR(C317)</x:f>
        <x:v>2025</x:v>
      </x:c>
      <x:c r="P317" s="4" t="str">
        <x:f>TEXT(C317,"yyyy-mm")</x:f>
        <x:v>2025-03</x:v>
      </x:c>
      <x:c r="Q317" s="4" t="str">
        <x:f>TEXT(C317,"mmmm")</x:f>
        <x:v>March</x:v>
      </x:c>
    </x:row>
    <x:row r="318" ht="20" customHeight="1">
      <x:c r="A318" s="4" t="inlineStr">
        <x:is>
          <x:t xml:space="preserve">LINE-00318</x:t>
        </x:is>
      </x:c>
      <x:c r="B318" s="4" t="inlineStr">
        <x:is>
          <x:t xml:space="preserve">ORD-2025-0206</x:t>
        </x:is>
      </x:c>
      <x:c r="C318" s="17" t="n">
        <x:v>45747</x:v>
      </x:c>
      <x:c r="D318" s="4" t="inlineStr">
        <x:is>
          <x:t xml:space="preserve">CUS-0321</x:t>
        </x:is>
      </x:c>
      <x:c r="E318" s="4" t="inlineStr">
        <x:is>
          <x:t xml:space="preserve">Webcam</x:t>
        </x:is>
      </x:c>
      <x:c r="F318" s="4" t="inlineStr">
        <x:is>
          <x:t xml:space="preserve">Accessories</x:t>
        </x:is>
      </x:c>
      <x:c r="G318" s="4" t="inlineStr">
        <x:is>
          <x:t xml:space="preserve">San Francisco</x:t>
        </x:is>
      </x:c>
      <x:c r="H318" s="18" t="n">
        <x:v>1</x:v>
      </x:c>
      <x:c r="I318" s="19" t="n">
        <x:v>88.8</x:v>
      </x:c>
      <x:c r="J318" s="20" t="n">
        <x:v>0</x:v>
      </x:c>
      <x:c r="K318" s="4" t="inlineStr">
        <x:is>
          <x:t xml:space="preserve">Bank Transfer</x:t>
        </x:is>
      </x:c>
      <x:c r="L318" s="19" t="n">
        <x:v>88.8</x:v>
      </x:c>
      <x:c r="M318" s="19" t="n">
        <x:v>0</x:v>
      </x:c>
      <x:c r="N318" s="19" t="n">
        <x:v>88.8</x:v>
      </x:c>
      <x:c r="O318" s="4" t="n">
        <x:f>YEAR(C318)</x:f>
        <x:v>2025</x:v>
      </x:c>
      <x:c r="P318" s="4" t="str">
        <x:f>TEXT(C318,"yyyy-mm")</x:f>
        <x:v>2025-03</x:v>
      </x:c>
      <x:c r="Q318" s="4" t="str">
        <x:f>TEXT(C318,"mmmm")</x:f>
        <x:v>March</x:v>
      </x:c>
    </x:row>
    <x:row r="319" ht="20" customHeight="1">
      <x:c r="A319" s="4" t="inlineStr">
        <x:is>
          <x:t xml:space="preserve">LINE-00319</x:t>
        </x:is>
      </x:c>
      <x:c r="B319" s="4" t="inlineStr">
        <x:is>
          <x:t xml:space="preserve">ORD-2025-0207</x:t>
        </x:is>
      </x:c>
      <x:c r="C319" s="17" t="n">
        <x:v>45850</x:v>
      </x:c>
      <x:c r="D319" s="4" t="inlineStr">
        <x:is>
          <x:t xml:space="preserve">CUS-0095</x:t>
        </x:is>
      </x:c>
      <x:c r="E319" s="4" t="inlineStr">
        <x:is>
          <x:t xml:space="preserve">Wireless Mouse</x:t>
        </x:is>
      </x:c>
      <x:c r="F319" s="4" t="inlineStr">
        <x:is>
          <x:t xml:space="preserve">Accessories</x:t>
        </x:is>
      </x:c>
      <x:c r="G319" s="4" t="inlineStr">
        <x:is>
          <x:t xml:space="preserve">Boston</x:t>
        </x:is>
      </x:c>
      <x:c r="H319" s="18" t="n">
        <x:v>1</x:v>
      </x:c>
      <x:c r="I319" s="19" t="n">
        <x:v>46.49</x:v>
      </x:c>
      <x:c r="J319" s="20" t="n">
        <x:v>0.1</x:v>
      </x:c>
      <x:c r="K319" s="4" t="inlineStr">
        <x:is>
          <x:t xml:space="preserve">Bank Transfer</x:t>
        </x:is>
      </x:c>
      <x:c r="L319" s="19" t="n">
        <x:v>46.49</x:v>
      </x:c>
      <x:c r="M319" s="19" t="n">
        <x:v>4.65</x:v>
      </x:c>
      <x:c r="N319" s="19" t="n">
        <x:v>41.84</x:v>
      </x:c>
      <x:c r="O319" s="4" t="n">
        <x:f>YEAR(C319)</x:f>
        <x:v>2025</x:v>
      </x:c>
      <x:c r="P319" s="4" t="str">
        <x:f>TEXT(C319,"yyyy-mm")</x:f>
        <x:v>2025-07</x:v>
      </x:c>
      <x:c r="Q319" s="4" t="str">
        <x:f>TEXT(C319,"mmmm")</x:f>
        <x:v>July</x:v>
      </x:c>
    </x:row>
    <x:row r="320" ht="20" customHeight="1">
      <x:c r="A320" s="4" t="inlineStr">
        <x:is>
          <x:t xml:space="preserve">LINE-00320</x:t>
        </x:is>
      </x:c>
      <x:c r="B320" s="4" t="inlineStr">
        <x:is>
          <x:t xml:space="preserve">ORD-2025-0208</x:t>
        </x:is>
      </x:c>
      <x:c r="C320" s="17" t="n">
        <x:v>45687</x:v>
      </x:c>
      <x:c r="D320" s="4" t="inlineStr">
        <x:is>
          <x:t xml:space="preserve">CUS-0288</x:t>
        </x:is>
      </x:c>
      <x:c r="E320" s="4" t="inlineStr">
        <x:is>
          <x:t xml:space="preserve">Keyboard</x:t>
        </x:is>
      </x:c>
      <x:c r="F320" s="4" t="inlineStr">
        <x:is>
          <x:t xml:space="preserve">Accessories</x:t>
        </x:is>
      </x:c>
      <x:c r="G320" s="4" t="inlineStr">
        <x:is>
          <x:t xml:space="preserve">Seattle</x:t>
        </x:is>
      </x:c>
      <x:c r="H320" s="18" t="n">
        <x:v>1</x:v>
      </x:c>
      <x:c r="I320" s="19" t="n">
        <x:v>71.44</x:v>
      </x:c>
      <x:c r="J320" s="20" t="n">
        <x:v>0.05</x:v>
      </x:c>
      <x:c r="K320" s="4" t="inlineStr">
        <x:is>
          <x:t xml:space="preserve">Bank Transfer</x:t>
        </x:is>
      </x:c>
      <x:c r="L320" s="19" t="n">
        <x:v>71.44</x:v>
      </x:c>
      <x:c r="M320" s="19" t="n">
        <x:v>3.57</x:v>
      </x:c>
      <x:c r="N320" s="19" t="n">
        <x:v>67.87</x:v>
      </x:c>
      <x:c r="O320" s="4" t="n">
        <x:f>YEAR(C320)</x:f>
        <x:v>2025</x:v>
      </x:c>
      <x:c r="P320" s="4" t="str">
        <x:f>TEXT(C320,"yyyy-mm")</x:f>
        <x:v>2025-01</x:v>
      </x:c>
      <x:c r="Q320" s="4" t="str">
        <x:f>TEXT(C320,"mmmm")</x:f>
        <x:v>January</x:v>
      </x:c>
    </x:row>
    <x:row r="321" ht="20" customHeight="1">
      <x:c r="A321" s="4" t="inlineStr">
        <x:is>
          <x:t xml:space="preserve">LINE-00321</x:t>
        </x:is>
      </x:c>
      <x:c r="B321" s="4" t="inlineStr">
        <x:is>
          <x:t xml:space="preserve">ORD-2025-0208</x:t>
        </x:is>
      </x:c>
      <x:c r="C321" s="17" t="n">
        <x:v>45687</x:v>
      </x:c>
      <x:c r="D321" s="4" t="inlineStr">
        <x:is>
          <x:t xml:space="preserve">CUS-0288</x:t>
        </x:is>
      </x:c>
      <x:c r="E321" s="4" t="inlineStr">
        <x:is>
          <x:t xml:space="preserve">Headphones</x:t>
        </x:is>
      </x:c>
      <x:c r="F321" s="4" t="inlineStr">
        <x:is>
          <x:t xml:space="preserve">Audio</x:t>
        </x:is>
      </x:c>
      <x:c r="G321" s="4" t="inlineStr">
        <x:is>
          <x:t xml:space="preserve">Seattle</x:t>
        </x:is>
      </x:c>
      <x:c r="H321" s="18" t="n">
        <x:v>4</x:v>
      </x:c>
      <x:c r="I321" s="19" t="n">
        <x:v>137.22</x:v>
      </x:c>
      <x:c r="J321" s="20" t="n">
        <x:v>0</x:v>
      </x:c>
      <x:c r="K321" s="4" t="inlineStr">
        <x:is>
          <x:t xml:space="preserve">Bank Transfer</x:t>
        </x:is>
      </x:c>
      <x:c r="L321" s="19" t="n">
        <x:v>548.88</x:v>
      </x:c>
      <x:c r="M321" s="19" t="n">
        <x:v>0</x:v>
      </x:c>
      <x:c r="N321" s="19" t="n">
        <x:v>548.88</x:v>
      </x:c>
      <x:c r="O321" s="4" t="n">
        <x:f>YEAR(C321)</x:f>
        <x:v>2025</x:v>
      </x:c>
      <x:c r="P321" s="4" t="str">
        <x:f>TEXT(C321,"yyyy-mm")</x:f>
        <x:v>2025-01</x:v>
      </x:c>
      <x:c r="Q321" s="4" t="str">
        <x:f>TEXT(C321,"mmmm")</x:f>
        <x:v>January</x:v>
      </x:c>
    </x:row>
    <x:row r="322" ht="20" customHeight="1">
      <x:c r="A322" s="4" t="inlineStr">
        <x:is>
          <x:t xml:space="preserve">LINE-00322</x:t>
        </x:is>
      </x:c>
      <x:c r="B322" s="4" t="inlineStr">
        <x:is>
          <x:t xml:space="preserve">ORD-2025-0209</x:t>
        </x:is>
      </x:c>
      <x:c r="C322" s="17" t="n">
        <x:v>45755</x:v>
      </x:c>
      <x:c r="D322" s="4" t="inlineStr">
        <x:is>
          <x:t xml:space="preserve">CUS-0027</x:t>
        </x:is>
      </x:c>
      <x:c r="E322" s="4" t="inlineStr">
        <x:is>
          <x:t xml:space="preserve">USB Flash Drive</x:t>
        </x:is>
      </x:c>
      <x:c r="F322" s="4" t="inlineStr">
        <x:is>
          <x:t xml:space="preserve">Storage</x:t>
        </x:is>
      </x:c>
      <x:c r="G322" s="4" t="inlineStr">
        <x:is>
          <x:t xml:space="preserve">Austin</x:t>
        </x:is>
      </x:c>
      <x:c r="H322" s="18" t="n">
        <x:v>4</x:v>
      </x:c>
      <x:c r="I322" s="19" t="n">
        <x:v>28.5</x:v>
      </x:c>
      <x:c r="J322" s="20" t="n">
        <x:v>0.1</x:v>
      </x:c>
      <x:c r="K322" s="4" t="inlineStr">
        <x:is>
          <x:t xml:space="preserve">Bank Transfer</x:t>
        </x:is>
      </x:c>
      <x:c r="L322" s="19" t="n">
        <x:v>114</x:v>
      </x:c>
      <x:c r="M322" s="19" t="n">
        <x:v>11.4</x:v>
      </x:c>
      <x:c r="N322" s="19" t="n">
        <x:v>102.6</x:v>
      </x:c>
      <x:c r="O322" s="4" t="n">
        <x:f>YEAR(C322)</x:f>
        <x:v>2025</x:v>
      </x:c>
      <x:c r="P322" s="4" t="str">
        <x:f>TEXT(C322,"yyyy-mm")</x:f>
        <x:v>2025-04</x:v>
      </x:c>
      <x:c r="Q322" s="4" t="str">
        <x:f>TEXT(C322,"mmmm")</x:f>
        <x:v>April</x:v>
      </x:c>
    </x:row>
    <x:row r="323" ht="20" customHeight="1">
      <x:c r="A323" s="4" t="inlineStr">
        <x:is>
          <x:t xml:space="preserve">LINE-00323</x:t>
        </x:is>
      </x:c>
      <x:c r="B323" s="4" t="inlineStr">
        <x:is>
          <x:t xml:space="preserve">ORD-2025-0209</x:t>
        </x:is>
      </x:c>
      <x:c r="C323" s="17" t="n">
        <x:v>45755</x:v>
      </x:c>
      <x:c r="D323" s="4" t="inlineStr">
        <x:is>
          <x:t xml:space="preserve">CUS-0027</x:t>
        </x:is>
      </x:c>
      <x:c r="E323" s="4" t="inlineStr">
        <x:is>
          <x:t xml:space="preserve">Laptop</x:t>
        </x:is>
      </x:c>
      <x:c r="F323" s="4" t="inlineStr">
        <x:is>
          <x:t xml:space="preserve">Computers</x:t>
        </x:is>
      </x:c>
      <x:c r="G323" s="4" t="inlineStr">
        <x:is>
          <x:t xml:space="preserve">Austin</x:t>
        </x:is>
      </x:c>
      <x:c r="H323" s="18" t="n">
        <x:v>3</x:v>
      </x:c>
      <x:c r="I323" s="19" t="n">
        <x:v>958.95</x:v>
      </x:c>
      <x:c r="J323" s="20" t="n">
        <x:v>0.05</x:v>
      </x:c>
      <x:c r="K323" s="4" t="inlineStr">
        <x:is>
          <x:t xml:space="preserve">Bank Transfer</x:t>
        </x:is>
      </x:c>
      <x:c r="L323" s="19" t="n">
        <x:v>2876.85</x:v>
      </x:c>
      <x:c r="M323" s="19" t="n">
        <x:v>143.84</x:v>
      </x:c>
      <x:c r="N323" s="19" t="n">
        <x:v>2733.01</x:v>
      </x:c>
      <x:c r="O323" s="4" t="n">
        <x:f>YEAR(C323)</x:f>
        <x:v>2025</x:v>
      </x:c>
      <x:c r="P323" s="4" t="str">
        <x:f>TEXT(C323,"yyyy-mm")</x:f>
        <x:v>2025-04</x:v>
      </x:c>
      <x:c r="Q323" s="4" t="str">
        <x:f>TEXT(C323,"mmmm")</x:f>
        <x:v>April</x:v>
      </x:c>
    </x:row>
    <x:row r="324" ht="20" customHeight="1">
      <x:c r="A324" s="4" t="inlineStr">
        <x:is>
          <x:t xml:space="preserve">LINE-00324</x:t>
        </x:is>
      </x:c>
      <x:c r="B324" s="4" t="inlineStr">
        <x:is>
          <x:t xml:space="preserve">ORD-2025-0210</x:t>
        </x:is>
      </x:c>
      <x:c r="C324" s="17" t="n">
        <x:v>45828</x:v>
      </x:c>
      <x:c r="D324" s="4" t="inlineStr">
        <x:is>
          <x:t xml:space="preserve">CUS-0156</x:t>
        </x:is>
      </x:c>
      <x:c r="E324" s="4" t="inlineStr">
        <x:is>
          <x:t xml:space="preserve">Desk Lamp</x:t>
        </x:is>
      </x:c>
      <x:c r="F324" s="4" t="inlineStr">
        <x:is>
          <x:t xml:space="preserve">Furniture</x:t>
        </x:is>
      </x:c>
      <x:c r="G324" s="4" t="inlineStr">
        <x:is>
          <x:t xml:space="preserve">New York</x:t>
        </x:is>
      </x:c>
      <x:c r="H324" s="18" t="n">
        <x:v>4</x:v>
      </x:c>
      <x:c r="I324" s="19" t="n">
        <x:v>56.72</x:v>
      </x:c>
      <x:c r="J324" s="20" t="n">
        <x:v>0.1</x:v>
      </x:c>
      <x:c r="K324" s="4" t="inlineStr">
        <x:is>
          <x:t xml:space="preserve">Debit Card</x:t>
        </x:is>
      </x:c>
      <x:c r="L324" s="19" t="n">
        <x:v>226.88</x:v>
      </x:c>
      <x:c r="M324" s="19" t="n">
        <x:v>22.69</x:v>
      </x:c>
      <x:c r="N324" s="19" t="n">
        <x:v>204.19</x:v>
      </x:c>
      <x:c r="O324" s="4" t="n">
        <x:f>YEAR(C324)</x:f>
        <x:v>2025</x:v>
      </x:c>
      <x:c r="P324" s="4" t="str">
        <x:f>TEXT(C324,"yyyy-mm")</x:f>
        <x:v>2025-06</x:v>
      </x:c>
      <x:c r="Q324" s="4" t="str">
        <x:f>TEXT(C324,"mmmm")</x:f>
        <x:v>June</x:v>
      </x:c>
    </x:row>
    <x:row r="325" ht="20" customHeight="1">
      <x:c r="A325" s="4" t="inlineStr">
        <x:is>
          <x:t xml:space="preserve">LINE-00325</x:t>
        </x:is>
      </x:c>
      <x:c r="B325" s="4" t="inlineStr">
        <x:is>
          <x:t xml:space="preserve">ORD-2025-0210</x:t>
        </x:is>
      </x:c>
      <x:c r="C325" s="17" t="n">
        <x:v>45828</x:v>
      </x:c>
      <x:c r="D325" s="4" t="inlineStr">
        <x:is>
          <x:t xml:space="preserve">CUS-0156</x:t>
        </x:is>
      </x:c>
      <x:c r="E325" s="4" t="inlineStr">
        <x:is>
          <x:t xml:space="preserve">Monitor</x:t>
        </x:is>
      </x:c>
      <x:c r="F325" s="4" t="inlineStr">
        <x:is>
          <x:t xml:space="preserve">Computers</x:t>
        </x:is>
      </x:c>
      <x:c r="G325" s="4" t="inlineStr">
        <x:is>
          <x:t xml:space="preserve">New York</x:t>
        </x:is>
      </x:c>
      <x:c r="H325" s="18" t="n">
        <x:v>1</x:v>
      </x:c>
      <x:c r="I325" s="19" t="n">
        <x:v>268.32</x:v>
      </x:c>
      <x:c r="J325" s="20" t="n">
        <x:v>0</x:v>
      </x:c>
      <x:c r="K325" s="4" t="inlineStr">
        <x:is>
          <x:t xml:space="preserve">Debit Card</x:t>
        </x:is>
      </x:c>
      <x:c r="L325" s="19" t="n">
        <x:v>268.32</x:v>
      </x:c>
      <x:c r="M325" s="19" t="n">
        <x:v>0</x:v>
      </x:c>
      <x:c r="N325" s="19" t="n">
        <x:v>268.32</x:v>
      </x:c>
      <x:c r="O325" s="4" t="n">
        <x:f>YEAR(C325)</x:f>
        <x:v>2025</x:v>
      </x:c>
      <x:c r="P325" s="4" t="str">
        <x:f>TEXT(C325,"yyyy-mm")</x:f>
        <x:v>2025-06</x:v>
      </x:c>
      <x:c r="Q325" s="4" t="str">
        <x:f>TEXT(C325,"mmmm")</x:f>
        <x:v>June</x:v>
      </x:c>
    </x:row>
    <x:row r="326" ht="20" customHeight="1">
      <x:c r="A326" s="4" t="inlineStr">
        <x:is>
          <x:t xml:space="preserve">LINE-00326</x:t>
        </x:is>
      </x:c>
      <x:c r="B326" s="4" t="inlineStr">
        <x:is>
          <x:t xml:space="preserve">ORD-2025-0210</x:t>
        </x:is>
      </x:c>
      <x:c r="C326" s="17" t="n">
        <x:v>45828</x:v>
      </x:c>
      <x:c r="D326" s="4" t="inlineStr">
        <x:is>
          <x:t xml:space="preserve">CUS-0156</x:t>
        </x:is>
      </x:c>
      <x:c r="E326" s="4" t="inlineStr">
        <x:is>
          <x:t xml:space="preserve">Bluetooth Speaker</x:t>
        </x:is>
      </x:c>
      <x:c r="F326" s="4" t="inlineStr">
        <x:is>
          <x:t xml:space="preserve">Audio</x:t>
        </x:is>
      </x:c>
      <x:c r="G326" s="4" t="inlineStr">
        <x:is>
          <x:t xml:space="preserve">New York</x:t>
        </x:is>
      </x:c>
      <x:c r="H326" s="18" t="n">
        <x:v>1</x:v>
      </x:c>
      <x:c r="I326" s="19" t="n">
        <x:v>109.41</x:v>
      </x:c>
      <x:c r="J326" s="20" t="n">
        <x:v>0.05</x:v>
      </x:c>
      <x:c r="K326" s="4" t="inlineStr">
        <x:is>
          <x:t xml:space="preserve">Debit Card</x:t>
        </x:is>
      </x:c>
      <x:c r="L326" s="19" t="n">
        <x:v>109.41</x:v>
      </x:c>
      <x:c r="M326" s="19" t="n">
        <x:v>5.47</x:v>
      </x:c>
      <x:c r="N326" s="19" t="n">
        <x:v>103.94</x:v>
      </x:c>
      <x:c r="O326" s="4" t="n">
        <x:f>YEAR(C326)</x:f>
        <x:v>2025</x:v>
      </x:c>
      <x:c r="P326" s="4" t="str">
        <x:f>TEXT(C326,"yyyy-mm")</x:f>
        <x:v>2025-06</x:v>
      </x:c>
      <x:c r="Q326" s="4" t="str">
        <x:f>TEXT(C326,"mmmm")</x:f>
        <x:v>June</x:v>
      </x:c>
    </x:row>
    <x:row r="327" ht="20" customHeight="1">
      <x:c r="A327" s="4" t="inlineStr">
        <x:is>
          <x:t xml:space="preserve">LINE-00327</x:t>
        </x:is>
      </x:c>
      <x:c r="B327" s="4" t="inlineStr">
        <x:is>
          <x:t xml:space="preserve">ORD-2025-0211</x:t>
        </x:is>
      </x:c>
      <x:c r="C327" s="17" t="n">
        <x:v>45815</x:v>
      </x:c>
      <x:c r="D327" s="4" t="inlineStr">
        <x:is>
          <x:t xml:space="preserve">CUS-0134</x:t>
        </x:is>
      </x:c>
      <x:c r="E327" s="4" t="inlineStr">
        <x:is>
          <x:t xml:space="preserve">Desk Lamp</x:t>
        </x:is>
      </x:c>
      <x:c r="F327" s="4" t="inlineStr">
        <x:is>
          <x:t xml:space="preserve">Furniture</x:t>
        </x:is>
      </x:c>
      <x:c r="G327" s="4" t="inlineStr">
        <x:is>
          <x:t xml:space="preserve">Austin</x:t>
        </x:is>
      </x:c>
      <x:c r="H327" s="18" t="n">
        <x:v>2</x:v>
      </x:c>
      <x:c r="I327" s="19" t="n">
        <x:v>57.99</x:v>
      </x:c>
      <x:c r="J327" s="20" t="n">
        <x:v>0.15</x:v>
      </x:c>
      <x:c r="K327" s="4" t="inlineStr">
        <x:is>
          <x:t xml:space="preserve">Bank Transfer</x:t>
        </x:is>
      </x:c>
      <x:c r="L327" s="19" t="n">
        <x:v>115.98</x:v>
      </x:c>
      <x:c r="M327" s="19" t="n">
        <x:v>17.4</x:v>
      </x:c>
      <x:c r="N327" s="19" t="n">
        <x:v>98.58</x:v>
      </x:c>
      <x:c r="O327" s="4" t="n">
        <x:f>YEAR(C327)</x:f>
        <x:v>2025</x:v>
      </x:c>
      <x:c r="P327" s="4" t="str">
        <x:f>TEXT(C327,"yyyy-mm")</x:f>
        <x:v>2025-06</x:v>
      </x:c>
      <x:c r="Q327" s="4" t="str">
        <x:f>TEXT(C327,"mmmm")</x:f>
        <x:v>June</x:v>
      </x:c>
    </x:row>
    <x:row r="328" ht="20" customHeight="1">
      <x:c r="A328" s="4" t="inlineStr">
        <x:is>
          <x:t xml:space="preserve">LINE-00328</x:t>
        </x:is>
      </x:c>
      <x:c r="B328" s="4" t="inlineStr">
        <x:is>
          <x:t xml:space="preserve">ORD-2025-0212</x:t>
        </x:is>
      </x:c>
      <x:c r="C328" s="17" t="n">
        <x:v>45847</x:v>
      </x:c>
      <x:c r="D328" s="4" t="inlineStr">
        <x:is>
          <x:t xml:space="preserve">CUS-0161</x:t>
        </x:is>
      </x:c>
      <x:c r="E328" s="4" t="inlineStr">
        <x:is>
          <x:t xml:space="preserve">Wireless Mouse</x:t>
        </x:is>
      </x:c>
      <x:c r="F328" s="4" t="inlineStr">
        <x:is>
          <x:t xml:space="preserve">Accessories</x:t>
        </x:is>
      </x:c>
      <x:c r="G328" s="4" t="inlineStr">
        <x:is>
          <x:t xml:space="preserve">Seattle</x:t>
        </x:is>
      </x:c>
      <x:c r="H328" s="18" t="n">
        <x:v>1</x:v>
      </x:c>
      <x:c r="I328" s="19" t="n">
        <x:v>45.38</x:v>
      </x:c>
      <x:c r="J328" s="20" t="n">
        <x:v>0.05</x:v>
      </x:c>
      <x:c r="K328" s="4" t="inlineStr">
        <x:is>
          <x:t xml:space="preserve">Credit Card</x:t>
        </x:is>
      </x:c>
      <x:c r="L328" s="19" t="n">
        <x:v>45.38</x:v>
      </x:c>
      <x:c r="M328" s="19" t="n">
        <x:v>2.27</x:v>
      </x:c>
      <x:c r="N328" s="19" t="n">
        <x:v>43.11</x:v>
      </x:c>
      <x:c r="O328" s="4" t="n">
        <x:f>YEAR(C328)</x:f>
        <x:v>2025</x:v>
      </x:c>
      <x:c r="P328" s="4" t="str">
        <x:f>TEXT(C328,"yyyy-mm")</x:f>
        <x:v>2025-07</x:v>
      </x:c>
      <x:c r="Q328" s="4" t="str">
        <x:f>TEXT(C328,"mmmm")</x:f>
        <x:v>July</x:v>
      </x:c>
    </x:row>
    <x:row r="329" ht="20" customHeight="1">
      <x:c r="A329" s="4" t="inlineStr">
        <x:is>
          <x:t xml:space="preserve">LINE-00329</x:t>
        </x:is>
      </x:c>
      <x:c r="B329" s="4" t="inlineStr">
        <x:is>
          <x:t xml:space="preserve">ORD-2025-0212</x:t>
        </x:is>
      </x:c>
      <x:c r="C329" s="17" t="n">
        <x:v>45847</x:v>
      </x:c>
      <x:c r="D329" s="4" t="inlineStr">
        <x:is>
          <x:t xml:space="preserve">CUS-0161</x:t>
        </x:is>
      </x:c>
      <x:c r="E329" s="4" t="inlineStr">
        <x:is>
          <x:t xml:space="preserve">Keyboard</x:t>
        </x:is>
      </x:c>
      <x:c r="F329" s="4" t="inlineStr">
        <x:is>
          <x:t xml:space="preserve">Accessories</x:t>
        </x:is>
      </x:c>
      <x:c r="G329" s="4" t="inlineStr">
        <x:is>
          <x:t xml:space="preserve">Seattle</x:t>
        </x:is>
      </x:c>
      <x:c r="H329" s="18" t="n">
        <x:v>3</x:v>
      </x:c>
      <x:c r="I329" s="19" t="n">
        <x:v>72.54000000000001</x:v>
      </x:c>
      <x:c r="J329" s="20" t="n">
        <x:v>0</x:v>
      </x:c>
      <x:c r="K329" s="4" t="inlineStr">
        <x:is>
          <x:t xml:space="preserve">Credit Card</x:t>
        </x:is>
      </x:c>
      <x:c r="L329" s="19" t="n">
        <x:v>217.62</x:v>
      </x:c>
      <x:c r="M329" s="19" t="n">
        <x:v>0</x:v>
      </x:c>
      <x:c r="N329" s="19" t="n">
        <x:v>217.62</x:v>
      </x:c>
      <x:c r="O329" s="4" t="n">
        <x:f>YEAR(C329)</x:f>
        <x:v>2025</x:v>
      </x:c>
      <x:c r="P329" s="4" t="str">
        <x:f>TEXT(C329,"yyyy-mm")</x:f>
        <x:v>2025-07</x:v>
      </x:c>
      <x:c r="Q329" s="4" t="str">
        <x:f>TEXT(C329,"mmmm")</x:f>
        <x:v>July</x:v>
      </x:c>
    </x:row>
    <x:row r="330" ht="20" customHeight="1">
      <x:c r="A330" s="4" t="inlineStr">
        <x:is>
          <x:t xml:space="preserve">LINE-00330</x:t>
        </x:is>
      </x:c>
      <x:c r="B330" s="4" t="inlineStr">
        <x:is>
          <x:t xml:space="preserve">ORD-2025-0213</x:t>
        </x:is>
      </x:c>
      <x:c r="C330" s="17" t="n">
        <x:v>45775</x:v>
      </x:c>
      <x:c r="D330" s="4" t="inlineStr">
        <x:is>
          <x:t xml:space="preserve">CUS-0195</x:t>
        </x:is>
      </x:c>
      <x:c r="E330" s="4" t="inlineStr">
        <x:is>
          <x:t xml:space="preserve">Office Chair</x:t>
        </x:is>
      </x:c>
      <x:c r="F330" s="4" t="inlineStr">
        <x:is>
          <x:t xml:space="preserve">Furniture</x:t>
        </x:is>
      </x:c>
      <x:c r="G330" s="4" t="inlineStr">
        <x:is>
          <x:t xml:space="preserve">Boston</x:t>
        </x:is>
      </x:c>
      <x:c r="H330" s="18" t="n">
        <x:v>4</x:v>
      </x:c>
      <x:c r="I330" s="19" t="n">
        <x:v>233.76</x:v>
      </x:c>
      <x:c r="J330" s="20" t="n">
        <x:v>0.1</x:v>
      </x:c>
      <x:c r="K330" s="4" t="inlineStr">
        <x:is>
          <x:t xml:space="preserve">Debit Card</x:t>
        </x:is>
      </x:c>
      <x:c r="L330" s="19" t="n">
        <x:v>935.04</x:v>
      </x:c>
      <x:c r="M330" s="19" t="n">
        <x:v>93.5</x:v>
      </x:c>
      <x:c r="N330" s="19" t="n">
        <x:v>841.54</x:v>
      </x:c>
      <x:c r="O330" s="4" t="n">
        <x:f>YEAR(C330)</x:f>
        <x:v>2025</x:v>
      </x:c>
      <x:c r="P330" s="4" t="str">
        <x:f>TEXT(C330,"yyyy-mm")</x:f>
        <x:v>2025-04</x:v>
      </x:c>
      <x:c r="Q330" s="4" t="str">
        <x:f>TEXT(C330,"mmmm")</x:f>
        <x:v>April</x:v>
      </x:c>
    </x:row>
    <x:row r="331" ht="20" customHeight="1">
      <x:c r="A331" s="4" t="inlineStr">
        <x:is>
          <x:t xml:space="preserve">LINE-00331</x:t>
        </x:is>
      </x:c>
      <x:c r="B331" s="4" t="inlineStr">
        <x:is>
          <x:t xml:space="preserve">ORD-2025-0214</x:t>
        </x:is>
      </x:c>
      <x:c r="C331" s="17" t="n">
        <x:v>45908</x:v>
      </x:c>
      <x:c r="D331" s="4" t="inlineStr">
        <x:is>
          <x:t xml:space="preserve">CUS-0329</x:t>
        </x:is>
      </x:c>
      <x:c r="E331" s="4" t="inlineStr">
        <x:is>
          <x:t xml:space="preserve">Desk Lamp</x:t>
        </x:is>
      </x:c>
      <x:c r="F331" s="4" t="inlineStr">
        <x:is>
          <x:t xml:space="preserve">Furniture</x:t>
        </x:is>
      </x:c>
      <x:c r="G331" s="4" t="inlineStr">
        <x:is>
          <x:t xml:space="preserve">San Francisco</x:t>
        </x:is>
      </x:c>
      <x:c r="H331" s="18" t="n">
        <x:v>3</x:v>
      </x:c>
      <x:c r="I331" s="19" t="n">
        <x:v>52.09</x:v>
      </x:c>
      <x:c r="J331" s="20" t="n">
        <x:v>0.1</x:v>
      </x:c>
      <x:c r="K331" s="4" t="inlineStr">
        <x:is>
          <x:t xml:space="preserve">Bank Transfer</x:t>
        </x:is>
      </x:c>
      <x:c r="L331" s="19" t="n">
        <x:v>156.27</x:v>
      </x:c>
      <x:c r="M331" s="19" t="n">
        <x:v>15.63</x:v>
      </x:c>
      <x:c r="N331" s="19" t="n">
        <x:v>140.64</x:v>
      </x:c>
      <x:c r="O331" s="4" t="n">
        <x:f>YEAR(C331)</x:f>
        <x:v>2025</x:v>
      </x:c>
      <x:c r="P331" s="4" t="str">
        <x:f>TEXT(C331,"yyyy-mm")</x:f>
        <x:v>2025-09</x:v>
      </x:c>
      <x:c r="Q331" s="4" t="str">
        <x:f>TEXT(C331,"mmmm")</x:f>
        <x:v>September</x:v>
      </x:c>
    </x:row>
    <x:row r="332" ht="20" customHeight="1">
      <x:c r="A332" s="4" t="inlineStr">
        <x:is>
          <x:t xml:space="preserve">LINE-00332</x:t>
        </x:is>
      </x:c>
      <x:c r="B332" s="4" t="inlineStr">
        <x:is>
          <x:t xml:space="preserve">ORD-2025-0215</x:t>
        </x:is>
      </x:c>
      <x:c r="C332" s="17" t="n">
        <x:v>45908</x:v>
      </x:c>
      <x:c r="D332" s="4" t="inlineStr">
        <x:is>
          <x:t xml:space="preserve">CUS-0095</x:t>
        </x:is>
      </x:c>
      <x:c r="E332" s="4" t="inlineStr">
        <x:is>
          <x:t xml:space="preserve">Monitor</x:t>
        </x:is>
      </x:c>
      <x:c r="F332" s="4" t="inlineStr">
        <x:is>
          <x:t xml:space="preserve">Computers</x:t>
        </x:is>
      </x:c>
      <x:c r="G332" s="4" t="inlineStr">
        <x:is>
          <x:t xml:space="preserve">Boston</x:t>
        </x:is>
      </x:c>
      <x:c r="H332" s="18" t="n">
        <x:v>1</x:v>
      </x:c>
      <x:c r="I332" s="19" t="n">
        <x:v>257.89</x:v>
      </x:c>
      <x:c r="J332" s="20" t="n">
        <x:v>0</x:v>
      </x:c>
      <x:c r="K332" s="4" t="inlineStr">
        <x:is>
          <x:t xml:space="preserve">Credit Card</x:t>
        </x:is>
      </x:c>
      <x:c r="L332" s="19" t="n">
        <x:v>257.89</x:v>
      </x:c>
      <x:c r="M332" s="19" t="n">
        <x:v>0</x:v>
      </x:c>
      <x:c r="N332" s="19" t="n">
        <x:v>257.89</x:v>
      </x:c>
      <x:c r="O332" s="4" t="n">
        <x:f>YEAR(C332)</x:f>
        <x:v>2025</x:v>
      </x:c>
      <x:c r="P332" s="4" t="str">
        <x:f>TEXT(C332,"yyyy-mm")</x:f>
        <x:v>2025-09</x:v>
      </x:c>
      <x:c r="Q332" s="4" t="str">
        <x:f>TEXT(C332,"mmmm")</x:f>
        <x:v>September</x:v>
      </x:c>
    </x:row>
    <x:row r="333" ht="20" customHeight="1">
      <x:c r="A333" s="4" t="inlineStr">
        <x:is>
          <x:t xml:space="preserve">LINE-00333</x:t>
        </x:is>
      </x:c>
      <x:c r="B333" s="4" t="inlineStr">
        <x:is>
          <x:t xml:space="preserve">ORD-2025-0215</x:t>
        </x:is>
      </x:c>
      <x:c r="C333" s="17" t="n">
        <x:v>45908</x:v>
      </x:c>
      <x:c r="D333" s="4" t="inlineStr">
        <x:is>
          <x:t xml:space="preserve">CUS-0095</x:t>
        </x:is>
      </x:c>
      <x:c r="E333" s="4" t="inlineStr">
        <x:is>
          <x:t xml:space="preserve">Office Chair</x:t>
        </x:is>
      </x:c>
      <x:c r="F333" s="4" t="inlineStr">
        <x:is>
          <x:t xml:space="preserve">Furniture</x:t>
        </x:is>
      </x:c>
      <x:c r="G333" s="4" t="inlineStr">
        <x:is>
          <x:t xml:space="preserve">Boston</x:t>
        </x:is>
      </x:c>
      <x:c r="H333" s="18" t="n">
        <x:v>2</x:v>
      </x:c>
      <x:c r="I333" s="19" t="n">
        <x:v>223.41</x:v>
      </x:c>
      <x:c r="J333" s="20" t="n">
        <x:v>0</x:v>
      </x:c>
      <x:c r="K333" s="4" t="inlineStr">
        <x:is>
          <x:t xml:space="preserve">Credit Card</x:t>
        </x:is>
      </x:c>
      <x:c r="L333" s="19" t="n">
        <x:v>446.82</x:v>
      </x:c>
      <x:c r="M333" s="19" t="n">
        <x:v>0</x:v>
      </x:c>
      <x:c r="N333" s="19" t="n">
        <x:v>446.82</x:v>
      </x:c>
      <x:c r="O333" s="4" t="n">
        <x:f>YEAR(C333)</x:f>
        <x:v>2025</x:v>
      </x:c>
      <x:c r="P333" s="4" t="str">
        <x:f>TEXT(C333,"yyyy-mm")</x:f>
        <x:v>2025-09</x:v>
      </x:c>
      <x:c r="Q333" s="4" t="str">
        <x:f>TEXT(C333,"mmmm")</x:f>
        <x:v>September</x:v>
      </x:c>
    </x:row>
    <x:row r="334" ht="20" customHeight="1">
      <x:c r="A334" s="4" t="inlineStr">
        <x:is>
          <x:t xml:space="preserve">LINE-00334</x:t>
        </x:is>
      </x:c>
      <x:c r="B334" s="4" t="inlineStr">
        <x:is>
          <x:t xml:space="preserve">ORD-2025-0216</x:t>
        </x:is>
      </x:c>
      <x:c r="C334" s="17" t="n">
        <x:v>45769</x:v>
      </x:c>
      <x:c r="D334" s="4" t="inlineStr">
        <x:is>
          <x:t xml:space="preserve">CUS-0259</x:t>
        </x:is>
      </x:c>
      <x:c r="E334" s="4" t="inlineStr">
        <x:is>
          <x:t xml:space="preserve">Office Chair</x:t>
        </x:is>
      </x:c>
      <x:c r="F334" s="4" t="inlineStr">
        <x:is>
          <x:t xml:space="preserve">Furniture</x:t>
        </x:is>
      </x:c>
      <x:c r="G334" s="4" t="inlineStr">
        <x:is>
          <x:t xml:space="preserve">Seattle</x:t>
        </x:is>
      </x:c>
      <x:c r="H334" s="18" t="n">
        <x:v>2</x:v>
      </x:c>
      <x:c r="I334" s="19" t="n">
        <x:v>244.47</x:v>
      </x:c>
      <x:c r="J334" s="20" t="n">
        <x:v>0.05</x:v>
      </x:c>
      <x:c r="K334" s="4" t="inlineStr">
        <x:is>
          <x:t xml:space="preserve">PayPal</x:t>
        </x:is>
      </x:c>
      <x:c r="L334" s="19" t="n">
        <x:v>488.94</x:v>
      </x:c>
      <x:c r="M334" s="19" t="n">
        <x:v>24.45</x:v>
      </x:c>
      <x:c r="N334" s="19" t="n">
        <x:v>464.49</x:v>
      </x:c>
      <x:c r="O334" s="4" t="n">
        <x:f>YEAR(C334)</x:f>
        <x:v>2025</x:v>
      </x:c>
      <x:c r="P334" s="4" t="str">
        <x:f>TEXT(C334,"yyyy-mm")</x:f>
        <x:v>2025-04</x:v>
      </x:c>
      <x:c r="Q334" s="4" t="str">
        <x:f>TEXT(C334,"mmmm")</x:f>
        <x:v>April</x:v>
      </x:c>
    </x:row>
    <x:row r="335" ht="20" customHeight="1">
      <x:c r="A335" s="4" t="inlineStr">
        <x:is>
          <x:t xml:space="preserve">LINE-00335</x:t>
        </x:is>
      </x:c>
      <x:c r="B335" s="4" t="inlineStr">
        <x:is>
          <x:t xml:space="preserve">ORD-2025-0217</x:t>
        </x:is>
      </x:c>
      <x:c r="C335" s="17" t="n">
        <x:v>45907</x:v>
      </x:c>
      <x:c r="D335" s="4" t="inlineStr">
        <x:is>
          <x:t xml:space="preserve">CUS-0009</x:t>
        </x:is>
      </x:c>
      <x:c r="E335" s="4" t="inlineStr">
        <x:is>
          <x:t xml:space="preserve">External SSD</x:t>
        </x:is>
      </x:c>
      <x:c r="F335" s="4" t="inlineStr">
        <x:is>
          <x:t xml:space="preserve">Storage</x:t>
        </x:is>
      </x:c>
      <x:c r="G335" s="4" t="inlineStr">
        <x:is>
          <x:t xml:space="preserve">New York</x:t>
        </x:is>
      </x:c>
      <x:c r="H335" s="18" t="n">
        <x:v>3</x:v>
      </x:c>
      <x:c r="I335" s="19" t="n">
        <x:v>150.86</x:v>
      </x:c>
      <x:c r="J335" s="20" t="n">
        <x:v>0</x:v>
      </x:c>
      <x:c r="K335" s="4" t="inlineStr">
        <x:is>
          <x:t xml:space="preserve">Bank Transfer</x:t>
        </x:is>
      </x:c>
      <x:c r="L335" s="19" t="n">
        <x:v>452.58</x:v>
      </x:c>
      <x:c r="M335" s="19" t="n">
        <x:v>0</x:v>
      </x:c>
      <x:c r="N335" s="19" t="n">
        <x:v>452.58</x:v>
      </x:c>
      <x:c r="O335" s="4" t="n">
        <x:f>YEAR(C335)</x:f>
        <x:v>2025</x:v>
      </x:c>
      <x:c r="P335" s="4" t="str">
        <x:f>TEXT(C335,"yyyy-mm")</x:f>
        <x:v>2025-09</x:v>
      </x:c>
      <x:c r="Q335" s="4" t="str">
        <x:f>TEXT(C335,"mmmm")</x:f>
        <x:v>September</x:v>
      </x:c>
    </x:row>
    <x:row r="336" ht="20" customHeight="1">
      <x:c r="A336" s="4" t="inlineStr">
        <x:is>
          <x:t xml:space="preserve">LINE-00336</x:t>
        </x:is>
      </x:c>
      <x:c r="B336" s="4" t="inlineStr">
        <x:is>
          <x:t xml:space="preserve">ORD-2025-0218</x:t>
        </x:is>
      </x:c>
      <x:c r="C336" s="17" t="n">
        <x:v>45915</x:v>
      </x:c>
      <x:c r="D336" s="4" t="inlineStr">
        <x:is>
          <x:t xml:space="preserve">CUS-0346</x:t>
        </x:is>
      </x:c>
      <x:c r="E336" s="4" t="inlineStr">
        <x:is>
          <x:t xml:space="preserve">Monitor</x:t>
        </x:is>
      </x:c>
      <x:c r="F336" s="4" t="inlineStr">
        <x:is>
          <x:t xml:space="preserve">Computers</x:t>
        </x:is>
      </x:c>
      <x:c r="G336" s="4" t="inlineStr">
        <x:is>
          <x:t xml:space="preserve">Seattle</x:t>
        </x:is>
      </x:c>
      <x:c r="H336" s="18" t="n">
        <x:v>2</x:v>
      </x:c>
      <x:c r="I336" s="19" t="n">
        <x:v>268.4</x:v>
      </x:c>
      <x:c r="J336" s="20" t="n">
        <x:v>0.05</x:v>
      </x:c>
      <x:c r="K336" s="4" t="inlineStr">
        <x:is>
          <x:t xml:space="preserve">Debit Card</x:t>
        </x:is>
      </x:c>
      <x:c r="L336" s="19" t="n">
        <x:v>536.8</x:v>
      </x:c>
      <x:c r="M336" s="19" t="n">
        <x:v>26.84</x:v>
      </x:c>
      <x:c r="N336" s="19" t="n">
        <x:v>509.96</x:v>
      </x:c>
      <x:c r="O336" s="4" t="n">
        <x:f>YEAR(C336)</x:f>
        <x:v>2025</x:v>
      </x:c>
      <x:c r="P336" s="4" t="str">
        <x:f>TEXT(C336,"yyyy-mm")</x:f>
        <x:v>2025-09</x:v>
      </x:c>
      <x:c r="Q336" s="4" t="str">
        <x:f>TEXT(C336,"mmmm")</x:f>
        <x:v>September</x:v>
      </x:c>
    </x:row>
    <x:row r="337" ht="20" customHeight="1">
      <x:c r="A337" s="4" t="inlineStr">
        <x:is>
          <x:t xml:space="preserve">LINE-00337</x:t>
        </x:is>
      </x:c>
      <x:c r="B337" s="4" t="inlineStr">
        <x:is>
          <x:t xml:space="preserve">ORD-2025-0219</x:t>
        </x:is>
      </x:c>
      <x:c r="C337" s="17" t="n">
        <x:v>45787</x:v>
      </x:c>
      <x:c r="D337" s="4" t="inlineStr">
        <x:is>
          <x:t xml:space="preserve">CUS-0182</x:t>
        </x:is>
      </x:c>
      <x:c r="E337" s="4" t="inlineStr">
        <x:is>
          <x:t xml:space="preserve">Headphones</x:t>
        </x:is>
      </x:c>
      <x:c r="F337" s="4" t="inlineStr">
        <x:is>
          <x:t xml:space="preserve">Audio</x:t>
        </x:is>
      </x:c>
      <x:c r="G337" s="4" t="inlineStr">
        <x:is>
          <x:t xml:space="preserve">Austin</x:t>
        </x:is>
      </x:c>
      <x:c r="H337" s="18" t="n">
        <x:v>2</x:v>
      </x:c>
      <x:c r="I337" s="19" t="n">
        <x:v>124.66</x:v>
      </x:c>
      <x:c r="J337" s="20" t="n">
        <x:v>0.05</x:v>
      </x:c>
      <x:c r="K337" s="4" t="inlineStr">
        <x:is>
          <x:t xml:space="preserve">Bank Transfer</x:t>
        </x:is>
      </x:c>
      <x:c r="L337" s="19" t="n">
        <x:v>249.32</x:v>
      </x:c>
      <x:c r="M337" s="19" t="n">
        <x:v>12.47</x:v>
      </x:c>
      <x:c r="N337" s="19" t="n">
        <x:v>236.85</x:v>
      </x:c>
      <x:c r="O337" s="4" t="n">
        <x:f>YEAR(C337)</x:f>
        <x:v>2025</x:v>
      </x:c>
      <x:c r="P337" s="4" t="str">
        <x:f>TEXT(C337,"yyyy-mm")</x:f>
        <x:v>2025-05</x:v>
      </x:c>
      <x:c r="Q337" s="4" t="str">
        <x:f>TEXT(C337,"mmmm")</x:f>
        <x:v>May</x:v>
      </x:c>
    </x:row>
    <x:row r="338" ht="20" customHeight="1">
      <x:c r="A338" s="4" t="inlineStr">
        <x:is>
          <x:t xml:space="preserve">LINE-00338</x:t>
        </x:is>
      </x:c>
      <x:c r="B338" s="4" t="inlineStr">
        <x:is>
          <x:t xml:space="preserve">ORD-2025-0220</x:t>
        </x:is>
      </x:c>
      <x:c r="C338" s="17" t="n">
        <x:v>45811</x:v>
      </x:c>
      <x:c r="D338" s="4" t="inlineStr">
        <x:is>
          <x:t xml:space="preserve">CUS-0042</x:t>
        </x:is>
      </x:c>
      <x:c r="E338" s="4" t="inlineStr">
        <x:is>
          <x:t xml:space="preserve">Headphones</x:t>
        </x:is>
      </x:c>
      <x:c r="F338" s="4" t="inlineStr">
        <x:is>
          <x:t xml:space="preserve">Audio</x:t>
        </x:is>
      </x:c>
      <x:c r="G338" s="4" t="inlineStr">
        <x:is>
          <x:t xml:space="preserve">San Francisco</x:t>
        </x:is>
      </x:c>
      <x:c r="H338" s="18" t="n">
        <x:v>1</x:v>
      </x:c>
      <x:c r="I338" s="19" t="n">
        <x:v>129.5</x:v>
      </x:c>
      <x:c r="J338" s="20" t="n">
        <x:v>0.05</x:v>
      </x:c>
      <x:c r="K338" s="4" t="inlineStr">
        <x:is>
          <x:t xml:space="preserve">Credit Card</x:t>
        </x:is>
      </x:c>
      <x:c r="L338" s="19" t="n">
        <x:v>129.5</x:v>
      </x:c>
      <x:c r="M338" s="19" t="n">
        <x:v>6.48</x:v>
      </x:c>
      <x:c r="N338" s="19" t="n">
        <x:v>123.02</x:v>
      </x:c>
      <x:c r="O338" s="4" t="n">
        <x:f>YEAR(C338)</x:f>
        <x:v>2025</x:v>
      </x:c>
      <x:c r="P338" s="4" t="str">
        <x:f>TEXT(C338,"yyyy-mm")</x:f>
        <x:v>2025-06</x:v>
      </x:c>
      <x:c r="Q338" s="4" t="str">
        <x:f>TEXT(C338,"mmmm")</x:f>
        <x:v>June</x:v>
      </x:c>
    </x:row>
    <x:row r="339" ht="20" customHeight="1">
      <x:c r="A339" s="4" t="inlineStr">
        <x:is>
          <x:t xml:space="preserve">LINE-00339</x:t>
        </x:is>
      </x:c>
      <x:c r="B339" s="4" t="inlineStr">
        <x:is>
          <x:t xml:space="preserve">ORD-2025-0221</x:t>
        </x:is>
      </x:c>
      <x:c r="C339" s="17" t="n">
        <x:v>46017</x:v>
      </x:c>
      <x:c r="D339" s="4" t="inlineStr">
        <x:is>
          <x:t xml:space="preserve">CUS-0088</x:t>
        </x:is>
      </x:c>
      <x:c r="E339" s="4" t="inlineStr">
        <x:is>
          <x:t xml:space="preserve">Office Chair</x:t>
        </x:is>
      </x:c>
      <x:c r="F339" s="4" t="inlineStr">
        <x:is>
          <x:t xml:space="preserve">Furniture</x:t>
        </x:is>
      </x:c>
      <x:c r="G339" s="4" t="inlineStr">
        <x:is>
          <x:t xml:space="preserve">New York</x:t>
        </x:is>
      </x:c>
      <x:c r="H339" s="18" t="n">
        <x:v>2</x:v>
      </x:c>
      <x:c r="I339" s="19" t="n">
        <x:v>253.75</x:v>
      </x:c>
      <x:c r="J339" s="20" t="n">
        <x:v>0</x:v>
      </x:c>
      <x:c r="K339" s="4" t="inlineStr">
        <x:is>
          <x:t xml:space="preserve">Bank Transfer</x:t>
        </x:is>
      </x:c>
      <x:c r="L339" s="19" t="n">
        <x:v>507.5</x:v>
      </x:c>
      <x:c r="M339" s="19" t="n">
        <x:v>0</x:v>
      </x:c>
      <x:c r="N339" s="19" t="n">
        <x:v>507.5</x:v>
      </x:c>
      <x:c r="O339" s="4" t="n">
        <x:f>YEAR(C339)</x:f>
        <x:v>2025</x:v>
      </x:c>
      <x:c r="P339" s="4" t="str">
        <x:f>TEXT(C339,"yyyy-mm")</x:f>
        <x:v>2025-12</x:v>
      </x:c>
      <x:c r="Q339" s="4" t="str">
        <x:f>TEXT(C339,"mmmm")</x:f>
        <x:v>December</x:v>
      </x:c>
    </x:row>
    <x:row r="340" ht="20" customHeight="1">
      <x:c r="A340" s="4" t="inlineStr">
        <x:is>
          <x:t xml:space="preserve">LINE-00340</x:t>
        </x:is>
      </x:c>
      <x:c r="B340" s="4" t="inlineStr">
        <x:is>
          <x:t xml:space="preserve">ORD-2025-0221</x:t>
        </x:is>
      </x:c>
      <x:c r="C340" s="17" t="n">
        <x:v>46017</x:v>
      </x:c>
      <x:c r="D340" s="4" t="inlineStr">
        <x:is>
          <x:t xml:space="preserve">CUS-0088</x:t>
        </x:is>
      </x:c>
      <x:c r="E340" s="4" t="inlineStr">
        <x:is>
          <x:t xml:space="preserve">Webcam</x:t>
        </x:is>
      </x:c>
      <x:c r="F340" s="4" t="inlineStr">
        <x:is>
          <x:t xml:space="preserve">Accessories</x:t>
        </x:is>
      </x:c>
      <x:c r="G340" s="4" t="inlineStr">
        <x:is>
          <x:t xml:space="preserve">New York</x:t>
        </x:is>
      </x:c>
      <x:c r="H340" s="18" t="n">
        <x:v>2</x:v>
      </x:c>
      <x:c r="I340" s="19" t="n">
        <x:v>83.41</x:v>
      </x:c>
      <x:c r="J340" s="20" t="n">
        <x:v>0</x:v>
      </x:c>
      <x:c r="K340" s="4" t="inlineStr">
        <x:is>
          <x:t xml:space="preserve">Bank Transfer</x:t>
        </x:is>
      </x:c>
      <x:c r="L340" s="19" t="n">
        <x:v>166.82</x:v>
      </x:c>
      <x:c r="M340" s="19" t="n">
        <x:v>0</x:v>
      </x:c>
      <x:c r="N340" s="19" t="n">
        <x:v>166.82</x:v>
      </x:c>
      <x:c r="O340" s="4" t="n">
        <x:f>YEAR(C340)</x:f>
        <x:v>2025</x:v>
      </x:c>
      <x:c r="P340" s="4" t="str">
        <x:f>TEXT(C340,"yyyy-mm")</x:f>
        <x:v>2025-12</x:v>
      </x:c>
      <x:c r="Q340" s="4" t="str">
        <x:f>TEXT(C340,"mmmm")</x:f>
        <x:v>December</x:v>
      </x:c>
    </x:row>
    <x:row r="341" ht="20" customHeight="1">
      <x:c r="A341" s="4" t="inlineStr">
        <x:is>
          <x:t xml:space="preserve">LINE-00341</x:t>
        </x:is>
      </x:c>
      <x:c r="B341" s="4" t="inlineStr">
        <x:is>
          <x:t xml:space="preserve">ORD-2025-0222</x:t>
        </x:is>
      </x:c>
      <x:c r="C341" s="17" t="n">
        <x:v>46012</x:v>
      </x:c>
      <x:c r="D341" s="4" t="inlineStr">
        <x:is>
          <x:t xml:space="preserve">CUS-0291</x:t>
        </x:is>
      </x:c>
      <x:c r="E341" s="4" t="inlineStr">
        <x:is>
          <x:t xml:space="preserve">Monitor</x:t>
        </x:is>
      </x:c>
      <x:c r="F341" s="4" t="inlineStr">
        <x:is>
          <x:t xml:space="preserve">Computers</x:t>
        </x:is>
      </x:c>
      <x:c r="G341" s="4" t="inlineStr">
        <x:is>
          <x:t xml:space="preserve">Seattle</x:t>
        </x:is>
      </x:c>
      <x:c r="H341" s="18" t="n">
        <x:v>3</x:v>
      </x:c>
      <x:c r="I341" s="19" t="n">
        <x:v>270.16</x:v>
      </x:c>
      <x:c r="J341" s="20" t="n">
        <x:v>0.05</x:v>
      </x:c>
      <x:c r="K341" s="4" t="inlineStr">
        <x:is>
          <x:t xml:space="preserve">PayPal</x:t>
        </x:is>
      </x:c>
      <x:c r="L341" s="19" t="n">
        <x:v>810.48</x:v>
      </x:c>
      <x:c r="M341" s="19" t="n">
        <x:v>40.52</x:v>
      </x:c>
      <x:c r="N341" s="19" t="n">
        <x:v>769.96</x:v>
      </x:c>
      <x:c r="O341" s="4" t="n">
        <x:f>YEAR(C341)</x:f>
        <x:v>2025</x:v>
      </x:c>
      <x:c r="P341" s="4" t="str">
        <x:f>TEXT(C341,"yyyy-mm")</x:f>
        <x:v>2025-12</x:v>
      </x:c>
      <x:c r="Q341" s="4" t="str">
        <x:f>TEXT(C341,"mmmm")</x:f>
        <x:v>December</x:v>
      </x:c>
    </x:row>
    <x:row r="342" ht="20" customHeight="1">
      <x:c r="A342" s="4" t="inlineStr">
        <x:is>
          <x:t xml:space="preserve">LINE-00342</x:t>
        </x:is>
      </x:c>
      <x:c r="B342" s="4" t="inlineStr">
        <x:is>
          <x:t xml:space="preserve">ORD-2025-0223</x:t>
        </x:is>
      </x:c>
      <x:c r="C342" s="17" t="n">
        <x:v>45994</x:v>
      </x:c>
      <x:c r="D342" s="4" t="inlineStr">
        <x:is>
          <x:t xml:space="preserve">CUS-0017</x:t>
        </x:is>
      </x:c>
      <x:c r="E342" s="4" t="inlineStr">
        <x:is>
          <x:t xml:space="preserve">Wireless Mouse</x:t>
        </x:is>
      </x:c>
      <x:c r="F342" s="4" t="inlineStr">
        <x:is>
          <x:t xml:space="preserve">Accessories</x:t>
        </x:is>
      </x:c>
      <x:c r="G342" s="4" t="inlineStr">
        <x:is>
          <x:t xml:space="preserve">Chicago</x:t>
        </x:is>
      </x:c>
      <x:c r="H342" s="18" t="n">
        <x:v>2</x:v>
      </x:c>
      <x:c r="I342" s="19" t="n">
        <x:v>46.82</x:v>
      </x:c>
      <x:c r="J342" s="20" t="n">
        <x:v>0.1</x:v>
      </x:c>
      <x:c r="K342" s="4" t="inlineStr">
        <x:is>
          <x:t xml:space="preserve">PayPal</x:t>
        </x:is>
      </x:c>
      <x:c r="L342" s="19" t="n">
        <x:v>93.64</x:v>
      </x:c>
      <x:c r="M342" s="19" t="n">
        <x:v>9.359999999999999</x:v>
      </x:c>
      <x:c r="N342" s="19" t="n">
        <x:v>84.28</x:v>
      </x:c>
      <x:c r="O342" s="4" t="n">
        <x:f>YEAR(C342)</x:f>
        <x:v>2025</x:v>
      </x:c>
      <x:c r="P342" s="4" t="str">
        <x:f>TEXT(C342,"yyyy-mm")</x:f>
        <x:v>2025-12</x:v>
      </x:c>
      <x:c r="Q342" s="4" t="str">
        <x:f>TEXT(C342,"mmmm")</x:f>
        <x:v>December</x:v>
      </x:c>
    </x:row>
    <x:row r="343" ht="20" customHeight="1">
      <x:c r="A343" s="4" t="inlineStr">
        <x:is>
          <x:t xml:space="preserve">LINE-00343</x:t>
        </x:is>
      </x:c>
      <x:c r="B343" s="4" t="inlineStr">
        <x:is>
          <x:t xml:space="preserve">ORD-2025-0224</x:t>
        </x:is>
      </x:c>
      <x:c r="C343" s="17" t="n">
        <x:v>45861</x:v>
      </x:c>
      <x:c r="D343" s="4" t="inlineStr">
        <x:is>
          <x:t xml:space="preserve">CUS-0040</x:t>
        </x:is>
      </x:c>
      <x:c r="E343" s="4" t="inlineStr">
        <x:is>
          <x:t xml:space="preserve">USB Flash Drive</x:t>
        </x:is>
      </x:c>
      <x:c r="F343" s="4" t="inlineStr">
        <x:is>
          <x:t xml:space="preserve">Storage</x:t>
        </x:is>
      </x:c>
      <x:c r="G343" s="4" t="inlineStr">
        <x:is>
          <x:t xml:space="preserve">Austin</x:t>
        </x:is>
      </x:c>
      <x:c r="H343" s="18" t="n">
        <x:v>2</x:v>
      </x:c>
      <x:c r="I343" s="19" t="n">
        <x:v>30.19</x:v>
      </x:c>
      <x:c r="J343" s="20" t="n">
        <x:v>0</x:v>
      </x:c>
      <x:c r="K343" s="4" t="inlineStr">
        <x:is>
          <x:t xml:space="preserve">Debit Card</x:t>
        </x:is>
      </x:c>
      <x:c r="L343" s="19" t="n">
        <x:v>60.38</x:v>
      </x:c>
      <x:c r="M343" s="19" t="n">
        <x:v>0</x:v>
      </x:c>
      <x:c r="N343" s="19" t="n">
        <x:v>60.38</x:v>
      </x:c>
      <x:c r="O343" s="4" t="n">
        <x:f>YEAR(C343)</x:f>
        <x:v>2025</x:v>
      </x:c>
      <x:c r="P343" s="4" t="str">
        <x:f>TEXT(C343,"yyyy-mm")</x:f>
        <x:v>2025-07</x:v>
      </x:c>
      <x:c r="Q343" s="4" t="str">
        <x:f>TEXT(C343,"mmmm")</x:f>
        <x:v>July</x:v>
      </x:c>
    </x:row>
    <x:row r="344" ht="20" customHeight="1">
      <x:c r="A344" s="4" t="inlineStr">
        <x:is>
          <x:t xml:space="preserve">LINE-00344</x:t>
        </x:is>
      </x:c>
      <x:c r="B344" s="4" t="inlineStr">
        <x:is>
          <x:t xml:space="preserve">ORD-2025-0224</x:t>
        </x:is>
      </x:c>
      <x:c r="C344" s="17" t="n">
        <x:v>45861</x:v>
      </x:c>
      <x:c r="D344" s="4" t="inlineStr">
        <x:is>
          <x:t xml:space="preserve">CUS-0040</x:t>
        </x:is>
      </x:c>
      <x:c r="E344" s="4" t="inlineStr">
        <x:is>
          <x:t xml:space="preserve">Headphones</x:t>
        </x:is>
      </x:c>
      <x:c r="F344" s="4" t="inlineStr">
        <x:is>
          <x:t xml:space="preserve">Audio</x:t>
        </x:is>
      </x:c>
      <x:c r="G344" s="4" t="inlineStr">
        <x:is>
          <x:t xml:space="preserve">Austin</x:t>
        </x:is>
      </x:c>
      <x:c r="H344" s="18" t="n">
        <x:v>3</x:v>
      </x:c>
      <x:c r="I344" s="19" t="n">
        <x:v>136.04</x:v>
      </x:c>
      <x:c r="J344" s="20" t="n">
        <x:v>0.05</x:v>
      </x:c>
      <x:c r="K344" s="4" t="inlineStr">
        <x:is>
          <x:t xml:space="preserve">Debit Card</x:t>
        </x:is>
      </x:c>
      <x:c r="L344" s="19" t="n">
        <x:v>408.12</x:v>
      </x:c>
      <x:c r="M344" s="19" t="n">
        <x:v>20.41</x:v>
      </x:c>
      <x:c r="N344" s="19" t="n">
        <x:v>387.71</x:v>
      </x:c>
      <x:c r="O344" s="4" t="n">
        <x:f>YEAR(C344)</x:f>
        <x:v>2025</x:v>
      </x:c>
      <x:c r="P344" s="4" t="str">
        <x:f>TEXT(C344,"yyyy-mm")</x:f>
        <x:v>2025-07</x:v>
      </x:c>
      <x:c r="Q344" s="4" t="str">
        <x:f>TEXT(C344,"mmmm")</x:f>
        <x:v>July</x:v>
      </x:c>
    </x:row>
    <x:row r="345" ht="20" customHeight="1">
      <x:c r="A345" s="4" t="inlineStr">
        <x:is>
          <x:t xml:space="preserve">LINE-00345</x:t>
        </x:is>
      </x:c>
      <x:c r="B345" s="4" t="inlineStr">
        <x:is>
          <x:t xml:space="preserve">ORD-2025-0225</x:t>
        </x:is>
      </x:c>
      <x:c r="C345" s="17" t="n">
        <x:v>45698</x:v>
      </x:c>
      <x:c r="D345" s="4" t="inlineStr">
        <x:is>
          <x:t xml:space="preserve">CUS-0257</x:t>
        </x:is>
      </x:c>
      <x:c r="E345" s="4" t="inlineStr">
        <x:is>
          <x:t xml:space="preserve">Headphones</x:t>
        </x:is>
      </x:c>
      <x:c r="F345" s="4" t="inlineStr">
        <x:is>
          <x:t xml:space="preserve">Audio</x:t>
        </x:is>
      </x:c>
      <x:c r="G345" s="4" t="inlineStr">
        <x:is>
          <x:t xml:space="preserve">San Francisco</x:t>
        </x:is>
      </x:c>
      <x:c r="H345" s="18" t="n">
        <x:v>1</x:v>
      </x:c>
      <x:c r="I345" s="19" t="n">
        <x:v>121.18</x:v>
      </x:c>
      <x:c r="J345" s="20" t="n">
        <x:v>0.05</x:v>
      </x:c>
      <x:c r="K345" s="4" t="inlineStr">
        <x:is>
          <x:t xml:space="preserve">PayPal</x:t>
        </x:is>
      </x:c>
      <x:c r="L345" s="19" t="n">
        <x:v>121.18</x:v>
      </x:c>
      <x:c r="M345" s="19" t="n">
        <x:v>6.06</x:v>
      </x:c>
      <x:c r="N345" s="19" t="n">
        <x:v>115.12</x:v>
      </x:c>
      <x:c r="O345" s="4" t="n">
        <x:f>YEAR(C345)</x:f>
        <x:v>2025</x:v>
      </x:c>
      <x:c r="P345" s="4" t="str">
        <x:f>TEXT(C345,"yyyy-mm")</x:f>
        <x:v>2025-02</x:v>
      </x:c>
      <x:c r="Q345" s="4" t="str">
        <x:f>TEXT(C345,"mmmm")</x:f>
        <x:v>February</x:v>
      </x:c>
    </x:row>
    <x:row r="346" ht="20" customHeight="1">
      <x:c r="A346" s="4" t="inlineStr">
        <x:is>
          <x:t xml:space="preserve">LINE-00346</x:t>
        </x:is>
      </x:c>
      <x:c r="B346" s="4" t="inlineStr">
        <x:is>
          <x:t xml:space="preserve">ORD-2025-0226</x:t>
        </x:is>
      </x:c>
      <x:c r="C346" s="17" t="n">
        <x:v>45972</x:v>
      </x:c>
      <x:c r="D346" s="4" t="inlineStr">
        <x:is>
          <x:t xml:space="preserve">CUS-0305</x:t>
        </x:is>
      </x:c>
      <x:c r="E346" s="4" t="inlineStr">
        <x:is>
          <x:t xml:space="preserve">USB-C Hub</x:t>
        </x:is>
      </x:c>
      <x:c r="F346" s="4" t="inlineStr">
        <x:is>
          <x:t xml:space="preserve">Accessories</x:t>
        </x:is>
      </x:c>
      <x:c r="G346" s="4" t="inlineStr">
        <x:is>
          <x:t xml:space="preserve">Seattle</x:t>
        </x:is>
      </x:c>
      <x:c r="H346" s="18" t="n">
        <x:v>3</x:v>
      </x:c>
      <x:c r="I346" s="19" t="n">
        <x:v>64.48999999999999</x:v>
      </x:c>
      <x:c r="J346" s="20" t="n">
        <x:v>0</x:v>
      </x:c>
      <x:c r="K346" s="4" t="inlineStr">
        <x:is>
          <x:t xml:space="preserve">PayPal</x:t>
        </x:is>
      </x:c>
      <x:c r="L346" s="19" t="n">
        <x:v>193.47</x:v>
      </x:c>
      <x:c r="M346" s="19" t="n">
        <x:v>0</x:v>
      </x:c>
      <x:c r="N346" s="19" t="n">
        <x:v>193.47</x:v>
      </x:c>
      <x:c r="O346" s="4" t="n">
        <x:f>YEAR(C346)</x:f>
        <x:v>2025</x:v>
      </x:c>
      <x:c r="P346" s="4" t="str">
        <x:f>TEXT(C346,"yyyy-mm")</x:f>
        <x:v>2025-11</x:v>
      </x:c>
      <x:c r="Q346" s="4" t="str">
        <x:f>TEXT(C346,"mmmm")</x:f>
        <x:v>November</x:v>
      </x:c>
    </x:row>
    <x:row r="347" ht="20" customHeight="1">
      <x:c r="A347" s="4" t="inlineStr">
        <x:is>
          <x:t xml:space="preserve">LINE-00347</x:t>
        </x:is>
      </x:c>
      <x:c r="B347" s="4" t="inlineStr">
        <x:is>
          <x:t xml:space="preserve">ORD-2025-0227</x:t>
        </x:is>
      </x:c>
      <x:c r="C347" s="17" t="n">
        <x:v>45941</x:v>
      </x:c>
      <x:c r="D347" s="4" t="inlineStr">
        <x:is>
          <x:t xml:space="preserve">CUS-0193</x:t>
        </x:is>
      </x:c>
      <x:c r="E347" s="4" t="inlineStr">
        <x:is>
          <x:t xml:space="preserve">Office Chair</x:t>
        </x:is>
      </x:c>
      <x:c r="F347" s="4" t="inlineStr">
        <x:is>
          <x:t xml:space="preserve">Furniture</x:t>
        </x:is>
      </x:c>
      <x:c r="G347" s="4" t="inlineStr">
        <x:is>
          <x:t xml:space="preserve">Seattle</x:t>
        </x:is>
      </x:c>
      <x:c r="H347" s="18" t="n">
        <x:v>1</x:v>
      </x:c>
      <x:c r="I347" s="19" t="n">
        <x:v>244.55</x:v>
      </x:c>
      <x:c r="J347" s="20" t="n">
        <x:v>0.1</x:v>
      </x:c>
      <x:c r="K347" s="4" t="inlineStr">
        <x:is>
          <x:t xml:space="preserve">Debit Card</x:t>
        </x:is>
      </x:c>
      <x:c r="L347" s="19" t="n">
        <x:v>244.55</x:v>
      </x:c>
      <x:c r="M347" s="19" t="n">
        <x:v>24.46</x:v>
      </x:c>
      <x:c r="N347" s="19" t="n">
        <x:v>220.09</x:v>
      </x:c>
      <x:c r="O347" s="4" t="n">
        <x:f>YEAR(C347)</x:f>
        <x:v>2025</x:v>
      </x:c>
      <x:c r="P347" s="4" t="str">
        <x:f>TEXT(C347,"yyyy-mm")</x:f>
        <x:v>2025-10</x:v>
      </x:c>
      <x:c r="Q347" s="4" t="str">
        <x:f>TEXT(C347,"mmmm")</x:f>
        <x:v>October</x:v>
      </x:c>
    </x:row>
    <x:row r="348" ht="20" customHeight="1">
      <x:c r="A348" s="4" t="inlineStr">
        <x:is>
          <x:t xml:space="preserve">LINE-00348</x:t>
        </x:is>
      </x:c>
      <x:c r="B348" s="4" t="inlineStr">
        <x:is>
          <x:t xml:space="preserve">ORD-2025-0227</x:t>
        </x:is>
      </x:c>
      <x:c r="C348" s="17" t="n">
        <x:v>45941</x:v>
      </x:c>
      <x:c r="D348" s="4" t="inlineStr">
        <x:is>
          <x:t xml:space="preserve">CUS-0193</x:t>
        </x:is>
      </x:c>
      <x:c r="E348" s="4" t="inlineStr">
        <x:is>
          <x:t xml:space="preserve">Headphones</x:t>
        </x:is>
      </x:c>
      <x:c r="F348" s="4" t="inlineStr">
        <x:is>
          <x:t xml:space="preserve">Audio</x:t>
        </x:is>
      </x:c>
      <x:c r="G348" s="4" t="inlineStr">
        <x:is>
          <x:t xml:space="preserve">Seattle</x:t>
        </x:is>
      </x:c>
      <x:c r="H348" s="18" t="n">
        <x:v>3</x:v>
      </x:c>
      <x:c r="I348" s="19" t="n">
        <x:v>121.31</x:v>
      </x:c>
      <x:c r="J348" s="20" t="n">
        <x:v>0</x:v>
      </x:c>
      <x:c r="K348" s="4" t="inlineStr">
        <x:is>
          <x:t xml:space="preserve">Debit Card</x:t>
        </x:is>
      </x:c>
      <x:c r="L348" s="19" t="n">
        <x:v>363.93</x:v>
      </x:c>
      <x:c r="M348" s="19" t="n">
        <x:v>0</x:v>
      </x:c>
      <x:c r="N348" s="19" t="n">
        <x:v>363.93</x:v>
      </x:c>
      <x:c r="O348" s="4" t="n">
        <x:f>YEAR(C348)</x:f>
        <x:v>2025</x:v>
      </x:c>
      <x:c r="P348" s="4" t="str">
        <x:f>TEXT(C348,"yyyy-mm")</x:f>
        <x:v>2025-10</x:v>
      </x:c>
      <x:c r="Q348" s="4" t="str">
        <x:f>TEXT(C348,"mmmm")</x:f>
        <x:v>October</x:v>
      </x:c>
    </x:row>
    <x:row r="349" ht="20" customHeight="1">
      <x:c r="A349" s="4" t="inlineStr">
        <x:is>
          <x:t xml:space="preserve">LINE-00349</x:t>
        </x:is>
      </x:c>
      <x:c r="B349" s="4" t="inlineStr">
        <x:is>
          <x:t xml:space="preserve">ORD-2025-0228</x:t>
        </x:is>
      </x:c>
      <x:c r="C349" s="17" t="n">
        <x:v>46022</x:v>
      </x:c>
      <x:c r="D349" s="4" t="inlineStr">
        <x:is>
          <x:t xml:space="preserve">CUS-0325</x:t>
        </x:is>
      </x:c>
      <x:c r="E349" s="4" t="inlineStr">
        <x:is>
          <x:t xml:space="preserve">Monitor</x:t>
        </x:is>
      </x:c>
      <x:c r="F349" s="4" t="inlineStr">
        <x:is>
          <x:t xml:space="preserve">Computers</x:t>
        </x:is>
      </x:c>
      <x:c r="G349" s="4" t="inlineStr">
        <x:is>
          <x:t xml:space="preserve">Chicago</x:t>
        </x:is>
      </x:c>
      <x:c r="H349" s="18" t="n">
        <x:v>1</x:v>
      </x:c>
      <x:c r="I349" s="19" t="n">
        <x:v>299.84</x:v>
      </x:c>
      <x:c r="J349" s="20" t="n">
        <x:v>0</x:v>
      </x:c>
      <x:c r="K349" s="4" t="inlineStr">
        <x:is>
          <x:t xml:space="preserve">Bank Transfer</x:t>
        </x:is>
      </x:c>
      <x:c r="L349" s="19" t="n">
        <x:v>299.84</x:v>
      </x:c>
      <x:c r="M349" s="19" t="n">
        <x:v>0</x:v>
      </x:c>
      <x:c r="N349" s="19" t="n">
        <x:v>299.84</x:v>
      </x:c>
      <x:c r="O349" s="4" t="n">
        <x:f>YEAR(C349)</x:f>
        <x:v>2025</x:v>
      </x:c>
      <x:c r="P349" s="4" t="str">
        <x:f>TEXT(C349,"yyyy-mm")</x:f>
        <x:v>2025-12</x:v>
      </x:c>
      <x:c r="Q349" s="4" t="str">
        <x:f>TEXT(C349,"mmmm")</x:f>
        <x:v>December</x:v>
      </x:c>
    </x:row>
    <x:row r="350" ht="20" customHeight="1">
      <x:c r="A350" s="4" t="inlineStr">
        <x:is>
          <x:t xml:space="preserve">LINE-00350</x:t>
        </x:is>
      </x:c>
      <x:c r="B350" s="4" t="inlineStr">
        <x:is>
          <x:t xml:space="preserve">ORD-2025-0229</x:t>
        </x:is>
      </x:c>
      <x:c r="C350" s="17" t="n">
        <x:v>45796</x:v>
      </x:c>
      <x:c r="D350" s="4" t="inlineStr">
        <x:is>
          <x:t xml:space="preserve">CUS-0053</x:t>
        </x:is>
      </x:c>
      <x:c r="E350" s="4" t="inlineStr">
        <x:is>
          <x:t xml:space="preserve">Bluetooth Speaker</x:t>
        </x:is>
      </x:c>
      <x:c r="F350" s="4" t="inlineStr">
        <x:is>
          <x:t xml:space="preserve">Audio</x:t>
        </x:is>
      </x:c>
      <x:c r="G350" s="4" t="inlineStr">
        <x:is>
          <x:t xml:space="preserve">Chicago</x:t>
        </x:is>
      </x:c>
      <x:c r="H350" s="18" t="n">
        <x:v>2</x:v>
      </x:c>
      <x:c r="I350" s="19" t="n">
        <x:v>110.22</x:v>
      </x:c>
      <x:c r="J350" s="20" t="n">
        <x:v>0</x:v>
      </x:c>
      <x:c r="K350" s="4" t="inlineStr">
        <x:is>
          <x:t xml:space="preserve">Credit Card</x:t>
        </x:is>
      </x:c>
      <x:c r="L350" s="19" t="n">
        <x:v>220.44</x:v>
      </x:c>
      <x:c r="M350" s="19" t="n">
        <x:v>0</x:v>
      </x:c>
      <x:c r="N350" s="19" t="n">
        <x:v>220.44</x:v>
      </x:c>
      <x:c r="O350" s="4" t="n">
        <x:f>YEAR(C350)</x:f>
        <x:v>2025</x:v>
      </x:c>
      <x:c r="P350" s="4" t="str">
        <x:f>TEXT(C350,"yyyy-mm")</x:f>
        <x:v>2025-05</x:v>
      </x:c>
      <x:c r="Q350" s="4" t="str">
        <x:f>TEXT(C350,"mmmm")</x:f>
        <x:v>May</x:v>
      </x:c>
    </x:row>
    <x:row r="351" ht="20" customHeight="1">
      <x:c r="A351" s="4" t="inlineStr">
        <x:is>
          <x:t xml:space="preserve">LINE-00351</x:t>
        </x:is>
      </x:c>
      <x:c r="B351" s="4" t="inlineStr">
        <x:is>
          <x:t xml:space="preserve">ORD-2025-0230</x:t>
        </x:is>
      </x:c>
      <x:c r="C351" s="17" t="n">
        <x:v>45703</x:v>
      </x:c>
      <x:c r="D351" s="4" t="inlineStr">
        <x:is>
          <x:t xml:space="preserve">CUS-0182</x:t>
        </x:is>
      </x:c>
      <x:c r="E351" s="4" t="inlineStr">
        <x:is>
          <x:t xml:space="preserve">Webcam</x:t>
        </x:is>
      </x:c>
      <x:c r="F351" s="4" t="inlineStr">
        <x:is>
          <x:t xml:space="preserve">Accessories</x:t>
        </x:is>
      </x:c>
      <x:c r="G351" s="4" t="inlineStr">
        <x:is>
          <x:t xml:space="preserve">Boston</x:t>
        </x:is>
      </x:c>
      <x:c r="H351" s="18" t="n">
        <x:v>1</x:v>
      </x:c>
      <x:c r="I351" s="19" t="n">
        <x:v>88.76000000000001</x:v>
      </x:c>
      <x:c r="J351" s="20" t="n">
        <x:v>0.1</x:v>
      </x:c>
      <x:c r="K351" s="4" t="inlineStr">
        <x:is>
          <x:t xml:space="preserve">Credit Card</x:t>
        </x:is>
      </x:c>
      <x:c r="L351" s="19" t="n">
        <x:v>88.76000000000001</x:v>
      </x:c>
      <x:c r="M351" s="19" t="n">
        <x:v>8.880000000000001</x:v>
      </x:c>
      <x:c r="N351" s="19" t="n">
        <x:v>79.88</x:v>
      </x:c>
      <x:c r="O351" s="4" t="n">
        <x:f>YEAR(C351)</x:f>
        <x:v>2025</x:v>
      </x:c>
      <x:c r="P351" s="4" t="str">
        <x:f>TEXT(C351,"yyyy-mm")</x:f>
        <x:v>2025-02</x:v>
      </x:c>
      <x:c r="Q351" s="4" t="str">
        <x:f>TEXT(C351,"mmmm")</x:f>
        <x:v>February</x:v>
      </x:c>
    </x:row>
    <x:row r="352" ht="20" customHeight="1">
      <x:c r="A352" s="4" t="inlineStr">
        <x:is>
          <x:t xml:space="preserve">LINE-00352</x:t>
        </x:is>
      </x:c>
      <x:c r="B352" s="4" t="inlineStr">
        <x:is>
          <x:t xml:space="preserve">ORD-2025-0230</x:t>
        </x:is>
      </x:c>
      <x:c r="C352" s="17" t="n">
        <x:v>45703</x:v>
      </x:c>
      <x:c r="D352" s="4" t="inlineStr">
        <x:is>
          <x:t xml:space="preserve">CUS-0182</x:t>
        </x:is>
      </x:c>
      <x:c r="E352" s="4" t="inlineStr">
        <x:is>
          <x:t xml:space="preserve">Headphones</x:t>
        </x:is>
      </x:c>
      <x:c r="F352" s="4" t="inlineStr">
        <x:is>
          <x:t xml:space="preserve">Audio</x:t>
        </x:is>
      </x:c>
      <x:c r="G352" s="4" t="inlineStr">
        <x:is>
          <x:t xml:space="preserve">Boston</x:t>
        </x:is>
      </x:c>
      <x:c r="H352" s="18" t="n">
        <x:v>3</x:v>
      </x:c>
      <x:c r="I352" s="19" t="n">
        <x:v>131.24</x:v>
      </x:c>
      <x:c r="J352" s="20" t="n">
        <x:v>0.2</x:v>
      </x:c>
      <x:c r="K352" s="4" t="inlineStr">
        <x:is>
          <x:t xml:space="preserve">Credit Card</x:t>
        </x:is>
      </x:c>
      <x:c r="L352" s="19" t="n">
        <x:v>393.72</x:v>
      </x:c>
      <x:c r="M352" s="19" t="n">
        <x:v>78.73999999999999</x:v>
      </x:c>
      <x:c r="N352" s="19" t="n">
        <x:v>314.98</x:v>
      </x:c>
      <x:c r="O352" s="4" t="n">
        <x:f>YEAR(C352)</x:f>
        <x:v>2025</x:v>
      </x:c>
      <x:c r="P352" s="4" t="str">
        <x:f>TEXT(C352,"yyyy-mm")</x:f>
        <x:v>2025-02</x:v>
      </x:c>
      <x:c r="Q352" s="4" t="str">
        <x:f>TEXT(C352,"mmmm")</x:f>
        <x:v>February</x:v>
      </x:c>
    </x:row>
    <x:row r="353" ht="20" customHeight="1">
      <x:c r="A353" s="4" t="inlineStr">
        <x:is>
          <x:t xml:space="preserve">LINE-00353</x:t>
        </x:is>
      </x:c>
      <x:c r="B353" s="4" t="inlineStr">
        <x:is>
          <x:t xml:space="preserve">ORD-2025-0231</x:t>
        </x:is>
      </x:c>
      <x:c r="C353" s="17" t="n">
        <x:v>45782</x:v>
      </x:c>
      <x:c r="D353" s="4" t="inlineStr">
        <x:is>
          <x:t xml:space="preserve">CUS-0293</x:t>
        </x:is>
      </x:c>
      <x:c r="E353" s="4" t="inlineStr">
        <x:is>
          <x:t xml:space="preserve">Keyboard</x:t>
        </x:is>
      </x:c>
      <x:c r="F353" s="4" t="inlineStr">
        <x:is>
          <x:t xml:space="preserve">Accessories</x:t>
        </x:is>
      </x:c>
      <x:c r="G353" s="4" t="inlineStr">
        <x:is>
          <x:t xml:space="preserve">Boston</x:t>
        </x:is>
      </x:c>
      <x:c r="H353" s="18" t="n">
        <x:v>1</x:v>
      </x:c>
      <x:c r="I353" s="19" t="n">
        <x:v>72.22</x:v>
      </x:c>
      <x:c r="J353" s="20" t="n">
        <x:v>0</x:v>
      </x:c>
      <x:c r="K353" s="4" t="inlineStr">
        <x:is>
          <x:t xml:space="preserve">Debit Card</x:t>
        </x:is>
      </x:c>
      <x:c r="L353" s="19" t="n">
        <x:v>72.22</x:v>
      </x:c>
      <x:c r="M353" s="19" t="n">
        <x:v>0</x:v>
      </x:c>
      <x:c r="N353" s="19" t="n">
        <x:v>72.22</x:v>
      </x:c>
      <x:c r="O353" s="4" t="n">
        <x:f>YEAR(C353)</x:f>
        <x:v>2025</x:v>
      </x:c>
      <x:c r="P353" s="4" t="str">
        <x:f>TEXT(C353,"yyyy-mm")</x:f>
        <x:v>2025-05</x:v>
      </x:c>
      <x:c r="Q353" s="4" t="str">
        <x:f>TEXT(C353,"mmmm")</x:f>
        <x:v>May</x:v>
      </x:c>
    </x:row>
    <x:row r="354" ht="20" customHeight="1">
      <x:c r="A354" s="4" t="inlineStr">
        <x:is>
          <x:t xml:space="preserve">LINE-00354</x:t>
        </x:is>
      </x:c>
      <x:c r="B354" s="4" t="inlineStr">
        <x:is>
          <x:t xml:space="preserve">ORD-2025-0231</x:t>
        </x:is>
      </x:c>
      <x:c r="C354" s="17" t="n">
        <x:v>45782</x:v>
      </x:c>
      <x:c r="D354" s="4" t="inlineStr">
        <x:is>
          <x:t xml:space="preserve">CUS-0293</x:t>
        </x:is>
      </x:c>
      <x:c r="E354" s="4" t="inlineStr">
        <x:is>
          <x:t xml:space="preserve">Desk Lamp</x:t>
        </x:is>
      </x:c>
      <x:c r="F354" s="4" t="inlineStr">
        <x:is>
          <x:t xml:space="preserve">Furniture</x:t>
        </x:is>
      </x:c>
      <x:c r="G354" s="4" t="inlineStr">
        <x:is>
          <x:t xml:space="preserve">Boston</x:t>
        </x:is>
      </x:c>
      <x:c r="H354" s="18" t="n">
        <x:v>1</x:v>
      </x:c>
      <x:c r="I354" s="19" t="n">
        <x:v>53.03</x:v>
      </x:c>
      <x:c r="J354" s="20" t="n">
        <x:v>0</x:v>
      </x:c>
      <x:c r="K354" s="4" t="inlineStr">
        <x:is>
          <x:t xml:space="preserve">Debit Card</x:t>
        </x:is>
      </x:c>
      <x:c r="L354" s="19" t="n">
        <x:v>53.03</x:v>
      </x:c>
      <x:c r="M354" s="19" t="n">
        <x:v>0</x:v>
      </x:c>
      <x:c r="N354" s="19" t="n">
        <x:v>53.03</x:v>
      </x:c>
      <x:c r="O354" s="4" t="n">
        <x:f>YEAR(C354)</x:f>
        <x:v>2025</x:v>
      </x:c>
      <x:c r="P354" s="4" t="str">
        <x:f>TEXT(C354,"yyyy-mm")</x:f>
        <x:v>2025-05</x:v>
      </x:c>
      <x:c r="Q354" s="4" t="str">
        <x:f>TEXT(C354,"mmmm")</x:f>
        <x:v>May</x:v>
      </x:c>
    </x:row>
    <x:row r="355" ht="20" customHeight="1">
      <x:c r="A355" s="4" t="inlineStr">
        <x:is>
          <x:t xml:space="preserve">LINE-00355</x:t>
        </x:is>
      </x:c>
      <x:c r="B355" s="4" t="inlineStr">
        <x:is>
          <x:t xml:space="preserve">ORD-2025-0232</x:t>
        </x:is>
      </x:c>
      <x:c r="C355" s="17" t="n">
        <x:v>45697</x:v>
      </x:c>
      <x:c r="D355" s="4" t="inlineStr">
        <x:is>
          <x:t xml:space="preserve">CUS-0185</x:t>
        </x:is>
      </x:c>
      <x:c r="E355" s="4" t="inlineStr">
        <x:is>
          <x:t xml:space="preserve">Bluetooth Speaker</x:t>
        </x:is>
      </x:c>
      <x:c r="F355" s="4" t="inlineStr">
        <x:is>
          <x:t xml:space="preserve">Audio</x:t>
        </x:is>
      </x:c>
      <x:c r="G355" s="4" t="inlineStr">
        <x:is>
          <x:t xml:space="preserve">Austin</x:t>
        </x:is>
      </x:c>
      <x:c r="H355" s="18" t="n">
        <x:v>2</x:v>
      </x:c>
      <x:c r="I355" s="19" t="n">
        <x:v>109.26</x:v>
      </x:c>
      <x:c r="J355" s="20" t="n">
        <x:v>0</x:v>
      </x:c>
      <x:c r="K355" s="4" t="inlineStr">
        <x:is>
          <x:t xml:space="preserve">Debit Card</x:t>
        </x:is>
      </x:c>
      <x:c r="L355" s="19" t="n">
        <x:v>218.52</x:v>
      </x:c>
      <x:c r="M355" s="19" t="n">
        <x:v>0</x:v>
      </x:c>
      <x:c r="N355" s="19" t="n">
        <x:v>218.52</x:v>
      </x:c>
      <x:c r="O355" s="4" t="n">
        <x:f>YEAR(C355)</x:f>
        <x:v>2025</x:v>
      </x:c>
      <x:c r="P355" s="4" t="str">
        <x:f>TEXT(C355,"yyyy-mm")</x:f>
        <x:v>2025-02</x:v>
      </x:c>
      <x:c r="Q355" s="4" t="str">
        <x:f>TEXT(C355,"mmmm")</x:f>
        <x:v>February</x:v>
      </x:c>
    </x:row>
    <x:row r="356" ht="20" customHeight="1">
      <x:c r="A356" s="4" t="inlineStr">
        <x:is>
          <x:t xml:space="preserve">LINE-00356</x:t>
        </x:is>
      </x:c>
      <x:c r="B356" s="4" t="inlineStr">
        <x:is>
          <x:t xml:space="preserve">ORD-2025-0232</x:t>
        </x:is>
      </x:c>
      <x:c r="C356" s="17" t="n">
        <x:v>45697</x:v>
      </x:c>
      <x:c r="D356" s="4" t="inlineStr">
        <x:is>
          <x:t xml:space="preserve">CUS-0185</x:t>
        </x:is>
      </x:c>
      <x:c r="E356" s="4" t="inlineStr">
        <x:is>
          <x:t xml:space="preserve">USB Flash Drive</x:t>
        </x:is>
      </x:c>
      <x:c r="F356" s="4" t="inlineStr">
        <x:is>
          <x:t xml:space="preserve">Storage</x:t>
        </x:is>
      </x:c>
      <x:c r="G356" s="4" t="inlineStr">
        <x:is>
          <x:t xml:space="preserve">Austin</x:t>
        </x:is>
      </x:c>
      <x:c r="H356" s="18" t="n">
        <x:v>1</x:v>
      </x:c>
      <x:c r="I356" s="19" t="n">
        <x:v>29.5</x:v>
      </x:c>
      <x:c r="J356" s="20" t="n">
        <x:v>0.1</x:v>
      </x:c>
      <x:c r="K356" s="4" t="inlineStr">
        <x:is>
          <x:t xml:space="preserve">Debit Card</x:t>
        </x:is>
      </x:c>
      <x:c r="L356" s="19" t="n">
        <x:v>29.5</x:v>
      </x:c>
      <x:c r="M356" s="19" t="n">
        <x:v>2.95</x:v>
      </x:c>
      <x:c r="N356" s="19" t="n">
        <x:v>26.55</x:v>
      </x:c>
      <x:c r="O356" s="4" t="n">
        <x:f>YEAR(C356)</x:f>
        <x:v>2025</x:v>
      </x:c>
      <x:c r="P356" s="4" t="str">
        <x:f>TEXT(C356,"yyyy-mm")</x:f>
        <x:v>2025-02</x:v>
      </x:c>
      <x:c r="Q356" s="4" t="str">
        <x:f>TEXT(C356,"mmmm")</x:f>
        <x:v>February</x:v>
      </x:c>
    </x:row>
    <x:row r="357" ht="20" customHeight="1">
      <x:c r="A357" s="4" t="inlineStr">
        <x:is>
          <x:t xml:space="preserve">LINE-00357</x:t>
        </x:is>
      </x:c>
      <x:c r="B357" s="4" t="inlineStr">
        <x:is>
          <x:t xml:space="preserve">ORD-2025-0233</x:t>
        </x:is>
      </x:c>
      <x:c r="C357" s="17" t="n">
        <x:v>45852</x:v>
      </x:c>
      <x:c r="D357" s="4" t="inlineStr">
        <x:is>
          <x:t xml:space="preserve">CUS-0169</x:t>
        </x:is>
      </x:c>
      <x:c r="E357" s="4" t="inlineStr">
        <x:is>
          <x:t xml:space="preserve">Office Chair</x:t>
        </x:is>
      </x:c>
      <x:c r="F357" s="4" t="inlineStr">
        <x:is>
          <x:t xml:space="preserve">Furniture</x:t>
        </x:is>
      </x:c>
      <x:c r="G357" s="4" t="inlineStr">
        <x:is>
          <x:t xml:space="preserve">Seattle</x:t>
        </x:is>
      </x:c>
      <x:c r="H357" s="18" t="n">
        <x:v>5</x:v>
      </x:c>
      <x:c r="I357" s="19" t="n">
        <x:v>226.03</x:v>
      </x:c>
      <x:c r="J357" s="20" t="n">
        <x:v>0</x:v>
      </x:c>
      <x:c r="K357" s="4" t="inlineStr">
        <x:is>
          <x:t xml:space="preserve">PayPal</x:t>
        </x:is>
      </x:c>
      <x:c r="L357" s="19" t="n">
        <x:v>1130.15</x:v>
      </x:c>
      <x:c r="M357" s="19" t="n">
        <x:v>0</x:v>
      </x:c>
      <x:c r="N357" s="19" t="n">
        <x:v>1130.15</x:v>
      </x:c>
      <x:c r="O357" s="4" t="n">
        <x:f>YEAR(C357)</x:f>
        <x:v>2025</x:v>
      </x:c>
      <x:c r="P357" s="4" t="str">
        <x:f>TEXT(C357,"yyyy-mm")</x:f>
        <x:v>2025-07</x:v>
      </x:c>
      <x:c r="Q357" s="4" t="str">
        <x:f>TEXT(C357,"mmmm")</x:f>
        <x:v>July</x:v>
      </x:c>
    </x:row>
    <x:row r="358" ht="20" customHeight="1">
      <x:c r="A358" s="4" t="inlineStr">
        <x:is>
          <x:t xml:space="preserve">LINE-00358</x:t>
        </x:is>
      </x:c>
      <x:c r="B358" s="4" t="inlineStr">
        <x:is>
          <x:t xml:space="preserve">ORD-2025-0234</x:t>
        </x:is>
      </x:c>
      <x:c r="C358" s="17" t="n">
        <x:v>46013</x:v>
      </x:c>
      <x:c r="D358" s="4" t="inlineStr">
        <x:is>
          <x:t xml:space="preserve">CUS-0103</x:t>
        </x:is>
      </x:c>
      <x:c r="E358" s="4" t="inlineStr">
        <x:is>
          <x:t xml:space="preserve">Headphones</x:t>
        </x:is>
      </x:c>
      <x:c r="F358" s="4" t="inlineStr">
        <x:is>
          <x:t xml:space="preserve">Audio</x:t>
        </x:is>
      </x:c>
      <x:c r="G358" s="4" t="inlineStr">
        <x:is>
          <x:t xml:space="preserve">Seattle</x:t>
        </x:is>
      </x:c>
      <x:c r="H358" s="18" t="n">
        <x:v>5</x:v>
      </x:c>
      <x:c r="I358" s="19" t="n">
        <x:v>125.66</x:v>
      </x:c>
      <x:c r="J358" s="20" t="n">
        <x:v>0.05</x:v>
      </x:c>
      <x:c r="K358" s="4" t="inlineStr">
        <x:is>
          <x:t xml:space="preserve">PayPal</x:t>
        </x:is>
      </x:c>
      <x:c r="L358" s="19" t="n">
        <x:v>628.3</x:v>
      </x:c>
      <x:c r="M358" s="19" t="n">
        <x:v>31.42</x:v>
      </x:c>
      <x:c r="N358" s="19" t="n">
        <x:v>596.88</x:v>
      </x:c>
      <x:c r="O358" s="4" t="n">
        <x:f>YEAR(C358)</x:f>
        <x:v>2025</x:v>
      </x:c>
      <x:c r="P358" s="4" t="str">
        <x:f>TEXT(C358,"yyyy-mm")</x:f>
        <x:v>2025-12</x:v>
      </x:c>
      <x:c r="Q358" s="4" t="str">
        <x:f>TEXT(C358,"mmmm")</x:f>
        <x:v>December</x:v>
      </x:c>
    </x:row>
    <x:row r="359" ht="20" customHeight="1">
      <x:c r="A359" s="4" t="inlineStr">
        <x:is>
          <x:t xml:space="preserve">LINE-00359</x:t>
        </x:is>
      </x:c>
      <x:c r="B359" s="4" t="inlineStr">
        <x:is>
          <x:t xml:space="preserve">ORD-2025-0235</x:t>
        </x:is>
      </x:c>
      <x:c r="C359" s="17" t="n">
        <x:v>45909</x:v>
      </x:c>
      <x:c r="D359" s="4" t="inlineStr">
        <x:is>
          <x:t xml:space="preserve">CUS-0295</x:t>
        </x:is>
      </x:c>
      <x:c r="E359" s="4" t="inlineStr">
        <x:is>
          <x:t xml:space="preserve">Headphones</x:t>
        </x:is>
      </x:c>
      <x:c r="F359" s="4" t="inlineStr">
        <x:is>
          <x:t xml:space="preserve">Audio</x:t>
        </x:is>
      </x:c>
      <x:c r="G359" s="4" t="inlineStr">
        <x:is>
          <x:t xml:space="preserve">Chicago</x:t>
        </x:is>
      </x:c>
      <x:c r="H359" s="18" t="n">
        <x:v>1</x:v>
      </x:c>
      <x:c r="I359" s="19" t="n">
        <x:v>138.99</x:v>
      </x:c>
      <x:c r="J359" s="20" t="n">
        <x:v>0</x:v>
      </x:c>
      <x:c r="K359" s="4" t="inlineStr">
        <x:is>
          <x:t xml:space="preserve">PayPal</x:t>
        </x:is>
      </x:c>
      <x:c r="L359" s="19" t="n">
        <x:v>138.99</x:v>
      </x:c>
      <x:c r="M359" s="19" t="n">
        <x:v>0</x:v>
      </x:c>
      <x:c r="N359" s="19" t="n">
        <x:v>138.99</x:v>
      </x:c>
      <x:c r="O359" s="4" t="n">
        <x:f>YEAR(C359)</x:f>
        <x:v>2025</x:v>
      </x:c>
      <x:c r="P359" s="4" t="str">
        <x:f>TEXT(C359,"yyyy-mm")</x:f>
        <x:v>2025-09</x:v>
      </x:c>
      <x:c r="Q359" s="4" t="str">
        <x:f>TEXT(C359,"mmmm")</x:f>
        <x:v>September</x:v>
      </x:c>
    </x:row>
    <x:row r="360" ht="20" customHeight="1">
      <x:c r="A360" s="4" t="inlineStr">
        <x:is>
          <x:t xml:space="preserve">LINE-00360</x:t>
        </x:is>
      </x:c>
      <x:c r="B360" s="4" t="inlineStr">
        <x:is>
          <x:t xml:space="preserve">ORD-2025-0236</x:t>
        </x:is>
      </x:c>
      <x:c r="C360" s="17" t="n">
        <x:v>45937</x:v>
      </x:c>
      <x:c r="D360" s="4" t="inlineStr">
        <x:is>
          <x:t xml:space="preserve">CUS-0093</x:t>
        </x:is>
      </x:c>
      <x:c r="E360" s="4" t="inlineStr">
        <x:is>
          <x:t xml:space="preserve">Bluetooth Speaker</x:t>
        </x:is>
      </x:c>
      <x:c r="F360" s="4" t="inlineStr">
        <x:is>
          <x:t xml:space="preserve">Audio</x:t>
        </x:is>
      </x:c>
      <x:c r="G360" s="4" t="inlineStr">
        <x:is>
          <x:t xml:space="preserve">San Francisco</x:t>
        </x:is>
      </x:c>
      <x:c r="H360" s="18" t="n">
        <x:v>3</x:v>
      </x:c>
      <x:c r="I360" s="19" t="n">
        <x:v>115.83</x:v>
      </x:c>
      <x:c r="J360" s="20" t="n">
        <x:v>0</x:v>
      </x:c>
      <x:c r="K360" s="4" t="inlineStr">
        <x:is>
          <x:t xml:space="preserve">Credit Card</x:t>
        </x:is>
      </x:c>
      <x:c r="L360" s="19" t="n">
        <x:v>347.49</x:v>
      </x:c>
      <x:c r="M360" s="19" t="n">
        <x:v>0</x:v>
      </x:c>
      <x:c r="N360" s="19" t="n">
        <x:v>347.49</x:v>
      </x:c>
      <x:c r="O360" s="4" t="n">
        <x:f>YEAR(C360)</x:f>
        <x:v>2025</x:v>
      </x:c>
      <x:c r="P360" s="4" t="str">
        <x:f>TEXT(C360,"yyyy-mm")</x:f>
        <x:v>2025-10</x:v>
      </x:c>
      <x:c r="Q360" s="4" t="str">
        <x:f>TEXT(C360,"mmmm")</x:f>
        <x:v>October</x:v>
      </x:c>
    </x:row>
    <x:row r="361" ht="20" customHeight="1">
      <x:c r="A361" s="4" t="inlineStr">
        <x:is>
          <x:t xml:space="preserve">LINE-00361</x:t>
        </x:is>
      </x:c>
      <x:c r="B361" s="4" t="inlineStr">
        <x:is>
          <x:t xml:space="preserve">ORD-2025-0236</x:t>
        </x:is>
      </x:c>
      <x:c r="C361" s="17" t="n">
        <x:v>45937</x:v>
      </x:c>
      <x:c r="D361" s="4" t="inlineStr">
        <x:is>
          <x:t xml:space="preserve">CUS-0093</x:t>
        </x:is>
      </x:c>
      <x:c r="E361" s="4" t="inlineStr">
        <x:is>
          <x:t xml:space="preserve">Wireless Mouse</x:t>
        </x:is>
      </x:c>
      <x:c r="F361" s="4" t="inlineStr">
        <x:is>
          <x:t xml:space="preserve">Accessories</x:t>
        </x:is>
      </x:c>
      <x:c r="G361" s="4" t="inlineStr">
        <x:is>
          <x:t xml:space="preserve">San Francisco</x:t>
        </x:is>
      </x:c>
      <x:c r="H361" s="18" t="n">
        <x:v>3</x:v>
      </x:c>
      <x:c r="I361" s="19" t="n">
        <x:v>47.12</x:v>
      </x:c>
      <x:c r="J361" s="20" t="n">
        <x:v>0.05</x:v>
      </x:c>
      <x:c r="K361" s="4" t="inlineStr">
        <x:is>
          <x:t xml:space="preserve">Credit Card</x:t>
        </x:is>
      </x:c>
      <x:c r="L361" s="19" t="n">
        <x:v>141.36</x:v>
      </x:c>
      <x:c r="M361" s="19" t="n">
        <x:v>7.07</x:v>
      </x:c>
      <x:c r="N361" s="19" t="n">
        <x:v>134.29</x:v>
      </x:c>
      <x:c r="O361" s="4" t="n">
        <x:f>YEAR(C361)</x:f>
        <x:v>2025</x:v>
      </x:c>
      <x:c r="P361" s="4" t="str">
        <x:f>TEXT(C361,"yyyy-mm")</x:f>
        <x:v>2025-10</x:v>
      </x:c>
      <x:c r="Q361" s="4" t="str">
        <x:f>TEXT(C361,"mmmm")</x:f>
        <x:v>October</x:v>
      </x:c>
    </x:row>
    <x:row r="362" ht="20" customHeight="1">
      <x:c r="A362" s="4" t="inlineStr">
        <x:is>
          <x:t xml:space="preserve">LINE-00362</x:t>
        </x:is>
      </x:c>
      <x:c r="B362" s="4" t="inlineStr">
        <x:is>
          <x:t xml:space="preserve">ORD-2025-0236</x:t>
        </x:is>
      </x:c>
      <x:c r="C362" s="17" t="n">
        <x:v>45937</x:v>
      </x:c>
      <x:c r="D362" s="4" t="inlineStr">
        <x:is>
          <x:t xml:space="preserve">CUS-0093</x:t>
        </x:is>
      </x:c>
      <x:c r="E362" s="4" t="inlineStr">
        <x:is>
          <x:t xml:space="preserve">Desk Lamp</x:t>
        </x:is>
      </x:c>
      <x:c r="F362" s="4" t="inlineStr">
        <x:is>
          <x:t xml:space="preserve">Furniture</x:t>
        </x:is>
      </x:c>
      <x:c r="G362" s="4" t="inlineStr">
        <x:is>
          <x:t xml:space="preserve">San Francisco</x:t>
        </x:is>
      </x:c>
      <x:c r="H362" s="18" t="n">
        <x:v>1</x:v>
      </x:c>
      <x:c r="I362" s="19" t="n">
        <x:v>53.26</x:v>
      </x:c>
      <x:c r="J362" s="20" t="n">
        <x:v>0</x:v>
      </x:c>
      <x:c r="K362" s="4" t="inlineStr">
        <x:is>
          <x:t xml:space="preserve">Credit Card</x:t>
        </x:is>
      </x:c>
      <x:c r="L362" s="19" t="n">
        <x:v>53.26</x:v>
      </x:c>
      <x:c r="M362" s="19" t="n">
        <x:v>0</x:v>
      </x:c>
      <x:c r="N362" s="19" t="n">
        <x:v>53.26</x:v>
      </x:c>
      <x:c r="O362" s="4" t="n">
        <x:f>YEAR(C362)</x:f>
        <x:v>2025</x:v>
      </x:c>
      <x:c r="P362" s="4" t="str">
        <x:f>TEXT(C362,"yyyy-mm")</x:f>
        <x:v>2025-10</x:v>
      </x:c>
      <x:c r="Q362" s="4" t="str">
        <x:f>TEXT(C362,"mmmm")</x:f>
        <x:v>October</x:v>
      </x:c>
    </x:row>
    <x:row r="363" ht="20" customHeight="1">
      <x:c r="A363" s="4" t="inlineStr">
        <x:is>
          <x:t xml:space="preserve">LINE-00363</x:t>
        </x:is>
      </x:c>
      <x:c r="B363" s="4" t="inlineStr">
        <x:is>
          <x:t xml:space="preserve">ORD-2025-0237</x:t>
        </x:is>
      </x:c>
      <x:c r="C363" s="17" t="n">
        <x:v>45736</x:v>
      </x:c>
      <x:c r="D363" s="4" t="inlineStr">
        <x:is>
          <x:t xml:space="preserve">CUS-0217</x:t>
        </x:is>
      </x:c>
      <x:c r="E363" s="4" t="inlineStr">
        <x:is>
          <x:t xml:space="preserve">USB Flash Drive</x:t>
        </x:is>
      </x:c>
      <x:c r="F363" s="4" t="inlineStr">
        <x:is>
          <x:t xml:space="preserve">Storage</x:t>
        </x:is>
      </x:c>
      <x:c r="G363" s="4" t="inlineStr">
        <x:is>
          <x:t xml:space="preserve">Seattle</x:t>
        </x:is>
      </x:c>
      <x:c r="H363" s="18" t="n">
        <x:v>2</x:v>
      </x:c>
      <x:c r="I363" s="19" t="n">
        <x:v>29.52</x:v>
      </x:c>
      <x:c r="J363" s="20" t="n">
        <x:v>0.05</x:v>
      </x:c>
      <x:c r="K363" s="4" t="inlineStr">
        <x:is>
          <x:t xml:space="preserve">Credit Card</x:t>
        </x:is>
      </x:c>
      <x:c r="L363" s="19" t="n">
        <x:v>59.04</x:v>
      </x:c>
      <x:c r="M363" s="19" t="n">
        <x:v>2.95</x:v>
      </x:c>
      <x:c r="N363" s="19" t="n">
        <x:v>56.09</x:v>
      </x:c>
      <x:c r="O363" s="4" t="n">
        <x:f>YEAR(C363)</x:f>
        <x:v>2025</x:v>
      </x:c>
      <x:c r="P363" s="4" t="str">
        <x:f>TEXT(C363,"yyyy-mm")</x:f>
        <x:v>2025-03</x:v>
      </x:c>
      <x:c r="Q363" s="4" t="str">
        <x:f>TEXT(C363,"mmmm")</x:f>
        <x:v>March</x:v>
      </x:c>
    </x:row>
    <x:row r="364" ht="20" customHeight="1">
      <x:c r="A364" s="4" t="inlineStr">
        <x:is>
          <x:t xml:space="preserve">LINE-00364</x:t>
        </x:is>
      </x:c>
      <x:c r="B364" s="4" t="inlineStr">
        <x:is>
          <x:t xml:space="preserve">ORD-2025-0238</x:t>
        </x:is>
      </x:c>
      <x:c r="C364" s="17" t="n">
        <x:v>46012</x:v>
      </x:c>
      <x:c r="D364" s="4" t="inlineStr">
        <x:is>
          <x:t xml:space="preserve">CUS-0215</x:t>
        </x:is>
      </x:c>
      <x:c r="E364" s="4" t="inlineStr">
        <x:is>
          <x:t xml:space="preserve">Webcam</x:t>
        </x:is>
      </x:c>
      <x:c r="F364" s="4" t="inlineStr">
        <x:is>
          <x:t xml:space="preserve">Accessories</x:t>
        </x:is>
      </x:c>
      <x:c r="G364" s="4" t="inlineStr">
        <x:is>
          <x:t xml:space="preserve">Boston</x:t>
        </x:is>
      </x:c>
      <x:c r="H364" s="18" t="n">
        <x:v>2</x:v>
      </x:c>
      <x:c r="I364" s="19" t="n">
        <x:v>95.97</x:v>
      </x:c>
      <x:c r="J364" s="20" t="n">
        <x:v>0</x:v>
      </x:c>
      <x:c r="K364" s="4" t="inlineStr">
        <x:is>
          <x:t xml:space="preserve">Credit Card</x:t>
        </x:is>
      </x:c>
      <x:c r="L364" s="19" t="n">
        <x:v>191.94</x:v>
      </x:c>
      <x:c r="M364" s="19" t="n">
        <x:v>0</x:v>
      </x:c>
      <x:c r="N364" s="19" t="n">
        <x:v>191.94</x:v>
      </x:c>
      <x:c r="O364" s="4" t="n">
        <x:f>YEAR(C364)</x:f>
        <x:v>2025</x:v>
      </x:c>
      <x:c r="P364" s="4" t="str">
        <x:f>TEXT(C364,"yyyy-mm")</x:f>
        <x:v>2025-12</x:v>
      </x:c>
      <x:c r="Q364" s="4" t="str">
        <x:f>TEXT(C364,"mmmm")</x:f>
        <x:v>December</x:v>
      </x:c>
    </x:row>
    <x:row r="365" ht="20" customHeight="1">
      <x:c r="A365" s="4" t="inlineStr">
        <x:is>
          <x:t xml:space="preserve">LINE-00365</x:t>
        </x:is>
      </x:c>
      <x:c r="B365" s="4" t="inlineStr">
        <x:is>
          <x:t xml:space="preserve">ORD-2025-0238</x:t>
        </x:is>
      </x:c>
      <x:c r="C365" s="17" t="n">
        <x:v>46012</x:v>
      </x:c>
      <x:c r="D365" s="4" t="inlineStr">
        <x:is>
          <x:t xml:space="preserve">CUS-0215</x:t>
        </x:is>
      </x:c>
      <x:c r="E365" s="4" t="inlineStr">
        <x:is>
          <x:t xml:space="preserve">External SSD</x:t>
        </x:is>
      </x:c>
      <x:c r="F365" s="4" t="inlineStr">
        <x:is>
          <x:t xml:space="preserve">Storage</x:t>
        </x:is>
      </x:c>
      <x:c r="G365" s="4" t="inlineStr">
        <x:is>
          <x:t xml:space="preserve">Boston</x:t>
        </x:is>
      </x:c>
      <x:c r="H365" s="18" t="n">
        <x:v>1</x:v>
      </x:c>
      <x:c r="I365" s="19" t="n">
        <x:v>153.95</x:v>
      </x:c>
      <x:c r="J365" s="20" t="n">
        <x:v>0</x:v>
      </x:c>
      <x:c r="K365" s="4" t="inlineStr">
        <x:is>
          <x:t xml:space="preserve">Credit Card</x:t>
        </x:is>
      </x:c>
      <x:c r="L365" s="19" t="n">
        <x:v>153.95</x:v>
      </x:c>
      <x:c r="M365" s="19" t="n">
        <x:v>0</x:v>
      </x:c>
      <x:c r="N365" s="19" t="n">
        <x:v>153.95</x:v>
      </x:c>
      <x:c r="O365" s="4" t="n">
        <x:f>YEAR(C365)</x:f>
        <x:v>2025</x:v>
      </x:c>
      <x:c r="P365" s="4" t="str">
        <x:f>TEXT(C365,"yyyy-mm")</x:f>
        <x:v>2025-12</x:v>
      </x:c>
      <x:c r="Q365" s="4" t="str">
        <x:f>TEXT(C365,"mmmm")</x:f>
        <x:v>December</x:v>
      </x:c>
    </x:row>
    <x:row r="366" ht="20" customHeight="1">
      <x:c r="A366" s="4" t="inlineStr">
        <x:is>
          <x:t xml:space="preserve">LINE-00366</x:t>
        </x:is>
      </x:c>
      <x:c r="B366" s="4" t="inlineStr">
        <x:is>
          <x:t xml:space="preserve">ORD-2025-0239</x:t>
        </x:is>
      </x:c>
      <x:c r="C366" s="17" t="n">
        <x:v>45971</x:v>
      </x:c>
      <x:c r="D366" s="4" t="inlineStr">
        <x:is>
          <x:t xml:space="preserve">CUS-0023</x:t>
        </x:is>
      </x:c>
      <x:c r="E366" s="4" t="inlineStr">
        <x:is>
          <x:t xml:space="preserve">Webcam</x:t>
        </x:is>
      </x:c>
      <x:c r="F366" s="4" t="inlineStr">
        <x:is>
          <x:t xml:space="preserve">Accessories</x:t>
        </x:is>
      </x:c>
      <x:c r="G366" s="4" t="inlineStr">
        <x:is>
          <x:t xml:space="preserve">Boston</x:t>
        </x:is>
      </x:c>
      <x:c r="H366" s="18" t="n">
        <x:v>1</x:v>
      </x:c>
      <x:c r="I366" s="19" t="n">
        <x:v>86.53</x:v>
      </x:c>
      <x:c r="J366" s="20" t="n">
        <x:v>0.05</x:v>
      </x:c>
      <x:c r="K366" s="4" t="inlineStr">
        <x:is>
          <x:t xml:space="preserve">Bank Transfer</x:t>
        </x:is>
      </x:c>
      <x:c r="L366" s="19" t="n">
        <x:v>86.53</x:v>
      </x:c>
      <x:c r="M366" s="19" t="n">
        <x:v>4.33</x:v>
      </x:c>
      <x:c r="N366" s="19" t="n">
        <x:v>82.2</x:v>
      </x:c>
      <x:c r="O366" s="4" t="n">
        <x:f>YEAR(C366)</x:f>
        <x:v>2025</x:v>
      </x:c>
      <x:c r="P366" s="4" t="str">
        <x:f>TEXT(C366,"yyyy-mm")</x:f>
        <x:v>2025-11</x:v>
      </x:c>
      <x:c r="Q366" s="4" t="str">
        <x:f>TEXT(C366,"mmmm")</x:f>
        <x:v>November</x:v>
      </x:c>
    </x:row>
    <x:row r="367" ht="20" customHeight="1">
      <x:c r="A367" s="4" t="inlineStr">
        <x:is>
          <x:t xml:space="preserve">LINE-00367</x:t>
        </x:is>
      </x:c>
      <x:c r="B367" s="4" t="inlineStr">
        <x:is>
          <x:t xml:space="preserve">ORD-2025-0239</x:t>
        </x:is>
      </x:c>
      <x:c r="C367" s="17" t="n">
        <x:v>45971</x:v>
      </x:c>
      <x:c r="D367" s="4" t="inlineStr">
        <x:is>
          <x:t xml:space="preserve">CUS-0023</x:t>
        </x:is>
      </x:c>
      <x:c r="E367" s="4" t="inlineStr">
        <x:is>
          <x:t xml:space="preserve">Headphones</x:t>
        </x:is>
      </x:c>
      <x:c r="F367" s="4" t="inlineStr">
        <x:is>
          <x:t xml:space="preserve">Audio</x:t>
        </x:is>
      </x:c>
      <x:c r="G367" s="4" t="inlineStr">
        <x:is>
          <x:t xml:space="preserve">Boston</x:t>
        </x:is>
      </x:c>
      <x:c r="H367" s="18" t="n">
        <x:v>2</x:v>
      </x:c>
      <x:c r="I367" s="19" t="n">
        <x:v>131.67</x:v>
      </x:c>
      <x:c r="J367" s="20" t="n">
        <x:v>0.05</x:v>
      </x:c>
      <x:c r="K367" s="4" t="inlineStr">
        <x:is>
          <x:t xml:space="preserve">Bank Transfer</x:t>
        </x:is>
      </x:c>
      <x:c r="L367" s="19" t="n">
        <x:v>263.34</x:v>
      </x:c>
      <x:c r="M367" s="19" t="n">
        <x:v>13.17</x:v>
      </x:c>
      <x:c r="N367" s="19" t="n">
        <x:v>250.17</x:v>
      </x:c>
      <x:c r="O367" s="4" t="n">
        <x:f>YEAR(C367)</x:f>
        <x:v>2025</x:v>
      </x:c>
      <x:c r="P367" s="4" t="str">
        <x:f>TEXT(C367,"yyyy-mm")</x:f>
        <x:v>2025-11</x:v>
      </x:c>
      <x:c r="Q367" s="4" t="str">
        <x:f>TEXT(C367,"mmmm")</x:f>
        <x:v>November</x:v>
      </x:c>
    </x:row>
    <x:row r="368" ht="20" customHeight="1">
      <x:c r="A368" s="4" t="inlineStr">
        <x:is>
          <x:t xml:space="preserve">LINE-00368</x:t>
        </x:is>
      </x:c>
      <x:c r="B368" s="4" t="inlineStr">
        <x:is>
          <x:t xml:space="preserve">ORD-2025-0239</x:t>
        </x:is>
      </x:c>
      <x:c r="C368" s="17" t="n">
        <x:v>45971</x:v>
      </x:c>
      <x:c r="D368" s="4" t="inlineStr">
        <x:is>
          <x:t xml:space="preserve">CUS-0023</x:t>
        </x:is>
      </x:c>
      <x:c r="E368" s="4" t="inlineStr">
        <x:is>
          <x:t xml:space="preserve">Monitor</x:t>
        </x:is>
      </x:c>
      <x:c r="F368" s="4" t="inlineStr">
        <x:is>
          <x:t xml:space="preserve">Computers</x:t>
        </x:is>
      </x:c>
      <x:c r="G368" s="4" t="inlineStr">
        <x:is>
          <x:t xml:space="preserve">Boston</x:t>
        </x:is>
      </x:c>
      <x:c r="H368" s="18" t="n">
        <x:v>2</x:v>
      </x:c>
      <x:c r="I368" s="19" t="n">
        <x:v>275.12</x:v>
      </x:c>
      <x:c r="J368" s="20" t="n">
        <x:v>0.1</x:v>
      </x:c>
      <x:c r="K368" s="4" t="inlineStr">
        <x:is>
          <x:t xml:space="preserve">Bank Transfer</x:t>
        </x:is>
      </x:c>
      <x:c r="L368" s="19" t="n">
        <x:v>550.24</x:v>
      </x:c>
      <x:c r="M368" s="19" t="n">
        <x:v>55.02</x:v>
      </x:c>
      <x:c r="N368" s="19" t="n">
        <x:v>495.22</x:v>
      </x:c>
      <x:c r="O368" s="4" t="n">
        <x:f>YEAR(C368)</x:f>
        <x:v>2025</x:v>
      </x:c>
      <x:c r="P368" s="4" t="str">
        <x:f>TEXT(C368,"yyyy-mm")</x:f>
        <x:v>2025-11</x:v>
      </x:c>
      <x:c r="Q368" s="4" t="str">
        <x:f>TEXT(C368,"mmmm")</x:f>
        <x:v>November</x:v>
      </x:c>
    </x:row>
    <x:row r="369" ht="20" customHeight="1">
      <x:c r="A369" s="4" t="inlineStr">
        <x:is>
          <x:t xml:space="preserve">LINE-00369</x:t>
        </x:is>
      </x:c>
      <x:c r="B369" s="4" t="inlineStr">
        <x:is>
          <x:t xml:space="preserve">ORD-2025-0240</x:t>
        </x:is>
      </x:c>
      <x:c r="C369" s="17" t="n">
        <x:v>45959</x:v>
      </x:c>
      <x:c r="D369" s="4" t="inlineStr">
        <x:is>
          <x:t xml:space="preserve">CUS-0257</x:t>
        </x:is>
      </x:c>
      <x:c r="E369" s="4" t="inlineStr">
        <x:is>
          <x:t xml:space="preserve">Bluetooth Speaker</x:t>
        </x:is>
      </x:c>
      <x:c r="F369" s="4" t="inlineStr">
        <x:is>
          <x:t xml:space="preserve">Audio</x:t>
        </x:is>
      </x:c>
      <x:c r="G369" s="4" t="inlineStr">
        <x:is>
          <x:t xml:space="preserve">Chicago</x:t>
        </x:is>
      </x:c>
      <x:c r="H369" s="18" t="n">
        <x:v>2</x:v>
      </x:c>
      <x:c r="I369" s="19" t="n">
        <x:v>118.13</x:v>
      </x:c>
      <x:c r="J369" s="20" t="n">
        <x:v>0</x:v>
      </x:c>
      <x:c r="K369" s="4" t="inlineStr">
        <x:is>
          <x:t xml:space="preserve">PayPal</x:t>
        </x:is>
      </x:c>
      <x:c r="L369" s="19" t="n">
        <x:v>236.26</x:v>
      </x:c>
      <x:c r="M369" s="19" t="n">
        <x:v>0</x:v>
      </x:c>
      <x:c r="N369" s="19" t="n">
        <x:v>236.26</x:v>
      </x:c>
      <x:c r="O369" s="4" t="n">
        <x:f>YEAR(C369)</x:f>
        <x:v>2025</x:v>
      </x:c>
      <x:c r="P369" s="4" t="str">
        <x:f>TEXT(C369,"yyyy-mm")</x:f>
        <x:v>2025-10</x:v>
      </x:c>
      <x:c r="Q369" s="4" t="str">
        <x:f>TEXT(C369,"mmmm")</x:f>
        <x:v>October</x:v>
      </x:c>
    </x:row>
    <x:row r="370" ht="20" customHeight="1">
      <x:c r="A370" s="4" t="inlineStr">
        <x:is>
          <x:t xml:space="preserve">LINE-00370</x:t>
        </x:is>
      </x:c>
      <x:c r="B370" s="4" t="inlineStr">
        <x:is>
          <x:t xml:space="preserve">ORD-2025-0240</x:t>
        </x:is>
      </x:c>
      <x:c r="C370" s="17" t="n">
        <x:v>45959</x:v>
      </x:c>
      <x:c r="D370" s="4" t="inlineStr">
        <x:is>
          <x:t xml:space="preserve">CUS-0257</x:t>
        </x:is>
      </x:c>
      <x:c r="E370" s="4" t="inlineStr">
        <x:is>
          <x:t xml:space="preserve">Monitor</x:t>
        </x:is>
      </x:c>
      <x:c r="F370" s="4" t="inlineStr">
        <x:is>
          <x:t xml:space="preserve">Computers</x:t>
        </x:is>
      </x:c>
      <x:c r="G370" s="4" t="inlineStr">
        <x:is>
          <x:t xml:space="preserve">Chicago</x:t>
        </x:is>
      </x:c>
      <x:c r="H370" s="18" t="n">
        <x:v>4</x:v>
      </x:c>
      <x:c r="I370" s="19" t="n">
        <x:v>263.95</x:v>
      </x:c>
      <x:c r="J370" s="20" t="n">
        <x:v>0</x:v>
      </x:c>
      <x:c r="K370" s="4" t="inlineStr">
        <x:is>
          <x:t xml:space="preserve">PayPal</x:t>
        </x:is>
      </x:c>
      <x:c r="L370" s="19" t="n">
        <x:v>1055.8</x:v>
      </x:c>
      <x:c r="M370" s="19" t="n">
        <x:v>0</x:v>
      </x:c>
      <x:c r="N370" s="19" t="n">
        <x:v>1055.8</x:v>
      </x:c>
      <x:c r="O370" s="4" t="n">
        <x:f>YEAR(C370)</x:f>
        <x:v>2025</x:v>
      </x:c>
      <x:c r="P370" s="4" t="str">
        <x:f>TEXT(C370,"yyyy-mm")</x:f>
        <x:v>2025-10</x:v>
      </x:c>
      <x:c r="Q370" s="4" t="str">
        <x:f>TEXT(C370,"mmmm")</x:f>
        <x:v>October</x:v>
      </x:c>
    </x:row>
    <x:row r="371" ht="20" customHeight="1">
      <x:c r="A371" s="4" t="inlineStr">
        <x:is>
          <x:t xml:space="preserve">LINE-00371</x:t>
        </x:is>
      </x:c>
      <x:c r="B371" s="4" t="inlineStr">
        <x:is>
          <x:t xml:space="preserve">ORD-2025-0240</x:t>
        </x:is>
      </x:c>
      <x:c r="C371" s="17" t="n">
        <x:v>45959</x:v>
      </x:c>
      <x:c r="D371" s="4" t="inlineStr">
        <x:is>
          <x:t xml:space="preserve">CUS-0257</x:t>
        </x:is>
      </x:c>
      <x:c r="E371" s="4" t="inlineStr">
        <x:is>
          <x:t xml:space="preserve">USB-C Hub</x:t>
        </x:is>
      </x:c>
      <x:c r="F371" s="4" t="inlineStr">
        <x:is>
          <x:t xml:space="preserve">Accessories</x:t>
        </x:is>
      </x:c>
      <x:c r="G371" s="4" t="inlineStr">
        <x:is>
          <x:t xml:space="preserve">Chicago</x:t>
        </x:is>
      </x:c>
      <x:c r="H371" s="18" t="n">
        <x:v>2</x:v>
      </x:c>
      <x:c r="I371" s="19" t="n">
        <x:v>61.95</x:v>
      </x:c>
      <x:c r="J371" s="20" t="n">
        <x:v>0.05</x:v>
      </x:c>
      <x:c r="K371" s="4" t="inlineStr">
        <x:is>
          <x:t xml:space="preserve">PayPal</x:t>
        </x:is>
      </x:c>
      <x:c r="L371" s="19" t="n">
        <x:v>123.9</x:v>
      </x:c>
      <x:c r="M371" s="19" t="n">
        <x:v>6.2</x:v>
      </x:c>
      <x:c r="N371" s="19" t="n">
        <x:v>117.7</x:v>
      </x:c>
      <x:c r="O371" s="4" t="n">
        <x:f>YEAR(C371)</x:f>
        <x:v>2025</x:v>
      </x:c>
      <x:c r="P371" s="4" t="str">
        <x:f>TEXT(C371,"yyyy-mm")</x:f>
        <x:v>2025-10</x:v>
      </x:c>
      <x:c r="Q371" s="4" t="str">
        <x:f>TEXT(C371,"mmmm")</x:f>
        <x:v>October</x:v>
      </x:c>
    </x:row>
    <x:row r="372" ht="20" customHeight="1">
      <x:c r="A372" s="4" t="inlineStr">
        <x:is>
          <x:t xml:space="preserve">LINE-00372</x:t>
        </x:is>
      </x:c>
      <x:c r="B372" s="4" t="inlineStr">
        <x:is>
          <x:t xml:space="preserve">ORD-2025-0241</x:t>
        </x:is>
      </x:c>
      <x:c r="C372" s="17" t="n">
        <x:v>45901</x:v>
      </x:c>
      <x:c r="D372" s="4" t="inlineStr">
        <x:is>
          <x:t xml:space="preserve">CUS-0050</x:t>
        </x:is>
      </x:c>
      <x:c r="E372" s="4" t="inlineStr">
        <x:is>
          <x:t xml:space="preserve">USB-C Hub</x:t>
        </x:is>
      </x:c>
      <x:c r="F372" s="4" t="inlineStr">
        <x:is>
          <x:t xml:space="preserve">Accessories</x:t>
        </x:is>
      </x:c>
      <x:c r="G372" s="4" t="inlineStr">
        <x:is>
          <x:t xml:space="preserve">Seattle</x:t>
        </x:is>
      </x:c>
      <x:c r="H372" s="18" t="n">
        <x:v>1</x:v>
      </x:c>
      <x:c r="I372" s="19" t="n">
        <x:v>67.19</x:v>
      </x:c>
      <x:c r="J372" s="20" t="n">
        <x:v>0</x:v>
      </x:c>
      <x:c r="K372" s="4" t="inlineStr">
        <x:is>
          <x:t xml:space="preserve">Bank Transfer</x:t>
        </x:is>
      </x:c>
      <x:c r="L372" s="19" t="n">
        <x:v>67.19</x:v>
      </x:c>
      <x:c r="M372" s="19" t="n">
        <x:v>0</x:v>
      </x:c>
      <x:c r="N372" s="19" t="n">
        <x:v>67.19</x:v>
      </x:c>
      <x:c r="O372" s="4" t="n">
        <x:f>YEAR(C372)</x:f>
        <x:v>2025</x:v>
      </x:c>
      <x:c r="P372" s="4" t="str">
        <x:f>TEXT(C372,"yyyy-mm")</x:f>
        <x:v>2025-09</x:v>
      </x:c>
      <x:c r="Q372" s="4" t="str">
        <x:f>TEXT(C372,"mmmm")</x:f>
        <x:v>September</x:v>
      </x:c>
    </x:row>
    <x:row r="373" ht="20" customHeight="1">
      <x:c r="A373" s="4" t="inlineStr">
        <x:is>
          <x:t xml:space="preserve">LINE-00373</x:t>
        </x:is>
      </x:c>
      <x:c r="B373" s="4" t="inlineStr">
        <x:is>
          <x:t xml:space="preserve">ORD-2025-0242</x:t>
        </x:is>
      </x:c>
      <x:c r="C373" s="17" t="n">
        <x:v>45833</x:v>
      </x:c>
      <x:c r="D373" s="4" t="inlineStr">
        <x:is>
          <x:t xml:space="preserve">CUS-0332</x:t>
        </x:is>
      </x:c>
      <x:c r="E373" s="4" t="inlineStr">
        <x:is>
          <x:t xml:space="preserve">Desk Lamp</x:t>
        </x:is>
      </x:c>
      <x:c r="F373" s="4" t="inlineStr">
        <x:is>
          <x:t xml:space="preserve">Furniture</x:t>
        </x:is>
      </x:c>
      <x:c r="G373" s="4" t="inlineStr">
        <x:is>
          <x:t xml:space="preserve">New York</x:t>
        </x:is>
      </x:c>
      <x:c r="H373" s="18" t="n">
        <x:v>1</x:v>
      </x:c>
      <x:c r="I373" s="19" t="n">
        <x:v>52.01</x:v>
      </x:c>
      <x:c r="J373" s="20" t="n">
        <x:v>0.05</x:v>
      </x:c>
      <x:c r="K373" s="4" t="inlineStr">
        <x:is>
          <x:t xml:space="preserve">Debit Card</x:t>
        </x:is>
      </x:c>
      <x:c r="L373" s="19" t="n">
        <x:v>52.01</x:v>
      </x:c>
      <x:c r="M373" s="19" t="n">
        <x:v>2.6</x:v>
      </x:c>
      <x:c r="N373" s="19" t="n">
        <x:v>49.41</x:v>
      </x:c>
      <x:c r="O373" s="4" t="n">
        <x:f>YEAR(C373)</x:f>
        <x:v>2025</x:v>
      </x:c>
      <x:c r="P373" s="4" t="str">
        <x:f>TEXT(C373,"yyyy-mm")</x:f>
        <x:v>2025-06</x:v>
      </x:c>
      <x:c r="Q373" s="4" t="str">
        <x:f>TEXT(C373,"mmmm")</x:f>
        <x:v>June</x:v>
      </x:c>
    </x:row>
    <x:row r="374" ht="20" customHeight="1">
      <x:c r="A374" s="4" t="inlineStr">
        <x:is>
          <x:t xml:space="preserve">LINE-00374</x:t>
        </x:is>
      </x:c>
      <x:c r="B374" s="4" t="inlineStr">
        <x:is>
          <x:t xml:space="preserve">ORD-2025-0242</x:t>
        </x:is>
      </x:c>
      <x:c r="C374" s="17" t="n">
        <x:v>45833</x:v>
      </x:c>
      <x:c r="D374" s="4" t="inlineStr">
        <x:is>
          <x:t xml:space="preserve">CUS-0332</x:t>
        </x:is>
      </x:c>
      <x:c r="E374" s="4" t="inlineStr">
        <x:is>
          <x:t xml:space="preserve">Wireless Mouse</x:t>
        </x:is>
      </x:c>
      <x:c r="F374" s="4" t="inlineStr">
        <x:is>
          <x:t xml:space="preserve">Accessories</x:t>
        </x:is>
      </x:c>
      <x:c r="G374" s="4" t="inlineStr">
        <x:is>
          <x:t xml:space="preserve">New York</x:t>
        </x:is>
      </x:c>
      <x:c r="H374" s="18" t="n">
        <x:v>5</x:v>
      </x:c>
      <x:c r="I374" s="19" t="n">
        <x:v>43.07</x:v>
      </x:c>
      <x:c r="J374" s="20" t="n">
        <x:v>0</x:v>
      </x:c>
      <x:c r="K374" s="4" t="inlineStr">
        <x:is>
          <x:t xml:space="preserve">Debit Card</x:t>
        </x:is>
      </x:c>
      <x:c r="L374" s="19" t="n">
        <x:v>215.35</x:v>
      </x:c>
      <x:c r="M374" s="19" t="n">
        <x:v>0</x:v>
      </x:c>
      <x:c r="N374" s="19" t="n">
        <x:v>215.35</x:v>
      </x:c>
      <x:c r="O374" s="4" t="n">
        <x:f>YEAR(C374)</x:f>
        <x:v>2025</x:v>
      </x:c>
      <x:c r="P374" s="4" t="str">
        <x:f>TEXT(C374,"yyyy-mm")</x:f>
        <x:v>2025-06</x:v>
      </x:c>
      <x:c r="Q374" s="4" t="str">
        <x:f>TEXT(C374,"mmmm")</x:f>
        <x:v>June</x:v>
      </x:c>
    </x:row>
    <x:row r="375" ht="20" customHeight="1">
      <x:c r="A375" s="4" t="inlineStr">
        <x:is>
          <x:t xml:space="preserve">LINE-00375</x:t>
        </x:is>
      </x:c>
      <x:c r="B375" s="4" t="inlineStr">
        <x:is>
          <x:t xml:space="preserve">ORD-2025-0242</x:t>
        </x:is>
      </x:c>
      <x:c r="C375" s="17" t="n">
        <x:v>45833</x:v>
      </x:c>
      <x:c r="D375" s="4" t="inlineStr">
        <x:is>
          <x:t xml:space="preserve">CUS-0332</x:t>
        </x:is>
      </x:c>
      <x:c r="E375" s="4" t="inlineStr">
        <x:is>
          <x:t xml:space="preserve">External SSD</x:t>
        </x:is>
      </x:c>
      <x:c r="F375" s="4" t="inlineStr">
        <x:is>
          <x:t xml:space="preserve">Storage</x:t>
        </x:is>
      </x:c>
      <x:c r="G375" s="4" t="inlineStr">
        <x:is>
          <x:t xml:space="preserve">New York</x:t>
        </x:is>
      </x:c>
      <x:c r="H375" s="18" t="n">
        <x:v>1</x:v>
      </x:c>
      <x:c r="I375" s="19" t="n">
        <x:v>153.37</x:v>
      </x:c>
      <x:c r="J375" s="20" t="n">
        <x:v>0</x:v>
      </x:c>
      <x:c r="K375" s="4" t="inlineStr">
        <x:is>
          <x:t xml:space="preserve">Debit Card</x:t>
        </x:is>
      </x:c>
      <x:c r="L375" s="19" t="n">
        <x:v>153.37</x:v>
      </x:c>
      <x:c r="M375" s="19" t="n">
        <x:v>0</x:v>
      </x:c>
      <x:c r="N375" s="19" t="n">
        <x:v>153.37</x:v>
      </x:c>
      <x:c r="O375" s="4" t="n">
        <x:f>YEAR(C375)</x:f>
        <x:v>2025</x:v>
      </x:c>
      <x:c r="P375" s="4" t="str">
        <x:f>TEXT(C375,"yyyy-mm")</x:f>
        <x:v>2025-06</x:v>
      </x:c>
      <x:c r="Q375" s="4" t="str">
        <x:f>TEXT(C375,"mmmm")</x:f>
        <x:v>June</x:v>
      </x:c>
    </x:row>
    <x:row r="376" ht="20" customHeight="1">
      <x:c r="A376" s="4" t="inlineStr">
        <x:is>
          <x:t xml:space="preserve">LINE-00376</x:t>
        </x:is>
      </x:c>
      <x:c r="B376" s="4" t="inlineStr">
        <x:is>
          <x:t xml:space="preserve">ORD-2025-0243</x:t>
        </x:is>
      </x:c>
      <x:c r="C376" s="17" t="n">
        <x:v>45672</x:v>
      </x:c>
      <x:c r="D376" s="4" t="inlineStr">
        <x:is>
          <x:t xml:space="preserve">CUS-0315</x:t>
        </x:is>
      </x:c>
      <x:c r="E376" s="4" t="inlineStr">
        <x:is>
          <x:t xml:space="preserve">Headphones</x:t>
        </x:is>
      </x:c>
      <x:c r="F376" s="4" t="inlineStr">
        <x:is>
          <x:t xml:space="preserve">Audio</x:t>
        </x:is>
      </x:c>
      <x:c r="G376" s="4" t="inlineStr">
        <x:is>
          <x:t xml:space="preserve">Chicago</x:t>
        </x:is>
      </x:c>
      <x:c r="H376" s="18" t="n">
        <x:v>3</x:v>
      </x:c>
      <x:c r="I376" s="19" t="n">
        <x:v>123.88</x:v>
      </x:c>
      <x:c r="J376" s="20" t="n">
        <x:v>0.1</x:v>
      </x:c>
      <x:c r="K376" s="4" t="inlineStr">
        <x:is>
          <x:t xml:space="preserve">Bank Transfer</x:t>
        </x:is>
      </x:c>
      <x:c r="L376" s="19" t="n">
        <x:v>371.64</x:v>
      </x:c>
      <x:c r="M376" s="19" t="n">
        <x:v>37.16</x:v>
      </x:c>
      <x:c r="N376" s="19" t="n">
        <x:v>334.48</x:v>
      </x:c>
      <x:c r="O376" s="4" t="n">
        <x:f>YEAR(C376)</x:f>
        <x:v>2025</x:v>
      </x:c>
      <x:c r="P376" s="4" t="str">
        <x:f>TEXT(C376,"yyyy-mm")</x:f>
        <x:v>2025-01</x:v>
      </x:c>
      <x:c r="Q376" s="4" t="str">
        <x:f>TEXT(C376,"mmmm")</x:f>
        <x:v>January</x:v>
      </x:c>
    </x:row>
    <x:row r="377" ht="20" customHeight="1">
      <x:c r="A377" s="4" t="inlineStr">
        <x:is>
          <x:t xml:space="preserve">LINE-00377</x:t>
        </x:is>
      </x:c>
      <x:c r="B377" s="4" t="inlineStr">
        <x:is>
          <x:t xml:space="preserve">ORD-2025-0243</x:t>
        </x:is>
      </x:c>
      <x:c r="C377" s="17" t="n">
        <x:v>45672</x:v>
      </x:c>
      <x:c r="D377" s="4" t="inlineStr">
        <x:is>
          <x:t xml:space="preserve">CUS-0315</x:t>
        </x:is>
      </x:c>
      <x:c r="E377" s="4" t="inlineStr">
        <x:is>
          <x:t xml:space="preserve">Laptop</x:t>
        </x:is>
      </x:c>
      <x:c r="F377" s="4" t="inlineStr">
        <x:is>
          <x:t xml:space="preserve">Computers</x:t>
        </x:is>
      </x:c>
      <x:c r="G377" s="4" t="inlineStr">
        <x:is>
          <x:t xml:space="preserve">Chicago</x:t>
        </x:is>
      </x:c>
      <x:c r="H377" s="18" t="n">
        <x:v>3</x:v>
      </x:c>
      <x:c r="I377" s="19" t="n">
        <x:v>883.51</x:v>
      </x:c>
      <x:c r="J377" s="20" t="n">
        <x:v>0</x:v>
      </x:c>
      <x:c r="K377" s="4" t="inlineStr">
        <x:is>
          <x:t xml:space="preserve">Bank Transfer</x:t>
        </x:is>
      </x:c>
      <x:c r="L377" s="19" t="n">
        <x:v>2650.53</x:v>
      </x:c>
      <x:c r="M377" s="19" t="n">
        <x:v>0</x:v>
      </x:c>
      <x:c r="N377" s="19" t="n">
        <x:v>2650.53</x:v>
      </x:c>
      <x:c r="O377" s="4" t="n">
        <x:f>YEAR(C377)</x:f>
        <x:v>2025</x:v>
      </x:c>
      <x:c r="P377" s="4" t="str">
        <x:f>TEXT(C377,"yyyy-mm")</x:f>
        <x:v>2025-01</x:v>
      </x:c>
      <x:c r="Q377" s="4" t="str">
        <x:f>TEXT(C377,"mmmm")</x:f>
        <x:v>January</x:v>
      </x:c>
    </x:row>
    <x:row r="378" ht="20" customHeight="1">
      <x:c r="A378" s="4" t="inlineStr">
        <x:is>
          <x:t xml:space="preserve">LINE-00378</x:t>
        </x:is>
      </x:c>
      <x:c r="B378" s="4" t="inlineStr">
        <x:is>
          <x:t xml:space="preserve">ORD-2025-0244</x:t>
        </x:is>
      </x:c>
      <x:c r="C378" s="17" t="n">
        <x:v>45932</x:v>
      </x:c>
      <x:c r="D378" s="4" t="inlineStr">
        <x:is>
          <x:t xml:space="preserve">CUS-0096</x:t>
        </x:is>
      </x:c>
      <x:c r="E378" s="4" t="inlineStr">
        <x:is>
          <x:t xml:space="preserve">Monitor</x:t>
        </x:is>
      </x:c>
      <x:c r="F378" s="4" t="inlineStr">
        <x:is>
          <x:t xml:space="preserve">Computers</x:t>
        </x:is>
      </x:c>
      <x:c r="G378" s="4" t="inlineStr">
        <x:is>
          <x:t xml:space="preserve">Austin</x:t>
        </x:is>
      </x:c>
      <x:c r="H378" s="18" t="n">
        <x:v>1</x:v>
      </x:c>
      <x:c r="I378" s="19" t="n">
        <x:v>296.25</x:v>
      </x:c>
      <x:c r="J378" s="20" t="n">
        <x:v>0.05</x:v>
      </x:c>
      <x:c r="K378" s="4" t="inlineStr">
        <x:is>
          <x:t xml:space="preserve">PayPal</x:t>
        </x:is>
      </x:c>
      <x:c r="L378" s="19" t="n">
        <x:v>296.25</x:v>
      </x:c>
      <x:c r="M378" s="19" t="n">
        <x:v>14.81</x:v>
      </x:c>
      <x:c r="N378" s="19" t="n">
        <x:v>281.44</x:v>
      </x:c>
      <x:c r="O378" s="4" t="n">
        <x:f>YEAR(C378)</x:f>
        <x:v>2025</x:v>
      </x:c>
      <x:c r="P378" s="4" t="str">
        <x:f>TEXT(C378,"yyyy-mm")</x:f>
        <x:v>2025-10</x:v>
      </x:c>
      <x:c r="Q378" s="4" t="str">
        <x:f>TEXT(C378,"mmmm")</x:f>
        <x:v>October</x:v>
      </x:c>
    </x:row>
    <x:row r="379" ht="20" customHeight="1">
      <x:c r="A379" s="4" t="inlineStr">
        <x:is>
          <x:t xml:space="preserve">LINE-00379</x:t>
        </x:is>
      </x:c>
      <x:c r="B379" s="4" t="inlineStr">
        <x:is>
          <x:t xml:space="preserve">ORD-2025-0245</x:t>
        </x:is>
      </x:c>
      <x:c r="C379" s="17" t="n">
        <x:v>45985</x:v>
      </x:c>
      <x:c r="D379" s="4" t="inlineStr">
        <x:is>
          <x:t xml:space="preserve">CUS-0161</x:t>
        </x:is>
      </x:c>
      <x:c r="E379" s="4" t="inlineStr">
        <x:is>
          <x:t xml:space="preserve">USB Flash Drive</x:t>
        </x:is>
      </x:c>
      <x:c r="F379" s="4" t="inlineStr">
        <x:is>
          <x:t xml:space="preserve">Storage</x:t>
        </x:is>
      </x:c>
      <x:c r="G379" s="4" t="inlineStr">
        <x:is>
          <x:t xml:space="preserve">Boston</x:t>
        </x:is>
      </x:c>
      <x:c r="H379" s="18" t="n">
        <x:v>1</x:v>
      </x:c>
      <x:c r="I379" s="19" t="n">
        <x:v>31.66</x:v>
      </x:c>
      <x:c r="J379" s="20" t="n">
        <x:v>0.05</x:v>
      </x:c>
      <x:c r="K379" s="4" t="inlineStr">
        <x:is>
          <x:t xml:space="preserve">Bank Transfer</x:t>
        </x:is>
      </x:c>
      <x:c r="L379" s="19" t="n">
        <x:v>31.66</x:v>
      </x:c>
      <x:c r="M379" s="19" t="n">
        <x:v>1.58</x:v>
      </x:c>
      <x:c r="N379" s="19" t="n">
        <x:v>30.08</x:v>
      </x:c>
      <x:c r="O379" s="4" t="n">
        <x:f>YEAR(C379)</x:f>
        <x:v>2025</x:v>
      </x:c>
      <x:c r="P379" s="4" t="str">
        <x:f>TEXT(C379,"yyyy-mm")</x:f>
        <x:v>2025-11</x:v>
      </x:c>
      <x:c r="Q379" s="4" t="str">
        <x:f>TEXT(C379,"mmmm")</x:f>
        <x:v>November</x:v>
      </x:c>
    </x:row>
    <x:row r="380" ht="20" customHeight="1">
      <x:c r="A380" s="4" t="inlineStr">
        <x:is>
          <x:t xml:space="preserve">LINE-00380</x:t>
        </x:is>
      </x:c>
      <x:c r="B380" s="4" t="inlineStr">
        <x:is>
          <x:t xml:space="preserve">ORD-2025-0245</x:t>
        </x:is>
      </x:c>
      <x:c r="C380" s="17" t="n">
        <x:v>45985</x:v>
      </x:c>
      <x:c r="D380" s="4" t="inlineStr">
        <x:is>
          <x:t xml:space="preserve">CUS-0161</x:t>
        </x:is>
      </x:c>
      <x:c r="E380" s="4" t="inlineStr">
        <x:is>
          <x:t xml:space="preserve">Monitor</x:t>
        </x:is>
      </x:c>
      <x:c r="F380" s="4" t="inlineStr">
        <x:is>
          <x:t xml:space="preserve">Computers</x:t>
        </x:is>
      </x:c>
      <x:c r="G380" s="4" t="inlineStr">
        <x:is>
          <x:t xml:space="preserve">Boston</x:t>
        </x:is>
      </x:c>
      <x:c r="H380" s="18" t="n">
        <x:v>3</x:v>
      </x:c>
      <x:c r="I380" s="19" t="n">
        <x:v>289.23</x:v>
      </x:c>
      <x:c r="J380" s="20" t="n">
        <x:v>0</x:v>
      </x:c>
      <x:c r="K380" s="4" t="inlineStr">
        <x:is>
          <x:t xml:space="preserve">Bank Transfer</x:t>
        </x:is>
      </x:c>
      <x:c r="L380" s="19" t="n">
        <x:v>867.6900000000001</x:v>
      </x:c>
      <x:c r="M380" s="19" t="n">
        <x:v>0</x:v>
      </x:c>
      <x:c r="N380" s="19" t="n">
        <x:v>867.6900000000001</x:v>
      </x:c>
      <x:c r="O380" s="4" t="n">
        <x:f>YEAR(C380)</x:f>
        <x:v>2025</x:v>
      </x:c>
      <x:c r="P380" s="4" t="str">
        <x:f>TEXT(C380,"yyyy-mm")</x:f>
        <x:v>2025-11</x:v>
      </x:c>
      <x:c r="Q380" s="4" t="str">
        <x:f>TEXT(C380,"mmmm")</x:f>
        <x:v>November</x:v>
      </x:c>
    </x:row>
    <x:row r="381" ht="20" customHeight="1">
      <x:c r="A381" s="4" t="inlineStr">
        <x:is>
          <x:t xml:space="preserve">LINE-00381</x:t>
        </x:is>
      </x:c>
      <x:c r="B381" s="4" t="inlineStr">
        <x:is>
          <x:t xml:space="preserve">ORD-2025-0246</x:t>
        </x:is>
      </x:c>
      <x:c r="C381" s="17" t="n">
        <x:v>45972</x:v>
      </x:c>
      <x:c r="D381" s="4" t="inlineStr">
        <x:is>
          <x:t xml:space="preserve">CUS-0303</x:t>
        </x:is>
      </x:c>
      <x:c r="E381" s="4" t="inlineStr">
        <x:is>
          <x:t xml:space="preserve">Wireless Mouse</x:t>
        </x:is>
      </x:c>
      <x:c r="F381" s="4" t="inlineStr">
        <x:is>
          <x:t xml:space="preserve">Accessories</x:t>
        </x:is>
      </x:c>
      <x:c r="G381" s="4" t="inlineStr">
        <x:is>
          <x:t xml:space="preserve">New York</x:t>
        </x:is>
      </x:c>
      <x:c r="H381" s="18" t="n">
        <x:v>1</x:v>
      </x:c>
      <x:c r="I381" s="19" t="n">
        <x:v>42.72</x:v>
      </x:c>
      <x:c r="J381" s="20" t="n">
        <x:v>0.05</x:v>
      </x:c>
      <x:c r="K381" s="4" t="inlineStr">
        <x:is>
          <x:t xml:space="preserve">Debit Card</x:t>
        </x:is>
      </x:c>
      <x:c r="L381" s="19" t="n">
        <x:v>42.72</x:v>
      </x:c>
      <x:c r="M381" s="19" t="n">
        <x:v>2.14</x:v>
      </x:c>
      <x:c r="N381" s="19" t="n">
        <x:v>40.58</x:v>
      </x:c>
      <x:c r="O381" s="4" t="n">
        <x:f>YEAR(C381)</x:f>
        <x:v>2025</x:v>
      </x:c>
      <x:c r="P381" s="4" t="str">
        <x:f>TEXT(C381,"yyyy-mm")</x:f>
        <x:v>2025-11</x:v>
      </x:c>
      <x:c r="Q381" s="4" t="str">
        <x:f>TEXT(C381,"mmmm")</x:f>
        <x:v>November</x:v>
      </x:c>
    </x:row>
    <x:row r="382" ht="20" customHeight="1">
      <x:c r="A382" s="4" t="inlineStr">
        <x:is>
          <x:t xml:space="preserve">LINE-00382</x:t>
        </x:is>
      </x:c>
      <x:c r="B382" s="4" t="inlineStr">
        <x:is>
          <x:t xml:space="preserve">ORD-2025-0247</x:t>
        </x:is>
      </x:c>
      <x:c r="C382" s="17" t="n">
        <x:v>45919</x:v>
      </x:c>
      <x:c r="D382" s="4" t="inlineStr">
        <x:is>
          <x:t xml:space="preserve">CUS-0199</x:t>
        </x:is>
      </x:c>
      <x:c r="E382" s="4" t="inlineStr">
        <x:is>
          <x:t xml:space="preserve">Headphones</x:t>
        </x:is>
      </x:c>
      <x:c r="F382" s="4" t="inlineStr">
        <x:is>
          <x:t xml:space="preserve">Audio</x:t>
        </x:is>
      </x:c>
      <x:c r="G382" s="4" t="inlineStr">
        <x:is>
          <x:t xml:space="preserve">Seattle</x:t>
        </x:is>
      </x:c>
      <x:c r="H382" s="18" t="n">
        <x:v>2</x:v>
      </x:c>
      <x:c r="I382" s="19" t="n">
        <x:v>130.78</x:v>
      </x:c>
      <x:c r="J382" s="20" t="n">
        <x:v>0.15</x:v>
      </x:c>
      <x:c r="K382" s="4" t="inlineStr">
        <x:is>
          <x:t xml:space="preserve">Debit Card</x:t>
        </x:is>
      </x:c>
      <x:c r="L382" s="19" t="n">
        <x:v>261.56</x:v>
      </x:c>
      <x:c r="M382" s="19" t="n">
        <x:v>39.23</x:v>
      </x:c>
      <x:c r="N382" s="19" t="n">
        <x:v>222.33</x:v>
      </x:c>
      <x:c r="O382" s="4" t="n">
        <x:f>YEAR(C382)</x:f>
        <x:v>2025</x:v>
      </x:c>
      <x:c r="P382" s="4" t="str">
        <x:f>TEXT(C382,"yyyy-mm")</x:f>
        <x:v>2025-09</x:v>
      </x:c>
      <x:c r="Q382" s="4" t="str">
        <x:f>TEXT(C382,"mmmm")</x:f>
        <x:v>September</x:v>
      </x:c>
    </x:row>
    <x:row r="383" ht="20" customHeight="1">
      <x:c r="A383" s="4" t="inlineStr">
        <x:is>
          <x:t xml:space="preserve">LINE-00383</x:t>
        </x:is>
      </x:c>
      <x:c r="B383" s="4" t="inlineStr">
        <x:is>
          <x:t xml:space="preserve">ORD-2025-0247</x:t>
        </x:is>
      </x:c>
      <x:c r="C383" s="17" t="n">
        <x:v>45919</x:v>
      </x:c>
      <x:c r="D383" s="4" t="inlineStr">
        <x:is>
          <x:t xml:space="preserve">CUS-0199</x:t>
        </x:is>
      </x:c>
      <x:c r="E383" s="4" t="inlineStr">
        <x:is>
          <x:t xml:space="preserve">Keyboard</x:t>
        </x:is>
      </x:c>
      <x:c r="F383" s="4" t="inlineStr">
        <x:is>
          <x:t xml:space="preserve">Accessories</x:t>
        </x:is>
      </x:c>
      <x:c r="G383" s="4" t="inlineStr">
        <x:is>
          <x:t xml:space="preserve">Seattle</x:t>
        </x:is>
      </x:c>
      <x:c r="H383" s="18" t="n">
        <x:v>4</x:v>
      </x:c>
      <x:c r="I383" s="19" t="n">
        <x:v>71.08</x:v>
      </x:c>
      <x:c r="J383" s="20" t="n">
        <x:v>0</x:v>
      </x:c>
      <x:c r="K383" s="4" t="inlineStr">
        <x:is>
          <x:t xml:space="preserve">Debit Card</x:t>
        </x:is>
      </x:c>
      <x:c r="L383" s="19" t="n">
        <x:v>284.32</x:v>
      </x:c>
      <x:c r="M383" s="19" t="n">
        <x:v>0</x:v>
      </x:c>
      <x:c r="N383" s="19" t="n">
        <x:v>284.32</x:v>
      </x:c>
      <x:c r="O383" s="4" t="n">
        <x:f>YEAR(C383)</x:f>
        <x:v>2025</x:v>
      </x:c>
      <x:c r="P383" s="4" t="str">
        <x:f>TEXT(C383,"yyyy-mm")</x:f>
        <x:v>2025-09</x:v>
      </x:c>
      <x:c r="Q383" s="4" t="str">
        <x:f>TEXT(C383,"mmmm")</x:f>
        <x:v>September</x:v>
      </x:c>
    </x:row>
    <x:row r="384" ht="20" customHeight="1">
      <x:c r="A384" s="4" t="inlineStr">
        <x:is>
          <x:t xml:space="preserve">LINE-00384</x:t>
        </x:is>
      </x:c>
      <x:c r="B384" s="4" t="inlineStr">
        <x:is>
          <x:t xml:space="preserve">ORD-2025-0248</x:t>
        </x:is>
      </x:c>
      <x:c r="C384" s="17" t="n">
        <x:v>45805</x:v>
      </x:c>
      <x:c r="D384" s="4" t="inlineStr">
        <x:is>
          <x:t xml:space="preserve">CUS-0072</x:t>
        </x:is>
      </x:c>
      <x:c r="E384" s="4" t="inlineStr">
        <x:is>
          <x:t xml:space="preserve">USB Flash Drive</x:t>
        </x:is>
      </x:c>
      <x:c r="F384" s="4" t="inlineStr">
        <x:is>
          <x:t xml:space="preserve">Storage</x:t>
        </x:is>
      </x:c>
      <x:c r="G384" s="4" t="inlineStr">
        <x:is>
          <x:t xml:space="preserve">Chicago</x:t>
        </x:is>
      </x:c>
      <x:c r="H384" s="18" t="n">
        <x:v>4</x:v>
      </x:c>
      <x:c r="I384" s="19" t="n">
        <x:v>32.17</x:v>
      </x:c>
      <x:c r="J384" s="20" t="n">
        <x:v>0.05</x:v>
      </x:c>
      <x:c r="K384" s="4" t="inlineStr">
        <x:is>
          <x:t xml:space="preserve">PayPal</x:t>
        </x:is>
      </x:c>
      <x:c r="L384" s="19" t="n">
        <x:v>128.68</x:v>
      </x:c>
      <x:c r="M384" s="19" t="n">
        <x:v>6.43</x:v>
      </x:c>
      <x:c r="N384" s="19" t="n">
        <x:v>122.25</x:v>
      </x:c>
      <x:c r="O384" s="4" t="n">
        <x:f>YEAR(C384)</x:f>
        <x:v>2025</x:v>
      </x:c>
      <x:c r="P384" s="4" t="str">
        <x:f>TEXT(C384,"yyyy-mm")</x:f>
        <x:v>2025-05</x:v>
      </x:c>
      <x:c r="Q384" s="4" t="str">
        <x:f>TEXT(C384,"mmmm")</x:f>
        <x:v>May</x:v>
      </x:c>
    </x:row>
    <x:row r="385" ht="20" customHeight="1">
      <x:c r="A385" s="4" t="inlineStr">
        <x:is>
          <x:t xml:space="preserve">LINE-00385</x:t>
        </x:is>
      </x:c>
      <x:c r="B385" s="4" t="inlineStr">
        <x:is>
          <x:t xml:space="preserve">ORD-2025-0248</x:t>
        </x:is>
      </x:c>
      <x:c r="C385" s="17" t="n">
        <x:v>45805</x:v>
      </x:c>
      <x:c r="D385" s="4" t="inlineStr">
        <x:is>
          <x:t xml:space="preserve">CUS-0072</x:t>
        </x:is>
      </x:c>
      <x:c r="E385" s="4" t="inlineStr">
        <x:is>
          <x:t xml:space="preserve">Laptop</x:t>
        </x:is>
      </x:c>
      <x:c r="F385" s="4" t="inlineStr">
        <x:is>
          <x:t xml:space="preserve">Computers</x:t>
        </x:is>
      </x:c>
      <x:c r="G385" s="4" t="inlineStr">
        <x:is>
          <x:t xml:space="preserve">Chicago</x:t>
        </x:is>
      </x:c>
      <x:c r="H385" s="18" t="n">
        <x:v>1</x:v>
      </x:c>
      <x:c r="I385" s="19" t="n">
        <x:v>932.36</x:v>
      </x:c>
      <x:c r="J385" s="20" t="n">
        <x:v>0.05</x:v>
      </x:c>
      <x:c r="K385" s="4" t="inlineStr">
        <x:is>
          <x:t xml:space="preserve">PayPal</x:t>
        </x:is>
      </x:c>
      <x:c r="L385" s="19" t="n">
        <x:v>932.36</x:v>
      </x:c>
      <x:c r="M385" s="19" t="n">
        <x:v>46.62</x:v>
      </x:c>
      <x:c r="N385" s="19" t="n">
        <x:v>885.74</x:v>
      </x:c>
      <x:c r="O385" s="4" t="n">
        <x:f>YEAR(C385)</x:f>
        <x:v>2025</x:v>
      </x:c>
      <x:c r="P385" s="4" t="str">
        <x:f>TEXT(C385,"yyyy-mm")</x:f>
        <x:v>2025-05</x:v>
      </x:c>
      <x:c r="Q385" s="4" t="str">
        <x:f>TEXT(C385,"mmmm")</x:f>
        <x:v>May</x:v>
      </x:c>
    </x:row>
    <x:row r="386" ht="20" customHeight="1">
      <x:c r="A386" s="4" t="inlineStr">
        <x:is>
          <x:t xml:space="preserve">LINE-00386</x:t>
        </x:is>
      </x:c>
      <x:c r="B386" s="4" t="inlineStr">
        <x:is>
          <x:t xml:space="preserve">ORD-2025-0249</x:t>
        </x:is>
      </x:c>
      <x:c r="C386" s="17" t="n">
        <x:v>45992</x:v>
      </x:c>
      <x:c r="D386" s="4" t="inlineStr">
        <x:is>
          <x:t xml:space="preserve">CUS-0254</x:t>
        </x:is>
      </x:c>
      <x:c r="E386" s="4" t="inlineStr">
        <x:is>
          <x:t xml:space="preserve">Bluetooth Speaker</x:t>
        </x:is>
      </x:c>
      <x:c r="F386" s="4" t="inlineStr">
        <x:is>
          <x:t xml:space="preserve">Audio</x:t>
        </x:is>
      </x:c>
      <x:c r="G386" s="4" t="inlineStr">
        <x:is>
          <x:t xml:space="preserve">Seattle</x:t>
        </x:is>
      </x:c>
      <x:c r="H386" s="18" t="n">
        <x:v>2</x:v>
      </x:c>
      <x:c r="I386" s="19" t="n">
        <x:v>102.66</x:v>
      </x:c>
      <x:c r="J386" s="20" t="n">
        <x:v>0</x:v>
      </x:c>
      <x:c r="K386" s="4" t="inlineStr">
        <x:is>
          <x:t xml:space="preserve">Bank Transfer</x:t>
        </x:is>
      </x:c>
      <x:c r="L386" s="19" t="n">
        <x:v>205.32</x:v>
      </x:c>
      <x:c r="M386" s="19" t="n">
        <x:v>0</x:v>
      </x:c>
      <x:c r="N386" s="19" t="n">
        <x:v>205.32</x:v>
      </x:c>
      <x:c r="O386" s="4" t="n">
        <x:f>YEAR(C386)</x:f>
        <x:v>2025</x:v>
      </x:c>
      <x:c r="P386" s="4" t="str">
        <x:f>TEXT(C386,"yyyy-mm")</x:f>
        <x:v>2025-12</x:v>
      </x:c>
      <x:c r="Q386" s="4" t="str">
        <x:f>TEXT(C386,"mmmm")</x:f>
        <x:v>December</x:v>
      </x:c>
    </x:row>
    <x:row r="387" ht="20" customHeight="1">
      <x:c r="A387" s="4" t="inlineStr">
        <x:is>
          <x:t xml:space="preserve">LINE-00387</x:t>
        </x:is>
      </x:c>
      <x:c r="B387" s="4" t="inlineStr">
        <x:is>
          <x:t xml:space="preserve">ORD-2025-0250</x:t>
        </x:is>
      </x:c>
      <x:c r="C387" s="17" t="n">
        <x:v>45770</x:v>
      </x:c>
      <x:c r="D387" s="4" t="inlineStr">
        <x:is>
          <x:t xml:space="preserve">CUS-0150</x:t>
        </x:is>
      </x:c>
      <x:c r="E387" s="4" t="inlineStr">
        <x:is>
          <x:t xml:space="preserve">USB-C Hub</x:t>
        </x:is>
      </x:c>
      <x:c r="F387" s="4" t="inlineStr">
        <x:is>
          <x:t xml:space="preserve">Accessories</x:t>
        </x:is>
      </x:c>
      <x:c r="G387" s="4" t="inlineStr">
        <x:is>
          <x:t xml:space="preserve">New York</x:t>
        </x:is>
      </x:c>
      <x:c r="H387" s="18" t="n">
        <x:v>1</x:v>
      </x:c>
      <x:c r="I387" s="19" t="n">
        <x:v>64.56</x:v>
      </x:c>
      <x:c r="J387" s="20" t="n">
        <x:v>0.1</x:v>
      </x:c>
      <x:c r="K387" s="4" t="inlineStr">
        <x:is>
          <x:t xml:space="preserve">PayPal</x:t>
        </x:is>
      </x:c>
      <x:c r="L387" s="19" t="n">
        <x:v>64.56</x:v>
      </x:c>
      <x:c r="M387" s="19" t="n">
        <x:v>6.46</x:v>
      </x:c>
      <x:c r="N387" s="19" t="n">
        <x:v>58.1</x:v>
      </x:c>
      <x:c r="O387" s="4" t="n">
        <x:f>YEAR(C387)</x:f>
        <x:v>2025</x:v>
      </x:c>
      <x:c r="P387" s="4" t="str">
        <x:f>TEXT(C387,"yyyy-mm")</x:f>
        <x:v>2025-04</x:v>
      </x:c>
      <x:c r="Q387" s="4" t="str">
        <x:f>TEXT(C387,"mmmm")</x:f>
        <x:v>April</x:v>
      </x:c>
    </x:row>
    <x:row r="388" ht="20" customHeight="1">
      <x:c r="A388" s="4" t="inlineStr">
        <x:is>
          <x:t xml:space="preserve">LINE-00388</x:t>
        </x:is>
      </x:c>
      <x:c r="B388" s="4" t="inlineStr">
        <x:is>
          <x:t xml:space="preserve">ORD-2025-0251</x:t>
        </x:is>
      </x:c>
      <x:c r="C388" s="17" t="n">
        <x:v>45911</x:v>
      </x:c>
      <x:c r="D388" s="4" t="inlineStr">
        <x:is>
          <x:t xml:space="preserve">CUS-0282</x:t>
        </x:is>
      </x:c>
      <x:c r="E388" s="4" t="inlineStr">
        <x:is>
          <x:t xml:space="preserve">USB-C Hub</x:t>
        </x:is>
      </x:c>
      <x:c r="F388" s="4" t="inlineStr">
        <x:is>
          <x:t xml:space="preserve">Accessories</x:t>
        </x:is>
      </x:c>
      <x:c r="G388" s="4" t="inlineStr">
        <x:is>
          <x:t xml:space="preserve">Boston</x:t>
        </x:is>
      </x:c>
      <x:c r="H388" s="18" t="n">
        <x:v>3</x:v>
      </x:c>
      <x:c r="I388" s="19" t="n">
        <x:v>63.62</x:v>
      </x:c>
      <x:c r="J388" s="20" t="n">
        <x:v>0.1</x:v>
      </x:c>
      <x:c r="K388" s="4" t="inlineStr">
        <x:is>
          <x:t xml:space="preserve">Credit Card</x:t>
        </x:is>
      </x:c>
      <x:c r="L388" s="19" t="n">
        <x:v>190.86</x:v>
      </x:c>
      <x:c r="M388" s="19" t="n">
        <x:v>19.09</x:v>
      </x:c>
      <x:c r="N388" s="19" t="n">
        <x:v>171.77</x:v>
      </x:c>
      <x:c r="O388" s="4" t="n">
        <x:f>YEAR(C388)</x:f>
        <x:v>2025</x:v>
      </x:c>
      <x:c r="P388" s="4" t="str">
        <x:f>TEXT(C388,"yyyy-mm")</x:f>
        <x:v>2025-09</x:v>
      </x:c>
      <x:c r="Q388" s="4" t="str">
        <x:f>TEXT(C388,"mmmm")</x:f>
        <x:v>September</x:v>
      </x:c>
    </x:row>
    <x:row r="389" ht="20" customHeight="1">
      <x:c r="A389" s="4" t="inlineStr">
        <x:is>
          <x:t xml:space="preserve">LINE-00389</x:t>
        </x:is>
      </x:c>
      <x:c r="B389" s="4" t="inlineStr">
        <x:is>
          <x:t xml:space="preserve">ORD-2025-0251</x:t>
        </x:is>
      </x:c>
      <x:c r="C389" s="17" t="n">
        <x:v>45911</x:v>
      </x:c>
      <x:c r="D389" s="4" t="inlineStr">
        <x:is>
          <x:t xml:space="preserve">CUS-0282</x:t>
        </x:is>
      </x:c>
      <x:c r="E389" s="4" t="inlineStr">
        <x:is>
          <x:t xml:space="preserve">External SSD</x:t>
        </x:is>
      </x:c>
      <x:c r="F389" s="4" t="inlineStr">
        <x:is>
          <x:t xml:space="preserve">Storage</x:t>
        </x:is>
      </x:c>
      <x:c r="G389" s="4" t="inlineStr">
        <x:is>
          <x:t xml:space="preserve">Boston</x:t>
        </x:is>
      </x:c>
      <x:c r="H389" s="18" t="n">
        <x:v>1</x:v>
      </x:c>
      <x:c r="I389" s="19" t="n">
        <x:v>155.26</x:v>
      </x:c>
      <x:c r="J389" s="20" t="n">
        <x:v>0.05</x:v>
      </x:c>
      <x:c r="K389" s="4" t="inlineStr">
        <x:is>
          <x:t xml:space="preserve">Credit Card</x:t>
        </x:is>
      </x:c>
      <x:c r="L389" s="19" t="n">
        <x:v>155.26</x:v>
      </x:c>
      <x:c r="M389" s="19" t="n">
        <x:v>7.76</x:v>
      </x:c>
      <x:c r="N389" s="19" t="n">
        <x:v>147.5</x:v>
      </x:c>
      <x:c r="O389" s="4" t="n">
        <x:f>YEAR(C389)</x:f>
        <x:v>2025</x:v>
      </x:c>
      <x:c r="P389" s="4" t="str">
        <x:f>TEXT(C389,"yyyy-mm")</x:f>
        <x:v>2025-09</x:v>
      </x:c>
      <x:c r="Q389" s="4" t="str">
        <x:f>TEXT(C389,"mmmm")</x:f>
        <x:v>September</x:v>
      </x:c>
    </x:row>
    <x:row r="390" ht="20" customHeight="1">
      <x:c r="A390" s="4" t="inlineStr">
        <x:is>
          <x:t xml:space="preserve">LINE-00390</x:t>
        </x:is>
      </x:c>
      <x:c r="B390" s="4" t="inlineStr">
        <x:is>
          <x:t xml:space="preserve">ORD-2025-0252</x:t>
        </x:is>
      </x:c>
      <x:c r="C390" s="17" t="n">
        <x:v>45875</x:v>
      </x:c>
      <x:c r="D390" s="4" t="inlineStr">
        <x:is>
          <x:t xml:space="preserve">CUS-0053</x:t>
        </x:is>
      </x:c>
      <x:c r="E390" s="4" t="inlineStr">
        <x:is>
          <x:t xml:space="preserve">Laptop</x:t>
        </x:is>
      </x:c>
      <x:c r="F390" s="4" t="inlineStr">
        <x:is>
          <x:t xml:space="preserve">Computers</x:t>
        </x:is>
      </x:c>
      <x:c r="G390" s="4" t="inlineStr">
        <x:is>
          <x:t xml:space="preserve">San Francisco</x:t>
        </x:is>
      </x:c>
      <x:c r="H390" s="18" t="n">
        <x:v>2</x:v>
      </x:c>
      <x:c r="I390" s="19" t="n">
        <x:v>926.98</x:v>
      </x:c>
      <x:c r="J390" s="20" t="n">
        <x:v>0.1</x:v>
      </x:c>
      <x:c r="K390" s="4" t="inlineStr">
        <x:is>
          <x:t xml:space="preserve">Debit Card</x:t>
        </x:is>
      </x:c>
      <x:c r="L390" s="19" t="n">
        <x:v>1853.96</x:v>
      </x:c>
      <x:c r="M390" s="19" t="n">
        <x:v>185.4</x:v>
      </x:c>
      <x:c r="N390" s="19" t="n">
        <x:v>1668.56</x:v>
      </x:c>
      <x:c r="O390" s="4" t="n">
        <x:f>YEAR(C390)</x:f>
        <x:v>2025</x:v>
      </x:c>
      <x:c r="P390" s="4" t="str">
        <x:f>TEXT(C390,"yyyy-mm")</x:f>
        <x:v>2025-08</x:v>
      </x:c>
      <x:c r="Q390" s="4" t="str">
        <x:f>TEXT(C390,"mmmm")</x:f>
        <x:v>August</x:v>
      </x:c>
    </x:row>
    <x:row r="391" ht="20" customHeight="1">
      <x:c r="A391" s="4" t="inlineStr">
        <x:is>
          <x:t xml:space="preserve">LINE-00391</x:t>
        </x:is>
      </x:c>
      <x:c r="B391" s="4" t="inlineStr">
        <x:is>
          <x:t xml:space="preserve">ORD-2025-0253</x:t>
        </x:is>
      </x:c>
      <x:c r="C391" s="17" t="n">
        <x:v>45882</x:v>
      </x:c>
      <x:c r="D391" s="4" t="inlineStr">
        <x:is>
          <x:t xml:space="preserve">CUS-0061</x:t>
        </x:is>
      </x:c>
      <x:c r="E391" s="4" t="inlineStr">
        <x:is>
          <x:t xml:space="preserve">USB Flash Drive</x:t>
        </x:is>
      </x:c>
      <x:c r="F391" s="4" t="inlineStr">
        <x:is>
          <x:t xml:space="preserve">Storage</x:t>
        </x:is>
      </x:c>
      <x:c r="G391" s="4" t="inlineStr">
        <x:is>
          <x:t xml:space="preserve">Chicago</x:t>
        </x:is>
      </x:c>
      <x:c r="H391" s="18" t="n">
        <x:v>4</x:v>
      </x:c>
      <x:c r="I391" s="19" t="n">
        <x:v>30.53</x:v>
      </x:c>
      <x:c r="J391" s="20" t="n">
        <x:v>0</x:v>
      </x:c>
      <x:c r="K391" s="4" t="inlineStr">
        <x:is>
          <x:t xml:space="preserve">Debit Card</x:t>
        </x:is>
      </x:c>
      <x:c r="L391" s="19" t="n">
        <x:v>122.12</x:v>
      </x:c>
      <x:c r="M391" s="19" t="n">
        <x:v>0</x:v>
      </x:c>
      <x:c r="N391" s="19" t="n">
        <x:v>122.12</x:v>
      </x:c>
      <x:c r="O391" s="4" t="n">
        <x:f>YEAR(C391)</x:f>
        <x:v>2025</x:v>
      </x:c>
      <x:c r="P391" s="4" t="str">
        <x:f>TEXT(C391,"yyyy-mm")</x:f>
        <x:v>2025-08</x:v>
      </x:c>
      <x:c r="Q391" s="4" t="str">
        <x:f>TEXT(C391,"mmmm")</x:f>
        <x:v>August</x:v>
      </x:c>
    </x:row>
    <x:row r="392" ht="20" customHeight="1">
      <x:c r="A392" s="4" t="inlineStr">
        <x:is>
          <x:t xml:space="preserve">LINE-00392</x:t>
        </x:is>
      </x:c>
      <x:c r="B392" s="4" t="inlineStr">
        <x:is>
          <x:t xml:space="preserve">ORD-2025-0253</x:t>
        </x:is>
      </x:c>
      <x:c r="C392" s="17" t="n">
        <x:v>45882</x:v>
      </x:c>
      <x:c r="D392" s="4" t="inlineStr">
        <x:is>
          <x:t xml:space="preserve">CUS-0061</x:t>
        </x:is>
      </x:c>
      <x:c r="E392" s="4" t="inlineStr">
        <x:is>
          <x:t xml:space="preserve">Webcam</x:t>
        </x:is>
      </x:c>
      <x:c r="F392" s="4" t="inlineStr">
        <x:is>
          <x:t xml:space="preserve">Accessories</x:t>
        </x:is>
      </x:c>
      <x:c r="G392" s="4" t="inlineStr">
        <x:is>
          <x:t xml:space="preserve">Chicago</x:t>
        </x:is>
      </x:c>
      <x:c r="H392" s="18" t="n">
        <x:v>2</x:v>
      </x:c>
      <x:c r="I392" s="19" t="n">
        <x:v>94.09999999999999</x:v>
      </x:c>
      <x:c r="J392" s="20" t="n">
        <x:v>0.1</x:v>
      </x:c>
      <x:c r="K392" s="4" t="inlineStr">
        <x:is>
          <x:t xml:space="preserve">Debit Card</x:t>
        </x:is>
      </x:c>
      <x:c r="L392" s="19" t="n">
        <x:v>188.2</x:v>
      </x:c>
      <x:c r="M392" s="19" t="n">
        <x:v>18.82</x:v>
      </x:c>
      <x:c r="N392" s="19" t="n">
        <x:v>169.38</x:v>
      </x:c>
      <x:c r="O392" s="4" t="n">
        <x:f>YEAR(C392)</x:f>
        <x:v>2025</x:v>
      </x:c>
      <x:c r="P392" s="4" t="str">
        <x:f>TEXT(C392,"yyyy-mm")</x:f>
        <x:v>2025-08</x:v>
      </x:c>
      <x:c r="Q392" s="4" t="str">
        <x:f>TEXT(C392,"mmmm")</x:f>
        <x:v>August</x:v>
      </x:c>
    </x:row>
    <x:row r="393" ht="20" customHeight="1">
      <x:c r="A393" s="4" t="inlineStr">
        <x:is>
          <x:t xml:space="preserve">LINE-00393</x:t>
        </x:is>
      </x:c>
      <x:c r="B393" s="4" t="inlineStr">
        <x:is>
          <x:t xml:space="preserve">ORD-2025-0254</x:t>
        </x:is>
      </x:c>
      <x:c r="C393" s="17" t="n">
        <x:v>45688</x:v>
      </x:c>
      <x:c r="D393" s="4" t="inlineStr">
        <x:is>
          <x:t xml:space="preserve">CUS-0292</x:t>
        </x:is>
      </x:c>
      <x:c r="E393" s="4" t="inlineStr">
        <x:is>
          <x:t xml:space="preserve">Keyboard</x:t>
        </x:is>
      </x:c>
      <x:c r="F393" s="4" t="inlineStr">
        <x:is>
          <x:t xml:space="preserve">Accessories</x:t>
        </x:is>
      </x:c>
      <x:c r="G393" s="4" t="inlineStr">
        <x:is>
          <x:t xml:space="preserve">Austin</x:t>
        </x:is>
      </x:c>
      <x:c r="H393" s="18" t="n">
        <x:v>5</x:v>
      </x:c>
      <x:c r="I393" s="19" t="n">
        <x:v>72.51000000000001</x:v>
      </x:c>
      <x:c r="J393" s="20" t="n">
        <x:v>0.05</x:v>
      </x:c>
      <x:c r="K393" s="4" t="inlineStr">
        <x:is>
          <x:t xml:space="preserve">PayPal</x:t>
        </x:is>
      </x:c>
      <x:c r="L393" s="19" t="n">
        <x:v>362.55</x:v>
      </x:c>
      <x:c r="M393" s="19" t="n">
        <x:v>18.13</x:v>
      </x:c>
      <x:c r="N393" s="19" t="n">
        <x:v>344.42</x:v>
      </x:c>
      <x:c r="O393" s="4" t="n">
        <x:f>YEAR(C393)</x:f>
        <x:v>2025</x:v>
      </x:c>
      <x:c r="P393" s="4" t="str">
        <x:f>TEXT(C393,"yyyy-mm")</x:f>
        <x:v>2025-01</x:v>
      </x:c>
      <x:c r="Q393" s="4" t="str">
        <x:f>TEXT(C393,"mmmm")</x:f>
        <x:v>January</x:v>
      </x:c>
    </x:row>
    <x:row r="394" ht="20" customHeight="1">
      <x:c r="A394" s="4" t="inlineStr">
        <x:is>
          <x:t xml:space="preserve">LINE-00394</x:t>
        </x:is>
      </x:c>
      <x:c r="B394" s="4" t="inlineStr">
        <x:is>
          <x:t xml:space="preserve">ORD-2025-0254</x:t>
        </x:is>
      </x:c>
      <x:c r="C394" s="17" t="n">
        <x:v>45688</x:v>
      </x:c>
      <x:c r="D394" s="4" t="inlineStr">
        <x:is>
          <x:t xml:space="preserve">CUS-0292</x:t>
        </x:is>
      </x:c>
      <x:c r="E394" s="4" t="inlineStr">
        <x:is>
          <x:t xml:space="preserve">Webcam</x:t>
        </x:is>
      </x:c>
      <x:c r="F394" s="4" t="inlineStr">
        <x:is>
          <x:t xml:space="preserve">Accessories</x:t>
        </x:is>
      </x:c>
      <x:c r="G394" s="4" t="inlineStr">
        <x:is>
          <x:t xml:space="preserve">Austin</x:t>
        </x:is>
      </x:c>
      <x:c r="H394" s="18" t="n">
        <x:v>5</x:v>
      </x:c>
      <x:c r="I394" s="19" t="n">
        <x:v>90.20999999999999</x:v>
      </x:c>
      <x:c r="J394" s="20" t="n">
        <x:v>0.15</x:v>
      </x:c>
      <x:c r="K394" s="4" t="inlineStr">
        <x:is>
          <x:t xml:space="preserve">PayPal</x:t>
        </x:is>
      </x:c>
      <x:c r="L394" s="19" t="n">
        <x:v>451.05</x:v>
      </x:c>
      <x:c r="M394" s="19" t="n">
        <x:v>67.66</x:v>
      </x:c>
      <x:c r="N394" s="19" t="n">
        <x:v>383.39</x:v>
      </x:c>
      <x:c r="O394" s="4" t="n">
        <x:f>YEAR(C394)</x:f>
        <x:v>2025</x:v>
      </x:c>
      <x:c r="P394" s="4" t="str">
        <x:f>TEXT(C394,"yyyy-mm")</x:f>
        <x:v>2025-01</x:v>
      </x:c>
      <x:c r="Q394" s="4" t="str">
        <x:f>TEXT(C394,"mmmm")</x:f>
        <x:v>January</x:v>
      </x:c>
    </x:row>
    <x:row r="395" ht="20" customHeight="1">
      <x:c r="A395" s="4" t="inlineStr">
        <x:is>
          <x:t xml:space="preserve">LINE-00395</x:t>
        </x:is>
      </x:c>
      <x:c r="B395" s="4" t="inlineStr">
        <x:is>
          <x:t xml:space="preserve">ORD-2025-0255</x:t>
        </x:is>
      </x:c>
      <x:c r="C395" s="17" t="n">
        <x:v>45706</x:v>
      </x:c>
      <x:c r="D395" s="4" t="inlineStr">
        <x:is>
          <x:t xml:space="preserve">CUS-0070</x:t>
        </x:is>
      </x:c>
      <x:c r="E395" s="4" t="inlineStr">
        <x:is>
          <x:t xml:space="preserve">Office Chair</x:t>
        </x:is>
      </x:c>
      <x:c r="F395" s="4" t="inlineStr">
        <x:is>
          <x:t xml:space="preserve">Furniture</x:t>
        </x:is>
      </x:c>
      <x:c r="G395" s="4" t="inlineStr">
        <x:is>
          <x:t xml:space="preserve">Seattle</x:t>
        </x:is>
      </x:c>
      <x:c r="H395" s="18" t="n">
        <x:v>1</x:v>
      </x:c>
      <x:c r="I395" s="19" t="n">
        <x:v>248.12</x:v>
      </x:c>
      <x:c r="J395" s="20" t="n">
        <x:v>0.1</x:v>
      </x:c>
      <x:c r="K395" s="4" t="inlineStr">
        <x:is>
          <x:t xml:space="preserve">Credit Card</x:t>
        </x:is>
      </x:c>
      <x:c r="L395" s="19" t="n">
        <x:v>248.12</x:v>
      </x:c>
      <x:c r="M395" s="19" t="n">
        <x:v>24.81</x:v>
      </x:c>
      <x:c r="N395" s="19" t="n">
        <x:v>223.31</x:v>
      </x:c>
      <x:c r="O395" s="4" t="n">
        <x:f>YEAR(C395)</x:f>
        <x:v>2025</x:v>
      </x:c>
      <x:c r="P395" s="4" t="str">
        <x:f>TEXT(C395,"yyyy-mm")</x:f>
        <x:v>2025-02</x:v>
      </x:c>
      <x:c r="Q395" s="4" t="str">
        <x:f>TEXT(C395,"mmmm")</x:f>
        <x:v>February</x:v>
      </x:c>
    </x:row>
    <x:row r="396" ht="20" customHeight="1">
      <x:c r="A396" s="4" t="inlineStr">
        <x:is>
          <x:t xml:space="preserve">LINE-00396</x:t>
        </x:is>
      </x:c>
      <x:c r="B396" s="4" t="inlineStr">
        <x:is>
          <x:t xml:space="preserve">ORD-2025-0255</x:t>
        </x:is>
      </x:c>
      <x:c r="C396" s="17" t="n">
        <x:v>45706</x:v>
      </x:c>
      <x:c r="D396" s="4" t="inlineStr">
        <x:is>
          <x:t xml:space="preserve">CUS-0070</x:t>
        </x:is>
      </x:c>
      <x:c r="E396" s="4" t="inlineStr">
        <x:is>
          <x:t xml:space="preserve">Keyboard</x:t>
        </x:is>
      </x:c>
      <x:c r="F396" s="4" t="inlineStr">
        <x:is>
          <x:t xml:space="preserve">Accessories</x:t>
        </x:is>
      </x:c>
      <x:c r="G396" s="4" t="inlineStr">
        <x:is>
          <x:t xml:space="preserve">Seattle</x:t>
        </x:is>
      </x:c>
      <x:c r="H396" s="18" t="n">
        <x:v>3</x:v>
      </x:c>
      <x:c r="I396" s="19" t="n">
        <x:v>77.11</x:v>
      </x:c>
      <x:c r="J396" s="20" t="n">
        <x:v>0.05</x:v>
      </x:c>
      <x:c r="K396" s="4" t="inlineStr">
        <x:is>
          <x:t xml:space="preserve">Credit Card</x:t>
        </x:is>
      </x:c>
      <x:c r="L396" s="19" t="n">
        <x:v>231.33</x:v>
      </x:c>
      <x:c r="M396" s="19" t="n">
        <x:v>11.57</x:v>
      </x:c>
      <x:c r="N396" s="19" t="n">
        <x:v>219.76</x:v>
      </x:c>
      <x:c r="O396" s="4" t="n">
        <x:f>YEAR(C396)</x:f>
        <x:v>2025</x:v>
      </x:c>
      <x:c r="P396" s="4" t="str">
        <x:f>TEXT(C396,"yyyy-mm")</x:f>
        <x:v>2025-02</x:v>
      </x:c>
      <x:c r="Q396" s="4" t="str">
        <x:f>TEXT(C396,"mmmm")</x:f>
        <x:v>February</x:v>
      </x:c>
    </x:row>
    <x:row r="397" ht="20" customHeight="1">
      <x:c r="A397" s="4" t="inlineStr">
        <x:is>
          <x:t xml:space="preserve">LINE-00397</x:t>
        </x:is>
      </x:c>
      <x:c r="B397" s="4" t="inlineStr">
        <x:is>
          <x:t xml:space="preserve">ORD-2025-0255</x:t>
        </x:is>
      </x:c>
      <x:c r="C397" s="17" t="n">
        <x:v>45706</x:v>
      </x:c>
      <x:c r="D397" s="4" t="inlineStr">
        <x:is>
          <x:t xml:space="preserve">CUS-0070</x:t>
        </x:is>
      </x:c>
      <x:c r="E397" s="4" t="inlineStr">
        <x:is>
          <x:t xml:space="preserve">Desk Lamp</x:t>
        </x:is>
      </x:c>
      <x:c r="F397" s="4" t="inlineStr">
        <x:is>
          <x:t xml:space="preserve">Furniture</x:t>
        </x:is>
      </x:c>
      <x:c r="G397" s="4" t="inlineStr">
        <x:is>
          <x:t xml:space="preserve">Seattle</x:t>
        </x:is>
      </x:c>
      <x:c r="H397" s="18" t="n">
        <x:v>2</x:v>
      </x:c>
      <x:c r="I397" s="19" t="n">
        <x:v>52.96</x:v>
      </x:c>
      <x:c r="J397" s="20" t="n">
        <x:v>0</x:v>
      </x:c>
      <x:c r="K397" s="4" t="inlineStr">
        <x:is>
          <x:t xml:space="preserve">Credit Card</x:t>
        </x:is>
      </x:c>
      <x:c r="L397" s="19" t="n">
        <x:v>105.92</x:v>
      </x:c>
      <x:c r="M397" s="19" t="n">
        <x:v>0</x:v>
      </x:c>
      <x:c r="N397" s="19" t="n">
        <x:v>105.92</x:v>
      </x:c>
      <x:c r="O397" s="4" t="n">
        <x:f>YEAR(C397)</x:f>
        <x:v>2025</x:v>
      </x:c>
      <x:c r="P397" s="4" t="str">
        <x:f>TEXT(C397,"yyyy-mm")</x:f>
        <x:v>2025-02</x:v>
      </x:c>
      <x:c r="Q397" s="4" t="str">
        <x:f>TEXT(C397,"mmmm")</x:f>
        <x:v>February</x:v>
      </x:c>
    </x:row>
    <x:row r="398" ht="20" customHeight="1">
      <x:c r="A398" s="4" t="inlineStr">
        <x:is>
          <x:t xml:space="preserve">LINE-00398</x:t>
        </x:is>
      </x:c>
      <x:c r="B398" s="4" t="inlineStr">
        <x:is>
          <x:t xml:space="preserve">ORD-2025-0256</x:t>
        </x:is>
      </x:c>
      <x:c r="C398" s="17" t="n">
        <x:v>45889</x:v>
      </x:c>
      <x:c r="D398" s="4" t="inlineStr">
        <x:is>
          <x:t xml:space="preserve">CUS-0039</x:t>
        </x:is>
      </x:c>
      <x:c r="E398" s="4" t="inlineStr">
        <x:is>
          <x:t xml:space="preserve">Desk Lamp</x:t>
        </x:is>
      </x:c>
      <x:c r="F398" s="4" t="inlineStr">
        <x:is>
          <x:t xml:space="preserve">Furniture</x:t>
        </x:is>
      </x:c>
      <x:c r="G398" s="4" t="inlineStr">
        <x:is>
          <x:t xml:space="preserve">San Francisco</x:t>
        </x:is>
      </x:c>
      <x:c r="H398" s="18" t="n">
        <x:v>1</x:v>
      </x:c>
      <x:c r="I398" s="19" t="n">
        <x:v>58.84</x:v>
      </x:c>
      <x:c r="J398" s="20" t="n">
        <x:v>0</x:v>
      </x:c>
      <x:c r="K398" s="4" t="inlineStr">
        <x:is>
          <x:t xml:space="preserve">Credit Card</x:t>
        </x:is>
      </x:c>
      <x:c r="L398" s="19" t="n">
        <x:v>58.84</x:v>
      </x:c>
      <x:c r="M398" s="19" t="n">
        <x:v>0</x:v>
      </x:c>
      <x:c r="N398" s="19" t="n">
        <x:v>58.84</x:v>
      </x:c>
      <x:c r="O398" s="4" t="n">
        <x:f>YEAR(C398)</x:f>
        <x:v>2025</x:v>
      </x:c>
      <x:c r="P398" s="4" t="str">
        <x:f>TEXT(C398,"yyyy-mm")</x:f>
        <x:v>2025-08</x:v>
      </x:c>
      <x:c r="Q398" s="4" t="str">
        <x:f>TEXT(C398,"mmmm")</x:f>
        <x:v>August</x:v>
      </x:c>
    </x:row>
    <x:row r="399" ht="20" customHeight="1">
      <x:c r="A399" s="4" t="inlineStr">
        <x:is>
          <x:t xml:space="preserve">LINE-00399</x:t>
        </x:is>
      </x:c>
      <x:c r="B399" s="4" t="inlineStr">
        <x:is>
          <x:t xml:space="preserve">ORD-2025-0257</x:t>
        </x:is>
      </x:c>
      <x:c r="C399" s="17" t="n">
        <x:v>45907</x:v>
      </x:c>
      <x:c r="D399" s="4" t="inlineStr">
        <x:is>
          <x:t xml:space="preserve">CUS-0168</x:t>
        </x:is>
      </x:c>
      <x:c r="E399" s="4" t="inlineStr">
        <x:is>
          <x:t xml:space="preserve">Desk Lamp</x:t>
        </x:is>
      </x:c>
      <x:c r="F399" s="4" t="inlineStr">
        <x:is>
          <x:t xml:space="preserve">Furniture</x:t>
        </x:is>
      </x:c>
      <x:c r="G399" s="4" t="inlineStr">
        <x:is>
          <x:t xml:space="preserve">Boston</x:t>
        </x:is>
      </x:c>
      <x:c r="H399" s="18" t="n">
        <x:v>2</x:v>
      </x:c>
      <x:c r="I399" s="19" t="n">
        <x:v>56.74</x:v>
      </x:c>
      <x:c r="J399" s="20" t="n">
        <x:v>0.1</x:v>
      </x:c>
      <x:c r="K399" s="4" t="inlineStr">
        <x:is>
          <x:t xml:space="preserve">Credit Card</x:t>
        </x:is>
      </x:c>
      <x:c r="L399" s="19" t="n">
        <x:v>113.48</x:v>
      </x:c>
      <x:c r="M399" s="19" t="n">
        <x:v>11.35</x:v>
      </x:c>
      <x:c r="N399" s="19" t="n">
        <x:v>102.13</x:v>
      </x:c>
      <x:c r="O399" s="4" t="n">
        <x:f>YEAR(C399)</x:f>
        <x:v>2025</x:v>
      </x:c>
      <x:c r="P399" s="4" t="str">
        <x:f>TEXT(C399,"yyyy-mm")</x:f>
        <x:v>2025-09</x:v>
      </x:c>
      <x:c r="Q399" s="4" t="str">
        <x:f>TEXT(C399,"mmmm")</x:f>
        <x:v>September</x:v>
      </x:c>
    </x:row>
    <x:row r="400" ht="20" customHeight="1">
      <x:c r="A400" s="4" t="inlineStr">
        <x:is>
          <x:t xml:space="preserve">LINE-00400</x:t>
        </x:is>
      </x:c>
      <x:c r="B400" s="4" t="inlineStr">
        <x:is>
          <x:t xml:space="preserve">ORD-2025-0257</x:t>
        </x:is>
      </x:c>
      <x:c r="C400" s="17" t="n">
        <x:v>45907</x:v>
      </x:c>
      <x:c r="D400" s="4" t="inlineStr">
        <x:is>
          <x:t xml:space="preserve">CUS-0168</x:t>
        </x:is>
      </x:c>
      <x:c r="E400" s="4" t="inlineStr">
        <x:is>
          <x:t xml:space="preserve">Monitor</x:t>
        </x:is>
      </x:c>
      <x:c r="F400" s="4" t="inlineStr">
        <x:is>
          <x:t xml:space="preserve">Computers</x:t>
        </x:is>
      </x:c>
      <x:c r="G400" s="4" t="inlineStr">
        <x:is>
          <x:t xml:space="preserve">Boston</x:t>
        </x:is>
      </x:c>
      <x:c r="H400" s="18" t="n">
        <x:v>3</x:v>
      </x:c>
      <x:c r="I400" s="19" t="n">
        <x:v>275.42</x:v>
      </x:c>
      <x:c r="J400" s="20" t="n">
        <x:v>0.2</x:v>
      </x:c>
      <x:c r="K400" s="4" t="inlineStr">
        <x:is>
          <x:t xml:space="preserve">Credit Card</x:t>
        </x:is>
      </x:c>
      <x:c r="L400" s="19" t="n">
        <x:v>826.26</x:v>
      </x:c>
      <x:c r="M400" s="19" t="n">
        <x:v>165.25</x:v>
      </x:c>
      <x:c r="N400" s="19" t="n">
        <x:v>661.01</x:v>
      </x:c>
      <x:c r="O400" s="4" t="n">
        <x:f>YEAR(C400)</x:f>
        <x:v>2025</x:v>
      </x:c>
      <x:c r="P400" s="4" t="str">
        <x:f>TEXT(C400,"yyyy-mm")</x:f>
        <x:v>2025-09</x:v>
      </x:c>
      <x:c r="Q400" s="4" t="str">
        <x:f>TEXT(C400,"mmmm")</x:f>
        <x:v>September</x:v>
      </x:c>
    </x:row>
    <x:row r="401" ht="20" customHeight="1">
      <x:c r="A401" s="4" t="inlineStr">
        <x:is>
          <x:t xml:space="preserve">LINE-00401</x:t>
        </x:is>
      </x:c>
      <x:c r="B401" s="4" t="inlineStr">
        <x:is>
          <x:t xml:space="preserve">ORD-2025-0257</x:t>
        </x:is>
      </x:c>
      <x:c r="C401" s="17" t="n">
        <x:v>45907</x:v>
      </x:c>
      <x:c r="D401" s="4" t="inlineStr">
        <x:is>
          <x:t xml:space="preserve">CUS-0168</x:t>
        </x:is>
      </x:c>
      <x:c r="E401" s="4" t="inlineStr">
        <x:is>
          <x:t xml:space="preserve">Bluetooth Speaker</x:t>
        </x:is>
      </x:c>
      <x:c r="F401" s="4" t="inlineStr">
        <x:is>
          <x:t xml:space="preserve">Audio</x:t>
        </x:is>
      </x:c>
      <x:c r="G401" s="4" t="inlineStr">
        <x:is>
          <x:t xml:space="preserve">Boston</x:t>
        </x:is>
      </x:c>
      <x:c r="H401" s="18" t="n">
        <x:v>3</x:v>
      </x:c>
      <x:c r="I401" s="19" t="n">
        <x:v>109.91</x:v>
      </x:c>
      <x:c r="J401" s="20" t="n">
        <x:v>0</x:v>
      </x:c>
      <x:c r="K401" s="4" t="inlineStr">
        <x:is>
          <x:t xml:space="preserve">Credit Card</x:t>
        </x:is>
      </x:c>
      <x:c r="L401" s="19" t="n">
        <x:v>329.73</x:v>
      </x:c>
      <x:c r="M401" s="19" t="n">
        <x:v>0</x:v>
      </x:c>
      <x:c r="N401" s="19" t="n">
        <x:v>329.73</x:v>
      </x:c>
      <x:c r="O401" s="4" t="n">
        <x:f>YEAR(C401)</x:f>
        <x:v>2025</x:v>
      </x:c>
      <x:c r="P401" s="4" t="str">
        <x:f>TEXT(C401,"yyyy-mm")</x:f>
        <x:v>2025-09</x:v>
      </x:c>
      <x:c r="Q401" s="4" t="str">
        <x:f>TEXT(C401,"mmmm")</x:f>
        <x:v>September</x:v>
      </x:c>
    </x:row>
    <x:row r="402" ht="20" customHeight="1">
      <x:c r="A402" s="4" t="inlineStr">
        <x:is>
          <x:t xml:space="preserve">LINE-00402</x:t>
        </x:is>
      </x:c>
      <x:c r="B402" s="4" t="inlineStr">
        <x:is>
          <x:t xml:space="preserve">ORD-2025-0258</x:t>
        </x:is>
      </x:c>
      <x:c r="C402" s="17" t="n">
        <x:v>45803</x:v>
      </x:c>
      <x:c r="D402" s="4" t="inlineStr">
        <x:is>
          <x:t xml:space="preserve">CUS-0173</x:t>
        </x:is>
      </x:c>
      <x:c r="E402" s="4" t="inlineStr">
        <x:is>
          <x:t xml:space="preserve">Bluetooth Speaker</x:t>
        </x:is>
      </x:c>
      <x:c r="F402" s="4" t="inlineStr">
        <x:is>
          <x:t xml:space="preserve">Audio</x:t>
        </x:is>
      </x:c>
      <x:c r="G402" s="4" t="inlineStr">
        <x:is>
          <x:t xml:space="preserve">Boston</x:t>
        </x:is>
      </x:c>
      <x:c r="H402" s="18" t="n">
        <x:v>4</x:v>
      </x:c>
      <x:c r="I402" s="19" t="n">
        <x:v>114.62</x:v>
      </x:c>
      <x:c r="J402" s="20" t="n">
        <x:v>0</x:v>
      </x:c>
      <x:c r="K402" s="4" t="inlineStr">
        <x:is>
          <x:t xml:space="preserve">Debit Card</x:t>
        </x:is>
      </x:c>
      <x:c r="L402" s="19" t="n">
        <x:v>458.48</x:v>
      </x:c>
      <x:c r="M402" s="19" t="n">
        <x:v>0</x:v>
      </x:c>
      <x:c r="N402" s="19" t="n">
        <x:v>458.48</x:v>
      </x:c>
      <x:c r="O402" s="4" t="n">
        <x:f>YEAR(C402)</x:f>
        <x:v>2025</x:v>
      </x:c>
      <x:c r="P402" s="4" t="str">
        <x:f>TEXT(C402,"yyyy-mm")</x:f>
        <x:v>2025-05</x:v>
      </x:c>
      <x:c r="Q402" s="4" t="str">
        <x:f>TEXT(C402,"mmmm")</x:f>
        <x:v>May</x:v>
      </x:c>
    </x:row>
    <x:row r="403" ht="20" customHeight="1">
      <x:c r="A403" s="4" t="inlineStr">
        <x:is>
          <x:t xml:space="preserve">LINE-00403</x:t>
        </x:is>
      </x:c>
      <x:c r="B403" s="4" t="inlineStr">
        <x:is>
          <x:t xml:space="preserve">ORD-2025-0258</x:t>
        </x:is>
      </x:c>
      <x:c r="C403" s="17" t="n">
        <x:v>45803</x:v>
      </x:c>
      <x:c r="D403" s="4" t="inlineStr">
        <x:is>
          <x:t xml:space="preserve">CUS-0173</x:t>
        </x:is>
      </x:c>
      <x:c r="E403" s="4" t="inlineStr">
        <x:is>
          <x:t xml:space="preserve">Webcam</x:t>
        </x:is>
      </x:c>
      <x:c r="F403" s="4" t="inlineStr">
        <x:is>
          <x:t xml:space="preserve">Accessories</x:t>
        </x:is>
      </x:c>
      <x:c r="G403" s="4" t="inlineStr">
        <x:is>
          <x:t xml:space="preserve">Boston</x:t>
        </x:is>
      </x:c>
      <x:c r="H403" s="18" t="n">
        <x:v>2</x:v>
      </x:c>
      <x:c r="I403" s="19" t="n">
        <x:v>94.84999999999999</x:v>
      </x:c>
      <x:c r="J403" s="20" t="n">
        <x:v>0</x:v>
      </x:c>
      <x:c r="K403" s="4" t="inlineStr">
        <x:is>
          <x:t xml:space="preserve">Debit Card</x:t>
        </x:is>
      </x:c>
      <x:c r="L403" s="19" t="n">
        <x:v>189.7</x:v>
      </x:c>
      <x:c r="M403" s="19" t="n">
        <x:v>0</x:v>
      </x:c>
      <x:c r="N403" s="19" t="n">
        <x:v>189.7</x:v>
      </x:c>
      <x:c r="O403" s="4" t="n">
        <x:f>YEAR(C403)</x:f>
        <x:v>2025</x:v>
      </x:c>
      <x:c r="P403" s="4" t="str">
        <x:f>TEXT(C403,"yyyy-mm")</x:f>
        <x:v>2025-05</x:v>
      </x:c>
      <x:c r="Q403" s="4" t="str">
        <x:f>TEXT(C403,"mmmm")</x:f>
        <x:v>May</x:v>
      </x:c>
    </x:row>
    <x:row r="404" ht="20" customHeight="1">
      <x:c r="A404" s="4" t="inlineStr">
        <x:is>
          <x:t xml:space="preserve">LINE-00404</x:t>
        </x:is>
      </x:c>
      <x:c r="B404" s="4" t="inlineStr">
        <x:is>
          <x:t xml:space="preserve">ORD-2025-0259</x:t>
        </x:is>
      </x:c>
      <x:c r="C404" s="17" t="n">
        <x:v>45738</x:v>
      </x:c>
      <x:c r="D404" s="4" t="inlineStr">
        <x:is>
          <x:t xml:space="preserve">CUS-0226</x:t>
        </x:is>
      </x:c>
      <x:c r="E404" s="4" t="inlineStr">
        <x:is>
          <x:t xml:space="preserve">Headphones</x:t>
        </x:is>
      </x:c>
      <x:c r="F404" s="4" t="inlineStr">
        <x:is>
          <x:t xml:space="preserve">Audio</x:t>
        </x:is>
      </x:c>
      <x:c r="G404" s="4" t="inlineStr">
        <x:is>
          <x:t xml:space="preserve">Seattle</x:t>
        </x:is>
      </x:c>
      <x:c r="H404" s="18" t="n">
        <x:v>4</x:v>
      </x:c>
      <x:c r="I404" s="19" t="n">
        <x:v>125.88</x:v>
      </x:c>
      <x:c r="J404" s="20" t="n">
        <x:v>0.15</x:v>
      </x:c>
      <x:c r="K404" s="4" t="inlineStr">
        <x:is>
          <x:t xml:space="preserve">Credit Card</x:t>
        </x:is>
      </x:c>
      <x:c r="L404" s="19" t="n">
        <x:v>503.52</x:v>
      </x:c>
      <x:c r="M404" s="19" t="n">
        <x:v>75.53</x:v>
      </x:c>
      <x:c r="N404" s="19" t="n">
        <x:v>427.99</x:v>
      </x:c>
      <x:c r="O404" s="4" t="n">
        <x:f>YEAR(C404)</x:f>
        <x:v>2025</x:v>
      </x:c>
      <x:c r="P404" s="4" t="str">
        <x:f>TEXT(C404,"yyyy-mm")</x:f>
        <x:v>2025-03</x:v>
      </x:c>
      <x:c r="Q404" s="4" t="str">
        <x:f>TEXT(C404,"mmmm")</x:f>
        <x:v>March</x:v>
      </x:c>
    </x:row>
    <x:row r="405" ht="20" customHeight="1">
      <x:c r="A405" s="4" t="inlineStr">
        <x:is>
          <x:t xml:space="preserve">LINE-00405</x:t>
        </x:is>
      </x:c>
      <x:c r="B405" s="4" t="inlineStr">
        <x:is>
          <x:t xml:space="preserve">ORD-2025-0259</x:t>
        </x:is>
      </x:c>
      <x:c r="C405" s="17" t="n">
        <x:v>45738</x:v>
      </x:c>
      <x:c r="D405" s="4" t="inlineStr">
        <x:is>
          <x:t xml:space="preserve">CUS-0226</x:t>
        </x:is>
      </x:c>
      <x:c r="E405" s="4" t="inlineStr">
        <x:is>
          <x:t xml:space="preserve">Wireless Mouse</x:t>
        </x:is>
      </x:c>
      <x:c r="F405" s="4" t="inlineStr">
        <x:is>
          <x:t xml:space="preserve">Accessories</x:t>
        </x:is>
      </x:c>
      <x:c r="G405" s="4" t="inlineStr">
        <x:is>
          <x:t xml:space="preserve">Seattle</x:t>
        </x:is>
      </x:c>
      <x:c r="H405" s="18" t="n">
        <x:v>4</x:v>
      </x:c>
      <x:c r="I405" s="19" t="n">
        <x:v>42.07</x:v>
      </x:c>
      <x:c r="J405" s="20" t="n">
        <x:v>0</x:v>
      </x:c>
      <x:c r="K405" s="4" t="inlineStr">
        <x:is>
          <x:t xml:space="preserve">Credit Card</x:t>
        </x:is>
      </x:c>
      <x:c r="L405" s="19" t="n">
        <x:v>168.28</x:v>
      </x:c>
      <x:c r="M405" s="19" t="n">
        <x:v>0</x:v>
      </x:c>
      <x:c r="N405" s="19" t="n">
        <x:v>168.28</x:v>
      </x:c>
      <x:c r="O405" s="4" t="n">
        <x:f>YEAR(C405)</x:f>
        <x:v>2025</x:v>
      </x:c>
      <x:c r="P405" s="4" t="str">
        <x:f>TEXT(C405,"yyyy-mm")</x:f>
        <x:v>2025-03</x:v>
      </x:c>
      <x:c r="Q405" s="4" t="str">
        <x:f>TEXT(C405,"mmmm")</x:f>
        <x:v>March</x:v>
      </x:c>
    </x:row>
    <x:row r="406" ht="20" customHeight="1">
      <x:c r="A406" s="4" t="inlineStr">
        <x:is>
          <x:t xml:space="preserve">LINE-00406</x:t>
        </x:is>
      </x:c>
      <x:c r="B406" s="4" t="inlineStr">
        <x:is>
          <x:t xml:space="preserve">ORD-2025-0259</x:t>
        </x:is>
      </x:c>
      <x:c r="C406" s="17" t="n">
        <x:v>45738</x:v>
      </x:c>
      <x:c r="D406" s="4" t="inlineStr">
        <x:is>
          <x:t xml:space="preserve">CUS-0226</x:t>
        </x:is>
      </x:c>
      <x:c r="E406" s="4" t="inlineStr">
        <x:is>
          <x:t xml:space="preserve">Keyboard</x:t>
        </x:is>
      </x:c>
      <x:c r="F406" s="4" t="inlineStr">
        <x:is>
          <x:t xml:space="preserve">Accessories</x:t>
        </x:is>
      </x:c>
      <x:c r="G406" s="4" t="inlineStr">
        <x:is>
          <x:t xml:space="preserve">Seattle</x:t>
        </x:is>
      </x:c>
      <x:c r="H406" s="18" t="n">
        <x:v>1</x:v>
      </x:c>
      <x:c r="I406" s="19" t="n">
        <x:v>76.97</x:v>
      </x:c>
      <x:c r="J406" s="20" t="n">
        <x:v>0.05</x:v>
      </x:c>
      <x:c r="K406" s="4" t="inlineStr">
        <x:is>
          <x:t xml:space="preserve">Credit Card</x:t>
        </x:is>
      </x:c>
      <x:c r="L406" s="19" t="n">
        <x:v>76.97</x:v>
      </x:c>
      <x:c r="M406" s="19" t="n">
        <x:v>3.85</x:v>
      </x:c>
      <x:c r="N406" s="19" t="n">
        <x:v>73.12</x:v>
      </x:c>
      <x:c r="O406" s="4" t="n">
        <x:f>YEAR(C406)</x:f>
        <x:v>2025</x:v>
      </x:c>
      <x:c r="P406" s="4" t="str">
        <x:f>TEXT(C406,"yyyy-mm")</x:f>
        <x:v>2025-03</x:v>
      </x:c>
      <x:c r="Q406" s="4" t="str">
        <x:f>TEXT(C406,"mmmm")</x:f>
        <x:v>March</x:v>
      </x:c>
    </x:row>
    <x:row r="407" ht="20" customHeight="1">
      <x:c r="A407" s="4" t="inlineStr">
        <x:is>
          <x:t xml:space="preserve">LINE-00407</x:t>
        </x:is>
      </x:c>
      <x:c r="B407" s="4" t="inlineStr">
        <x:is>
          <x:t xml:space="preserve">ORD-2025-0260</x:t>
        </x:is>
      </x:c>
      <x:c r="C407" s="17" t="n">
        <x:v>45684</x:v>
      </x:c>
      <x:c r="D407" s="4" t="inlineStr">
        <x:is>
          <x:t xml:space="preserve">CUS-0203</x:t>
        </x:is>
      </x:c>
      <x:c r="E407" s="4" t="inlineStr">
        <x:is>
          <x:t xml:space="preserve">Wireless Mouse</x:t>
        </x:is>
      </x:c>
      <x:c r="F407" s="4" t="inlineStr">
        <x:is>
          <x:t xml:space="preserve">Accessories</x:t>
        </x:is>
      </x:c>
      <x:c r="G407" s="4" t="inlineStr">
        <x:is>
          <x:t xml:space="preserve">San Francisco</x:t>
        </x:is>
      </x:c>
      <x:c r="H407" s="18" t="n">
        <x:v>2</x:v>
      </x:c>
      <x:c r="I407" s="19" t="n">
        <x:v>46.47</x:v>
      </x:c>
      <x:c r="J407" s="20" t="n">
        <x:v>0</x:v>
      </x:c>
      <x:c r="K407" s="4" t="inlineStr">
        <x:is>
          <x:t xml:space="preserve">PayPal</x:t>
        </x:is>
      </x:c>
      <x:c r="L407" s="19" t="n">
        <x:v>92.94</x:v>
      </x:c>
      <x:c r="M407" s="19" t="n">
        <x:v>0</x:v>
      </x:c>
      <x:c r="N407" s="19" t="n">
        <x:v>92.94</x:v>
      </x:c>
      <x:c r="O407" s="4" t="n">
        <x:f>YEAR(C407)</x:f>
        <x:v>2025</x:v>
      </x:c>
      <x:c r="P407" s="4" t="str">
        <x:f>TEXT(C407,"yyyy-mm")</x:f>
        <x:v>2025-01</x:v>
      </x:c>
      <x:c r="Q407" s="4" t="str">
        <x:f>TEXT(C407,"mmmm")</x:f>
        <x:v>January</x:v>
      </x:c>
    </x:row>
    <x:row r="408" ht="20" customHeight="1">
      <x:c r="A408" s="4" t="inlineStr">
        <x:is>
          <x:t xml:space="preserve">LINE-00408</x:t>
        </x:is>
      </x:c>
      <x:c r="B408" s="4" t="inlineStr">
        <x:is>
          <x:t xml:space="preserve">ORD-2025-0260</x:t>
        </x:is>
      </x:c>
      <x:c r="C408" s="17" t="n">
        <x:v>45684</x:v>
      </x:c>
      <x:c r="D408" s="4" t="inlineStr">
        <x:is>
          <x:t xml:space="preserve">CUS-0203</x:t>
        </x:is>
      </x:c>
      <x:c r="E408" s="4" t="inlineStr">
        <x:is>
          <x:t xml:space="preserve">Headphones</x:t>
        </x:is>
      </x:c>
      <x:c r="F408" s="4" t="inlineStr">
        <x:is>
          <x:t xml:space="preserve">Audio</x:t>
        </x:is>
      </x:c>
      <x:c r="G408" s="4" t="inlineStr">
        <x:is>
          <x:t xml:space="preserve">San Francisco</x:t>
        </x:is>
      </x:c>
      <x:c r="H408" s="18" t="n">
        <x:v>2</x:v>
      </x:c>
      <x:c r="I408" s="19" t="n">
        <x:v>122.36</x:v>
      </x:c>
      <x:c r="J408" s="20" t="n">
        <x:v>0</x:v>
      </x:c>
      <x:c r="K408" s="4" t="inlineStr">
        <x:is>
          <x:t xml:space="preserve">PayPal</x:t>
        </x:is>
      </x:c>
      <x:c r="L408" s="19" t="n">
        <x:v>244.72</x:v>
      </x:c>
      <x:c r="M408" s="19" t="n">
        <x:v>0</x:v>
      </x:c>
      <x:c r="N408" s="19" t="n">
        <x:v>244.72</x:v>
      </x:c>
      <x:c r="O408" s="4" t="n">
        <x:f>YEAR(C408)</x:f>
        <x:v>2025</x:v>
      </x:c>
      <x:c r="P408" s="4" t="str">
        <x:f>TEXT(C408,"yyyy-mm")</x:f>
        <x:v>2025-01</x:v>
      </x:c>
      <x:c r="Q408" s="4" t="str">
        <x:f>TEXT(C408,"mmmm")</x:f>
        <x:v>January</x:v>
      </x:c>
    </x:row>
    <x:row r="409" ht="20" customHeight="1">
      <x:c r="A409" s="4" t="inlineStr">
        <x:is>
          <x:t xml:space="preserve">LINE-00409</x:t>
        </x:is>
      </x:c>
      <x:c r="B409" s="4" t="inlineStr">
        <x:is>
          <x:t xml:space="preserve">ORD-2025-0261</x:t>
        </x:is>
      </x:c>
      <x:c r="C409" s="17" t="n">
        <x:v>46006</x:v>
      </x:c>
      <x:c r="D409" s="4" t="inlineStr">
        <x:is>
          <x:t xml:space="preserve">CUS-0228</x:t>
        </x:is>
      </x:c>
      <x:c r="E409" s="4" t="inlineStr">
        <x:is>
          <x:t xml:space="preserve">Monitor</x:t>
        </x:is>
      </x:c>
      <x:c r="F409" s="4" t="inlineStr">
        <x:is>
          <x:t xml:space="preserve">Computers</x:t>
        </x:is>
      </x:c>
      <x:c r="G409" s="4" t="inlineStr">
        <x:is>
          <x:t xml:space="preserve">New York</x:t>
        </x:is>
      </x:c>
      <x:c r="H409" s="18" t="n">
        <x:v>3</x:v>
      </x:c>
      <x:c r="I409" s="19" t="n">
        <x:v>279</x:v>
      </x:c>
      <x:c r="J409" s="20" t="n">
        <x:v>0</x:v>
      </x:c>
      <x:c r="K409" s="4" t="inlineStr">
        <x:is>
          <x:t xml:space="preserve">Credit Card</x:t>
        </x:is>
      </x:c>
      <x:c r="L409" s="19" t="n">
        <x:v>837</x:v>
      </x:c>
      <x:c r="M409" s="19" t="n">
        <x:v>0</x:v>
      </x:c>
      <x:c r="N409" s="19" t="n">
        <x:v>837</x:v>
      </x:c>
      <x:c r="O409" s="4" t="n">
        <x:f>YEAR(C409)</x:f>
        <x:v>2025</x:v>
      </x:c>
      <x:c r="P409" s="4" t="str">
        <x:f>TEXT(C409,"yyyy-mm")</x:f>
        <x:v>2025-12</x:v>
      </x:c>
      <x:c r="Q409" s="4" t="str">
        <x:f>TEXT(C409,"mmmm")</x:f>
        <x:v>December</x:v>
      </x:c>
    </x:row>
    <x:row r="410" ht="20" customHeight="1">
      <x:c r="A410" s="4" t="inlineStr">
        <x:is>
          <x:t xml:space="preserve">LINE-00410</x:t>
        </x:is>
      </x:c>
      <x:c r="B410" s="4" t="inlineStr">
        <x:is>
          <x:t xml:space="preserve">ORD-2025-0261</x:t>
        </x:is>
      </x:c>
      <x:c r="C410" s="17" t="n">
        <x:v>46006</x:v>
      </x:c>
      <x:c r="D410" s="4" t="inlineStr">
        <x:is>
          <x:t xml:space="preserve">CUS-0228</x:t>
        </x:is>
      </x:c>
      <x:c r="E410" s="4" t="inlineStr">
        <x:is>
          <x:t xml:space="preserve">Headphones</x:t>
        </x:is>
      </x:c>
      <x:c r="F410" s="4" t="inlineStr">
        <x:is>
          <x:t xml:space="preserve">Audio</x:t>
        </x:is>
      </x:c>
      <x:c r="G410" s="4" t="inlineStr">
        <x:is>
          <x:t xml:space="preserve">New York</x:t>
        </x:is>
      </x:c>
      <x:c r="H410" s="18" t="n">
        <x:v>1</x:v>
      </x:c>
      <x:c r="I410" s="19" t="n">
        <x:v>136.36</x:v>
      </x:c>
      <x:c r="J410" s="20" t="n">
        <x:v>0</x:v>
      </x:c>
      <x:c r="K410" s="4" t="inlineStr">
        <x:is>
          <x:t xml:space="preserve">Credit Card</x:t>
        </x:is>
      </x:c>
      <x:c r="L410" s="19" t="n">
        <x:v>136.36</x:v>
      </x:c>
      <x:c r="M410" s="19" t="n">
        <x:v>0</x:v>
      </x:c>
      <x:c r="N410" s="19" t="n">
        <x:v>136.36</x:v>
      </x:c>
      <x:c r="O410" s="4" t="n">
        <x:f>YEAR(C410)</x:f>
        <x:v>2025</x:v>
      </x:c>
      <x:c r="P410" s="4" t="str">
        <x:f>TEXT(C410,"yyyy-mm")</x:f>
        <x:v>2025-12</x:v>
      </x:c>
      <x:c r="Q410" s="4" t="str">
        <x:f>TEXT(C410,"mmmm")</x:f>
        <x:v>December</x:v>
      </x:c>
    </x:row>
    <x:row r="411" ht="20" customHeight="1">
      <x:c r="A411" s="4" t="inlineStr">
        <x:is>
          <x:t xml:space="preserve">LINE-00411</x:t>
        </x:is>
      </x:c>
      <x:c r="B411" s="4" t="inlineStr">
        <x:is>
          <x:t xml:space="preserve">ORD-2025-0262</x:t>
        </x:is>
      </x:c>
      <x:c r="C411" s="17" t="n">
        <x:v>45846</x:v>
      </x:c>
      <x:c r="D411" s="4" t="inlineStr">
        <x:is>
          <x:t xml:space="preserve">CUS-0154</x:t>
        </x:is>
      </x:c>
      <x:c r="E411" s="4" t="inlineStr">
        <x:is>
          <x:t xml:space="preserve">Keyboard</x:t>
        </x:is>
      </x:c>
      <x:c r="F411" s="4" t="inlineStr">
        <x:is>
          <x:t xml:space="preserve">Accessories</x:t>
        </x:is>
      </x:c>
      <x:c r="G411" s="4" t="inlineStr">
        <x:is>
          <x:t xml:space="preserve">Chicago</x:t>
        </x:is>
      </x:c>
      <x:c r="H411" s="18" t="n">
        <x:v>5</x:v>
      </x:c>
      <x:c r="I411" s="19" t="n">
        <x:v>70.70999999999999</x:v>
      </x:c>
      <x:c r="J411" s="20" t="n">
        <x:v>0.05</x:v>
      </x:c>
      <x:c r="K411" s="4" t="inlineStr">
        <x:is>
          <x:t xml:space="preserve">Bank Transfer</x:t>
        </x:is>
      </x:c>
      <x:c r="L411" s="19" t="n">
        <x:v>353.55</x:v>
      </x:c>
      <x:c r="M411" s="19" t="n">
        <x:v>17.68</x:v>
      </x:c>
      <x:c r="N411" s="19" t="n">
        <x:v>335.87</x:v>
      </x:c>
      <x:c r="O411" s="4" t="n">
        <x:f>YEAR(C411)</x:f>
        <x:v>2025</x:v>
      </x:c>
      <x:c r="P411" s="4" t="str">
        <x:f>TEXT(C411,"yyyy-mm")</x:f>
        <x:v>2025-07</x:v>
      </x:c>
      <x:c r="Q411" s="4" t="str">
        <x:f>TEXT(C411,"mmmm")</x:f>
        <x:v>July</x:v>
      </x:c>
    </x:row>
    <x:row r="412" ht="20" customHeight="1">
      <x:c r="A412" s="4" t="inlineStr">
        <x:is>
          <x:t xml:space="preserve">LINE-00412</x:t>
        </x:is>
      </x:c>
      <x:c r="B412" s="4" t="inlineStr">
        <x:is>
          <x:t xml:space="preserve">ORD-2025-0262</x:t>
        </x:is>
      </x:c>
      <x:c r="C412" s="17" t="n">
        <x:v>45846</x:v>
      </x:c>
      <x:c r="D412" s="4" t="inlineStr">
        <x:is>
          <x:t xml:space="preserve">CUS-0154</x:t>
        </x:is>
      </x:c>
      <x:c r="E412" s="4" t="inlineStr">
        <x:is>
          <x:t xml:space="preserve">Office Chair</x:t>
        </x:is>
      </x:c>
      <x:c r="F412" s="4" t="inlineStr">
        <x:is>
          <x:t xml:space="preserve">Furniture</x:t>
        </x:is>
      </x:c>
      <x:c r="G412" s="4" t="inlineStr">
        <x:is>
          <x:t xml:space="preserve">Chicago</x:t>
        </x:is>
      </x:c>
      <x:c r="H412" s="18" t="n">
        <x:v>1</x:v>
      </x:c>
      <x:c r="I412" s="19" t="n">
        <x:v>245.76</x:v>
      </x:c>
      <x:c r="J412" s="20" t="n">
        <x:v>0</x:v>
      </x:c>
      <x:c r="K412" s="4" t="inlineStr">
        <x:is>
          <x:t xml:space="preserve">Bank Transfer</x:t>
        </x:is>
      </x:c>
      <x:c r="L412" s="19" t="n">
        <x:v>245.76</x:v>
      </x:c>
      <x:c r="M412" s="19" t="n">
        <x:v>0</x:v>
      </x:c>
      <x:c r="N412" s="19" t="n">
        <x:v>245.76</x:v>
      </x:c>
      <x:c r="O412" s="4" t="n">
        <x:f>YEAR(C412)</x:f>
        <x:v>2025</x:v>
      </x:c>
      <x:c r="P412" s="4" t="str">
        <x:f>TEXT(C412,"yyyy-mm")</x:f>
        <x:v>2025-07</x:v>
      </x:c>
      <x:c r="Q412" s="4" t="str">
        <x:f>TEXT(C412,"mmmm")</x:f>
        <x:v>July</x:v>
      </x:c>
    </x:row>
    <x:row r="413" ht="20" customHeight="1">
      <x:c r="A413" s="4" t="inlineStr">
        <x:is>
          <x:t xml:space="preserve">LINE-00413</x:t>
        </x:is>
      </x:c>
      <x:c r="B413" s="4" t="inlineStr">
        <x:is>
          <x:t xml:space="preserve">ORD-2025-0263</x:t>
        </x:is>
      </x:c>
      <x:c r="C413" s="17" t="n">
        <x:v>45767</x:v>
      </x:c>
      <x:c r="D413" s="4" t="inlineStr">
        <x:is>
          <x:t xml:space="preserve">CUS-0322</x:t>
        </x:is>
      </x:c>
      <x:c r="E413" s="4" t="inlineStr">
        <x:is>
          <x:t xml:space="preserve">USB Flash Drive</x:t>
        </x:is>
      </x:c>
      <x:c r="F413" s="4" t="inlineStr">
        <x:is>
          <x:t xml:space="preserve">Storage</x:t>
        </x:is>
      </x:c>
      <x:c r="G413" s="4" t="inlineStr">
        <x:is>
          <x:t xml:space="preserve">San Francisco</x:t>
        </x:is>
      </x:c>
      <x:c r="H413" s="18" t="n">
        <x:v>3</x:v>
      </x:c>
      <x:c r="I413" s="19" t="n">
        <x:v>28.02</x:v>
      </x:c>
      <x:c r="J413" s="20" t="n">
        <x:v>0</x:v>
      </x:c>
      <x:c r="K413" s="4" t="inlineStr">
        <x:is>
          <x:t xml:space="preserve">Debit Card</x:t>
        </x:is>
      </x:c>
      <x:c r="L413" s="19" t="n">
        <x:v>84.06</x:v>
      </x:c>
      <x:c r="M413" s="19" t="n">
        <x:v>0</x:v>
      </x:c>
      <x:c r="N413" s="19" t="n">
        <x:v>84.06</x:v>
      </x:c>
      <x:c r="O413" s="4" t="n">
        <x:f>YEAR(C413)</x:f>
        <x:v>2025</x:v>
      </x:c>
      <x:c r="P413" s="4" t="str">
        <x:f>TEXT(C413,"yyyy-mm")</x:f>
        <x:v>2025-04</x:v>
      </x:c>
      <x:c r="Q413" s="4" t="str">
        <x:f>TEXT(C413,"mmmm")</x:f>
        <x:v>April</x:v>
      </x:c>
    </x:row>
    <x:row r="414" ht="20" customHeight="1">
      <x:c r="A414" s="4" t="inlineStr">
        <x:is>
          <x:t xml:space="preserve">LINE-00414</x:t>
        </x:is>
      </x:c>
      <x:c r="B414" s="4" t="inlineStr">
        <x:is>
          <x:t xml:space="preserve">ORD-2025-0263</x:t>
        </x:is>
      </x:c>
      <x:c r="C414" s="17" t="n">
        <x:v>45767</x:v>
      </x:c>
      <x:c r="D414" s="4" t="inlineStr">
        <x:is>
          <x:t xml:space="preserve">CUS-0322</x:t>
        </x:is>
      </x:c>
      <x:c r="E414" s="4" t="inlineStr">
        <x:is>
          <x:t xml:space="preserve">Office Chair</x:t>
        </x:is>
      </x:c>
      <x:c r="F414" s="4" t="inlineStr">
        <x:is>
          <x:t xml:space="preserve">Furniture</x:t>
        </x:is>
      </x:c>
      <x:c r="G414" s="4" t="inlineStr">
        <x:is>
          <x:t xml:space="preserve">San Francisco</x:t>
        </x:is>
      </x:c>
      <x:c r="H414" s="18" t="n">
        <x:v>3</x:v>
      </x:c>
      <x:c r="I414" s="19" t="n">
        <x:v>243.44</x:v>
      </x:c>
      <x:c r="J414" s="20" t="n">
        <x:v>0</x:v>
      </x:c>
      <x:c r="K414" s="4" t="inlineStr">
        <x:is>
          <x:t xml:space="preserve">Debit Card</x:t>
        </x:is>
      </x:c>
      <x:c r="L414" s="19" t="n">
        <x:v>730.3200000000001</x:v>
      </x:c>
      <x:c r="M414" s="19" t="n">
        <x:v>0</x:v>
      </x:c>
      <x:c r="N414" s="19" t="n">
        <x:v>730.3200000000001</x:v>
      </x:c>
      <x:c r="O414" s="4" t="n">
        <x:f>YEAR(C414)</x:f>
        <x:v>2025</x:v>
      </x:c>
      <x:c r="P414" s="4" t="str">
        <x:f>TEXT(C414,"yyyy-mm")</x:f>
        <x:v>2025-04</x:v>
      </x:c>
      <x:c r="Q414" s="4" t="str">
        <x:f>TEXT(C414,"mmmm")</x:f>
        <x:v>April</x:v>
      </x:c>
    </x:row>
    <x:row r="415" ht="20" customHeight="1">
      <x:c r="A415" s="4" t="inlineStr">
        <x:is>
          <x:t xml:space="preserve">LINE-00415</x:t>
        </x:is>
      </x:c>
      <x:c r="B415" s="4" t="inlineStr">
        <x:is>
          <x:t xml:space="preserve">ORD-2025-0263</x:t>
        </x:is>
      </x:c>
      <x:c r="C415" s="17" t="n">
        <x:v>45767</x:v>
      </x:c>
      <x:c r="D415" s="4" t="inlineStr">
        <x:is>
          <x:t xml:space="preserve">CUS-0322</x:t>
        </x:is>
      </x:c>
      <x:c r="E415" s="4" t="inlineStr">
        <x:is>
          <x:t xml:space="preserve">Bluetooth Speaker</x:t>
        </x:is>
      </x:c>
      <x:c r="F415" s="4" t="inlineStr">
        <x:is>
          <x:t xml:space="preserve">Audio</x:t>
        </x:is>
      </x:c>
      <x:c r="G415" s="4" t="inlineStr">
        <x:is>
          <x:t xml:space="preserve">San Francisco</x:t>
        </x:is>
      </x:c>
      <x:c r="H415" s="18" t="n">
        <x:v>5</x:v>
      </x:c>
      <x:c r="I415" s="19" t="n">
        <x:v>106.74</x:v>
      </x:c>
      <x:c r="J415" s="20" t="n">
        <x:v>0</x:v>
      </x:c>
      <x:c r="K415" s="4" t="inlineStr">
        <x:is>
          <x:t xml:space="preserve">Debit Card</x:t>
        </x:is>
      </x:c>
      <x:c r="L415" s="19" t="n">
        <x:v>533.7</x:v>
      </x:c>
      <x:c r="M415" s="19" t="n">
        <x:v>0</x:v>
      </x:c>
      <x:c r="N415" s="19" t="n">
        <x:v>533.7</x:v>
      </x:c>
      <x:c r="O415" s="4" t="n">
        <x:f>YEAR(C415)</x:f>
        <x:v>2025</x:v>
      </x:c>
      <x:c r="P415" s="4" t="str">
        <x:f>TEXT(C415,"yyyy-mm")</x:f>
        <x:v>2025-04</x:v>
      </x:c>
      <x:c r="Q415" s="4" t="str">
        <x:f>TEXT(C415,"mmmm")</x:f>
        <x:v>April</x:v>
      </x:c>
    </x:row>
    <x:row r="416" ht="20" customHeight="1">
      <x:c r="A416" s="4" t="inlineStr">
        <x:is>
          <x:t xml:space="preserve">LINE-00416</x:t>
        </x:is>
      </x:c>
      <x:c r="B416" s="4" t="inlineStr">
        <x:is>
          <x:t xml:space="preserve">ORD-2025-0264</x:t>
        </x:is>
      </x:c>
      <x:c r="C416" s="17" t="n">
        <x:v>45799</x:v>
      </x:c>
      <x:c r="D416" s="4" t="inlineStr">
        <x:is>
          <x:t xml:space="preserve">CUS-0331</x:t>
        </x:is>
      </x:c>
      <x:c r="E416" s="4" t="inlineStr">
        <x:is>
          <x:t xml:space="preserve">USB Flash Drive</x:t>
        </x:is>
      </x:c>
      <x:c r="F416" s="4" t="inlineStr">
        <x:is>
          <x:t xml:space="preserve">Storage</x:t>
        </x:is>
      </x:c>
      <x:c r="G416" s="4" t="inlineStr">
        <x:is>
          <x:t xml:space="preserve">New York</x:t>
        </x:is>
      </x:c>
      <x:c r="H416" s="18" t="n">
        <x:v>1</x:v>
      </x:c>
      <x:c r="I416" s="19" t="n">
        <x:v>32.12</x:v>
      </x:c>
      <x:c r="J416" s="20" t="n">
        <x:v>0</x:v>
      </x:c>
      <x:c r="K416" s="4" t="inlineStr">
        <x:is>
          <x:t xml:space="preserve">Debit Card</x:t>
        </x:is>
      </x:c>
      <x:c r="L416" s="19" t="n">
        <x:v>32.12</x:v>
      </x:c>
      <x:c r="M416" s="19" t="n">
        <x:v>0</x:v>
      </x:c>
      <x:c r="N416" s="19" t="n">
        <x:v>32.12</x:v>
      </x:c>
      <x:c r="O416" s="4" t="n">
        <x:f>YEAR(C416)</x:f>
        <x:v>2025</x:v>
      </x:c>
      <x:c r="P416" s="4" t="str">
        <x:f>TEXT(C416,"yyyy-mm")</x:f>
        <x:v>2025-05</x:v>
      </x:c>
      <x:c r="Q416" s="4" t="str">
        <x:f>TEXT(C416,"mmmm")</x:f>
        <x:v>May</x:v>
      </x:c>
    </x:row>
    <x:row r="417" ht="20" customHeight="1">
      <x:c r="A417" s="4" t="inlineStr">
        <x:is>
          <x:t xml:space="preserve">LINE-00417</x:t>
        </x:is>
      </x:c>
      <x:c r="B417" s="4" t="inlineStr">
        <x:is>
          <x:t xml:space="preserve">ORD-2025-0264</x:t>
        </x:is>
      </x:c>
      <x:c r="C417" s="17" t="n">
        <x:v>45799</x:v>
      </x:c>
      <x:c r="D417" s="4" t="inlineStr">
        <x:is>
          <x:t xml:space="preserve">CUS-0331</x:t>
        </x:is>
      </x:c>
      <x:c r="E417" s="4" t="inlineStr">
        <x:is>
          <x:t xml:space="preserve">Desk Lamp</x:t>
        </x:is>
      </x:c>
      <x:c r="F417" s="4" t="inlineStr">
        <x:is>
          <x:t xml:space="preserve">Furniture</x:t>
        </x:is>
      </x:c>
      <x:c r="G417" s="4" t="inlineStr">
        <x:is>
          <x:t xml:space="preserve">New York</x:t>
        </x:is>
      </x:c>
      <x:c r="H417" s="18" t="n">
        <x:v>3</x:v>
      </x:c>
      <x:c r="I417" s="19" t="n">
        <x:v>58.31</x:v>
      </x:c>
      <x:c r="J417" s="20" t="n">
        <x:v>0</x:v>
      </x:c>
      <x:c r="K417" s="4" t="inlineStr">
        <x:is>
          <x:t xml:space="preserve">Debit Card</x:t>
        </x:is>
      </x:c>
      <x:c r="L417" s="19" t="n">
        <x:v>174.93</x:v>
      </x:c>
      <x:c r="M417" s="19" t="n">
        <x:v>0</x:v>
      </x:c>
      <x:c r="N417" s="19" t="n">
        <x:v>174.93</x:v>
      </x:c>
      <x:c r="O417" s="4" t="n">
        <x:f>YEAR(C417)</x:f>
        <x:v>2025</x:v>
      </x:c>
      <x:c r="P417" s="4" t="str">
        <x:f>TEXT(C417,"yyyy-mm")</x:f>
        <x:v>2025-05</x:v>
      </x:c>
      <x:c r="Q417" s="4" t="str">
        <x:f>TEXT(C417,"mmmm")</x:f>
        <x:v>May</x:v>
      </x:c>
    </x:row>
    <x:row r="418" ht="20" customHeight="1">
      <x:c r="A418" s="4" t="inlineStr">
        <x:is>
          <x:t xml:space="preserve">LINE-00418</x:t>
        </x:is>
      </x:c>
      <x:c r="B418" s="4" t="inlineStr">
        <x:is>
          <x:t xml:space="preserve">ORD-2025-0265</x:t>
        </x:is>
      </x:c>
      <x:c r="C418" s="17" t="n">
        <x:v>45968</x:v>
      </x:c>
      <x:c r="D418" s="4" t="inlineStr">
        <x:is>
          <x:t xml:space="preserve">CUS-0261</x:t>
        </x:is>
      </x:c>
      <x:c r="E418" s="4" t="inlineStr">
        <x:is>
          <x:t xml:space="preserve">Laptop</x:t>
        </x:is>
      </x:c>
      <x:c r="F418" s="4" t="inlineStr">
        <x:is>
          <x:t xml:space="preserve">Computers</x:t>
        </x:is>
      </x:c>
      <x:c r="G418" s="4" t="inlineStr">
        <x:is>
          <x:t xml:space="preserve">Chicago</x:t>
        </x:is>
      </x:c>
      <x:c r="H418" s="18" t="n">
        <x:v>3</x:v>
      </x:c>
      <x:c r="I418" s="19" t="n">
        <x:v>994.65</x:v>
      </x:c>
      <x:c r="J418" s="20" t="n">
        <x:v>0</x:v>
      </x:c>
      <x:c r="K418" s="4" t="inlineStr">
        <x:is>
          <x:t xml:space="preserve">Bank Transfer</x:t>
        </x:is>
      </x:c>
      <x:c r="L418" s="19" t="n">
        <x:v>2983.95</x:v>
      </x:c>
      <x:c r="M418" s="19" t="n">
        <x:v>0</x:v>
      </x:c>
      <x:c r="N418" s="19" t="n">
        <x:v>2983.95</x:v>
      </x:c>
      <x:c r="O418" s="4" t="n">
        <x:f>YEAR(C418)</x:f>
        <x:v>2025</x:v>
      </x:c>
      <x:c r="P418" s="4" t="str">
        <x:f>TEXT(C418,"yyyy-mm")</x:f>
        <x:v>2025-11</x:v>
      </x:c>
      <x:c r="Q418" s="4" t="str">
        <x:f>TEXT(C418,"mmmm")</x:f>
        <x:v>November</x:v>
      </x:c>
    </x:row>
    <x:row r="419" ht="20" customHeight="1">
      <x:c r="A419" s="4" t="inlineStr">
        <x:is>
          <x:t xml:space="preserve">LINE-00419</x:t>
        </x:is>
      </x:c>
      <x:c r="B419" s="4" t="inlineStr">
        <x:is>
          <x:t xml:space="preserve">ORD-2025-0266</x:t>
        </x:is>
      </x:c>
      <x:c r="C419" s="17" t="n">
        <x:v>45855</x:v>
      </x:c>
      <x:c r="D419" s="4" t="inlineStr">
        <x:is>
          <x:t xml:space="preserve">CUS-0058</x:t>
        </x:is>
      </x:c>
      <x:c r="E419" s="4" t="inlineStr">
        <x:is>
          <x:t xml:space="preserve">Monitor</x:t>
        </x:is>
      </x:c>
      <x:c r="F419" s="4" t="inlineStr">
        <x:is>
          <x:t xml:space="preserve">Computers</x:t>
        </x:is>
      </x:c>
      <x:c r="G419" s="4" t="inlineStr">
        <x:is>
          <x:t xml:space="preserve">Chicago</x:t>
        </x:is>
      </x:c>
      <x:c r="H419" s="18" t="n">
        <x:v>4</x:v>
      </x:c>
      <x:c r="I419" s="19" t="n">
        <x:v>258.14</x:v>
      </x:c>
      <x:c r="J419" s="20" t="n">
        <x:v>0</x:v>
      </x:c>
      <x:c r="K419" s="4" t="inlineStr">
        <x:is>
          <x:t xml:space="preserve">Bank Transfer</x:t>
        </x:is>
      </x:c>
      <x:c r="L419" s="19" t="n">
        <x:v>1032.56</x:v>
      </x:c>
      <x:c r="M419" s="19" t="n">
        <x:v>0</x:v>
      </x:c>
      <x:c r="N419" s="19" t="n">
        <x:v>1032.56</x:v>
      </x:c>
      <x:c r="O419" s="4" t="n">
        <x:f>YEAR(C419)</x:f>
        <x:v>2025</x:v>
      </x:c>
      <x:c r="P419" s="4" t="str">
        <x:f>TEXT(C419,"yyyy-mm")</x:f>
        <x:v>2025-07</x:v>
      </x:c>
      <x:c r="Q419" s="4" t="str">
        <x:f>TEXT(C419,"mmmm")</x:f>
        <x:v>July</x:v>
      </x:c>
    </x:row>
    <x:row r="420" ht="20" customHeight="1">
      <x:c r="A420" s="4" t="inlineStr">
        <x:is>
          <x:t xml:space="preserve">LINE-00420</x:t>
        </x:is>
      </x:c>
      <x:c r="B420" s="4" t="inlineStr">
        <x:is>
          <x:t xml:space="preserve">ORD-2025-0266</x:t>
        </x:is>
      </x:c>
      <x:c r="C420" s="17" t="n">
        <x:v>45855</x:v>
      </x:c>
      <x:c r="D420" s="4" t="inlineStr">
        <x:is>
          <x:t xml:space="preserve">CUS-0058</x:t>
        </x:is>
      </x:c>
      <x:c r="E420" s="4" t="inlineStr">
        <x:is>
          <x:t xml:space="preserve">External SSD</x:t>
        </x:is>
      </x:c>
      <x:c r="F420" s="4" t="inlineStr">
        <x:is>
          <x:t xml:space="preserve">Storage</x:t>
        </x:is>
      </x:c>
      <x:c r="G420" s="4" t="inlineStr">
        <x:is>
          <x:t xml:space="preserve">Chicago</x:t>
        </x:is>
      </x:c>
      <x:c r="H420" s="18" t="n">
        <x:v>1</x:v>
      </x:c>
      <x:c r="I420" s="19" t="n">
        <x:v>147.28</x:v>
      </x:c>
      <x:c r="J420" s="20" t="n">
        <x:v>0.1</x:v>
      </x:c>
      <x:c r="K420" s="4" t="inlineStr">
        <x:is>
          <x:t xml:space="preserve">Bank Transfer</x:t>
        </x:is>
      </x:c>
      <x:c r="L420" s="19" t="n">
        <x:v>147.28</x:v>
      </x:c>
      <x:c r="M420" s="19" t="n">
        <x:v>14.73</x:v>
      </x:c>
      <x:c r="N420" s="19" t="n">
        <x:v>132.55</x:v>
      </x:c>
      <x:c r="O420" s="4" t="n">
        <x:f>YEAR(C420)</x:f>
        <x:v>2025</x:v>
      </x:c>
      <x:c r="P420" s="4" t="str">
        <x:f>TEXT(C420,"yyyy-mm")</x:f>
        <x:v>2025-07</x:v>
      </x:c>
      <x:c r="Q420" s="4" t="str">
        <x:f>TEXT(C420,"mmmm")</x:f>
        <x:v>July</x:v>
      </x:c>
    </x:row>
    <x:row r="421" ht="20" customHeight="1">
      <x:c r="A421" s="4" t="inlineStr">
        <x:is>
          <x:t xml:space="preserve">LINE-00421</x:t>
        </x:is>
      </x:c>
      <x:c r="B421" s="4" t="inlineStr">
        <x:is>
          <x:t xml:space="preserve">ORD-2025-0267</x:t>
        </x:is>
      </x:c>
      <x:c r="C421" s="17" t="n">
        <x:v>45873</x:v>
      </x:c>
      <x:c r="D421" s="4" t="inlineStr">
        <x:is>
          <x:t xml:space="preserve">CUS-0188</x:t>
        </x:is>
      </x:c>
      <x:c r="E421" s="4" t="inlineStr">
        <x:is>
          <x:t xml:space="preserve">Monitor</x:t>
        </x:is>
      </x:c>
      <x:c r="F421" s="4" t="inlineStr">
        <x:is>
          <x:t xml:space="preserve">Computers</x:t>
        </x:is>
      </x:c>
      <x:c r="G421" s="4" t="inlineStr">
        <x:is>
          <x:t xml:space="preserve">Boston</x:t>
        </x:is>
      </x:c>
      <x:c r="H421" s="18" t="n">
        <x:v>2</x:v>
      </x:c>
      <x:c r="I421" s="19" t="n">
        <x:v>258.22</x:v>
      </x:c>
      <x:c r="J421" s="20" t="n">
        <x:v>0</x:v>
      </x:c>
      <x:c r="K421" s="4" t="inlineStr">
        <x:is>
          <x:t xml:space="preserve">Debit Card</x:t>
        </x:is>
      </x:c>
      <x:c r="L421" s="19" t="n">
        <x:v>516.4400000000001</x:v>
      </x:c>
      <x:c r="M421" s="19" t="n">
        <x:v>0</x:v>
      </x:c>
      <x:c r="N421" s="19" t="n">
        <x:v>516.4400000000001</x:v>
      </x:c>
      <x:c r="O421" s="4" t="n">
        <x:f>YEAR(C421)</x:f>
        <x:v>2025</x:v>
      </x:c>
      <x:c r="P421" s="4" t="str">
        <x:f>TEXT(C421,"yyyy-mm")</x:f>
        <x:v>2025-08</x:v>
      </x:c>
      <x:c r="Q421" s="4" t="str">
        <x:f>TEXT(C421,"mmmm")</x:f>
        <x:v>August</x:v>
      </x:c>
    </x:row>
    <x:row r="422" ht="20" customHeight="1">
      <x:c r="A422" s="4" t="inlineStr">
        <x:is>
          <x:t xml:space="preserve">LINE-00422</x:t>
        </x:is>
      </x:c>
      <x:c r="B422" s="4" t="inlineStr">
        <x:is>
          <x:t xml:space="preserve">ORD-2025-0267</x:t>
        </x:is>
      </x:c>
      <x:c r="C422" s="17" t="n">
        <x:v>45873</x:v>
      </x:c>
      <x:c r="D422" s="4" t="inlineStr">
        <x:is>
          <x:t xml:space="preserve">CUS-0188</x:t>
        </x:is>
      </x:c>
      <x:c r="E422" s="4" t="inlineStr">
        <x:is>
          <x:t xml:space="preserve">Laptop</x:t>
        </x:is>
      </x:c>
      <x:c r="F422" s="4" t="inlineStr">
        <x:is>
          <x:t xml:space="preserve">Computers</x:t>
        </x:is>
      </x:c>
      <x:c r="G422" s="4" t="inlineStr">
        <x:is>
          <x:t xml:space="preserve">Boston</x:t>
        </x:is>
      </x:c>
      <x:c r="H422" s="18" t="n">
        <x:v>4</x:v>
      </x:c>
      <x:c r="I422" s="19" t="n">
        <x:v>1018.2</x:v>
      </x:c>
      <x:c r="J422" s="20" t="n">
        <x:v>0</x:v>
      </x:c>
      <x:c r="K422" s="4" t="inlineStr">
        <x:is>
          <x:t xml:space="preserve">Debit Card</x:t>
        </x:is>
      </x:c>
      <x:c r="L422" s="19" t="n">
        <x:v>4072.8</x:v>
      </x:c>
      <x:c r="M422" s="19" t="n">
        <x:v>0</x:v>
      </x:c>
      <x:c r="N422" s="19" t="n">
        <x:v>4072.8</x:v>
      </x:c>
      <x:c r="O422" s="4" t="n">
        <x:f>YEAR(C422)</x:f>
        <x:v>2025</x:v>
      </x:c>
      <x:c r="P422" s="4" t="str">
        <x:f>TEXT(C422,"yyyy-mm")</x:f>
        <x:v>2025-08</x:v>
      </x:c>
      <x:c r="Q422" s="4" t="str">
        <x:f>TEXT(C422,"mmmm")</x:f>
        <x:v>August</x:v>
      </x:c>
    </x:row>
    <x:row r="423" ht="20" customHeight="1">
      <x:c r="A423" s="4" t="inlineStr">
        <x:is>
          <x:t xml:space="preserve">LINE-00423</x:t>
        </x:is>
      </x:c>
      <x:c r="B423" s="4" t="inlineStr">
        <x:is>
          <x:t xml:space="preserve">ORD-2025-0268</x:t>
        </x:is>
      </x:c>
      <x:c r="C423" s="17" t="n">
        <x:v>45804</x:v>
      </x:c>
      <x:c r="D423" s="4" t="inlineStr">
        <x:is>
          <x:t xml:space="preserve">CUS-0322</x:t>
        </x:is>
      </x:c>
      <x:c r="E423" s="4" t="inlineStr">
        <x:is>
          <x:t xml:space="preserve">Headphones</x:t>
        </x:is>
      </x:c>
      <x:c r="F423" s="4" t="inlineStr">
        <x:is>
          <x:t xml:space="preserve">Audio</x:t>
        </x:is>
      </x:c>
      <x:c r="G423" s="4" t="inlineStr">
        <x:is>
          <x:t xml:space="preserve">San Francisco</x:t>
        </x:is>
      </x:c>
      <x:c r="H423" s="18" t="n">
        <x:v>1</x:v>
      </x:c>
      <x:c r="I423" s="19" t="n">
        <x:v>130.76</x:v>
      </x:c>
      <x:c r="J423" s="20" t="n">
        <x:v>0.05</x:v>
      </x:c>
      <x:c r="K423" s="4" t="inlineStr">
        <x:is>
          <x:t xml:space="preserve">Bank Transfer</x:t>
        </x:is>
      </x:c>
      <x:c r="L423" s="19" t="n">
        <x:v>130.76</x:v>
      </x:c>
      <x:c r="M423" s="19" t="n">
        <x:v>6.54</x:v>
      </x:c>
      <x:c r="N423" s="19" t="n">
        <x:v>124.22</x:v>
      </x:c>
      <x:c r="O423" s="4" t="n">
        <x:f>YEAR(C423)</x:f>
        <x:v>2025</x:v>
      </x:c>
      <x:c r="P423" s="4" t="str">
        <x:f>TEXT(C423,"yyyy-mm")</x:f>
        <x:v>2025-05</x:v>
      </x:c>
      <x:c r="Q423" s="4" t="str">
        <x:f>TEXT(C423,"mmmm")</x:f>
        <x:v>May</x:v>
      </x:c>
    </x:row>
    <x:row r="424" ht="20" customHeight="1">
      <x:c r="A424" s="4" t="inlineStr">
        <x:is>
          <x:t xml:space="preserve">LINE-00424</x:t>
        </x:is>
      </x:c>
      <x:c r="B424" s="4" t="inlineStr">
        <x:is>
          <x:t xml:space="preserve">ORD-2025-0269</x:t>
        </x:is>
      </x:c>
      <x:c r="C424" s="17" t="n">
        <x:v>45800</x:v>
      </x:c>
      <x:c r="D424" s="4" t="inlineStr">
        <x:is>
          <x:t xml:space="preserve">CUS-0043</x:t>
        </x:is>
      </x:c>
      <x:c r="E424" s="4" t="inlineStr">
        <x:is>
          <x:t xml:space="preserve">Wireless Mouse</x:t>
        </x:is>
      </x:c>
      <x:c r="F424" s="4" t="inlineStr">
        <x:is>
          <x:t xml:space="preserve">Accessories</x:t>
        </x:is>
      </x:c>
      <x:c r="G424" s="4" t="inlineStr">
        <x:is>
          <x:t xml:space="preserve">Austin</x:t>
        </x:is>
      </x:c>
      <x:c r="H424" s="18" t="n">
        <x:v>2</x:v>
      </x:c>
      <x:c r="I424" s="19" t="n">
        <x:v>44.21</x:v>
      </x:c>
      <x:c r="J424" s="20" t="n">
        <x:v>0.05</x:v>
      </x:c>
      <x:c r="K424" s="4" t="inlineStr">
        <x:is>
          <x:t xml:space="preserve">Credit Card</x:t>
        </x:is>
      </x:c>
      <x:c r="L424" s="19" t="n">
        <x:v>88.42</x:v>
      </x:c>
      <x:c r="M424" s="19" t="n">
        <x:v>4.42</x:v>
      </x:c>
      <x:c r="N424" s="19" t="n">
        <x:v>84</x:v>
      </x:c>
      <x:c r="O424" s="4" t="n">
        <x:f>YEAR(C424)</x:f>
        <x:v>2025</x:v>
      </x:c>
      <x:c r="P424" s="4" t="str">
        <x:f>TEXT(C424,"yyyy-mm")</x:f>
        <x:v>2025-05</x:v>
      </x:c>
      <x:c r="Q424" s="4" t="str">
        <x:f>TEXT(C424,"mmmm")</x:f>
        <x:v>May</x:v>
      </x:c>
    </x:row>
    <x:row r="425" ht="20" customHeight="1">
      <x:c r="A425" s="4" t="inlineStr">
        <x:is>
          <x:t xml:space="preserve">LINE-00425</x:t>
        </x:is>
      </x:c>
      <x:c r="B425" s="4" t="inlineStr">
        <x:is>
          <x:t xml:space="preserve">ORD-2025-0269</x:t>
        </x:is>
      </x:c>
      <x:c r="C425" s="17" t="n">
        <x:v>45800</x:v>
      </x:c>
      <x:c r="D425" s="4" t="inlineStr">
        <x:is>
          <x:t xml:space="preserve">CUS-0043</x:t>
        </x:is>
      </x:c>
      <x:c r="E425" s="4" t="inlineStr">
        <x:is>
          <x:t xml:space="preserve">Keyboard</x:t>
        </x:is>
      </x:c>
      <x:c r="F425" s="4" t="inlineStr">
        <x:is>
          <x:t xml:space="preserve">Accessories</x:t>
        </x:is>
      </x:c>
      <x:c r="G425" s="4" t="inlineStr">
        <x:is>
          <x:t xml:space="preserve">Austin</x:t>
        </x:is>
      </x:c>
      <x:c r="H425" s="18" t="n">
        <x:v>3</x:v>
      </x:c>
      <x:c r="I425" s="19" t="n">
        <x:v>77.17</x:v>
      </x:c>
      <x:c r="J425" s="20" t="n">
        <x:v>0</x:v>
      </x:c>
      <x:c r="K425" s="4" t="inlineStr">
        <x:is>
          <x:t xml:space="preserve">Credit Card</x:t>
        </x:is>
      </x:c>
      <x:c r="L425" s="19" t="n">
        <x:v>231.51</x:v>
      </x:c>
      <x:c r="M425" s="19" t="n">
        <x:v>0</x:v>
      </x:c>
      <x:c r="N425" s="19" t="n">
        <x:v>231.51</x:v>
      </x:c>
      <x:c r="O425" s="4" t="n">
        <x:f>YEAR(C425)</x:f>
        <x:v>2025</x:v>
      </x:c>
      <x:c r="P425" s="4" t="str">
        <x:f>TEXT(C425,"yyyy-mm")</x:f>
        <x:v>2025-05</x:v>
      </x:c>
      <x:c r="Q425" s="4" t="str">
        <x:f>TEXT(C425,"mmmm")</x:f>
        <x:v>May</x:v>
      </x:c>
    </x:row>
    <x:row r="426" ht="20" customHeight="1">
      <x:c r="A426" s="4" t="inlineStr">
        <x:is>
          <x:t xml:space="preserve">LINE-00426</x:t>
        </x:is>
      </x:c>
      <x:c r="B426" s="4" t="inlineStr">
        <x:is>
          <x:t xml:space="preserve">ORD-2025-0270</x:t>
        </x:is>
      </x:c>
      <x:c r="C426" s="17" t="n">
        <x:v>46015</x:v>
      </x:c>
      <x:c r="D426" s="4" t="inlineStr">
        <x:is>
          <x:t xml:space="preserve">CUS-0224</x:t>
        </x:is>
      </x:c>
      <x:c r="E426" s="4" t="inlineStr">
        <x:is>
          <x:t xml:space="preserve">Monitor</x:t>
        </x:is>
      </x:c>
      <x:c r="F426" s="4" t="inlineStr">
        <x:is>
          <x:t xml:space="preserve">Computers</x:t>
        </x:is>
      </x:c>
      <x:c r="G426" s="4" t="inlineStr">
        <x:is>
          <x:t xml:space="preserve">San Francisco</x:t>
        </x:is>
      </x:c>
      <x:c r="H426" s="18" t="n">
        <x:v>4</x:v>
      </x:c>
      <x:c r="I426" s="19" t="n">
        <x:v>262.8</x:v>
      </x:c>
      <x:c r="J426" s="20" t="n">
        <x:v>0.05</x:v>
      </x:c>
      <x:c r="K426" s="4" t="inlineStr">
        <x:is>
          <x:t xml:space="preserve">Debit Card</x:t>
        </x:is>
      </x:c>
      <x:c r="L426" s="19" t="n">
        <x:v>1051.2</x:v>
      </x:c>
      <x:c r="M426" s="19" t="n">
        <x:v>52.56</x:v>
      </x:c>
      <x:c r="N426" s="19" t="n">
        <x:v>998.64</x:v>
      </x:c>
      <x:c r="O426" s="4" t="n">
        <x:f>YEAR(C426)</x:f>
        <x:v>2025</x:v>
      </x:c>
      <x:c r="P426" s="4" t="str">
        <x:f>TEXT(C426,"yyyy-mm")</x:f>
        <x:v>2025-12</x:v>
      </x:c>
      <x:c r="Q426" s="4" t="str">
        <x:f>TEXT(C426,"mmmm")</x:f>
        <x:v>December</x:v>
      </x:c>
    </x:row>
    <x:row r="427" ht="20" customHeight="1">
      <x:c r="A427" s="4" t="inlineStr">
        <x:is>
          <x:t xml:space="preserve">LINE-00427</x:t>
        </x:is>
      </x:c>
      <x:c r="B427" s="4" t="inlineStr">
        <x:is>
          <x:t xml:space="preserve">ORD-2025-0271</x:t>
        </x:is>
      </x:c>
      <x:c r="C427" s="17" t="n">
        <x:v>45686</x:v>
      </x:c>
      <x:c r="D427" s="4" t="inlineStr">
        <x:is>
          <x:t xml:space="preserve">CUS-0159</x:t>
        </x:is>
      </x:c>
      <x:c r="E427" s="4" t="inlineStr">
        <x:is>
          <x:t xml:space="preserve">Desk Lamp</x:t>
        </x:is>
      </x:c>
      <x:c r="F427" s="4" t="inlineStr">
        <x:is>
          <x:t xml:space="preserve">Furniture</x:t>
        </x:is>
      </x:c>
      <x:c r="G427" s="4" t="inlineStr">
        <x:is>
          <x:t xml:space="preserve">San Francisco</x:t>
        </x:is>
      </x:c>
      <x:c r="H427" s="18" t="n">
        <x:v>1</x:v>
      </x:c>
      <x:c r="I427" s="19" t="n">
        <x:v>50.7</x:v>
      </x:c>
      <x:c r="J427" s="20" t="n">
        <x:v>0.05</x:v>
      </x:c>
      <x:c r="K427" s="4" t="inlineStr">
        <x:is>
          <x:t xml:space="preserve">Debit Card</x:t>
        </x:is>
      </x:c>
      <x:c r="L427" s="19" t="n">
        <x:v>50.7</x:v>
      </x:c>
      <x:c r="M427" s="19" t="n">
        <x:v>2.54</x:v>
      </x:c>
      <x:c r="N427" s="19" t="n">
        <x:v>48.16</x:v>
      </x:c>
      <x:c r="O427" s="4" t="n">
        <x:f>YEAR(C427)</x:f>
        <x:v>2025</x:v>
      </x:c>
      <x:c r="P427" s="4" t="str">
        <x:f>TEXT(C427,"yyyy-mm")</x:f>
        <x:v>2025-01</x:v>
      </x:c>
      <x:c r="Q427" s="4" t="str">
        <x:f>TEXT(C427,"mmmm")</x:f>
        <x:v>January</x:v>
      </x:c>
    </x:row>
    <x:row r="428" ht="20" customHeight="1">
      <x:c r="A428" s="4" t="inlineStr">
        <x:is>
          <x:t xml:space="preserve">LINE-00428</x:t>
        </x:is>
      </x:c>
      <x:c r="B428" s="4" t="inlineStr">
        <x:is>
          <x:t xml:space="preserve">ORD-2025-0272</x:t>
        </x:is>
      </x:c>
      <x:c r="C428" s="17" t="n">
        <x:v>45835</x:v>
      </x:c>
      <x:c r="D428" s="4" t="inlineStr">
        <x:is>
          <x:t xml:space="preserve">CUS-0268</x:t>
        </x:is>
      </x:c>
      <x:c r="E428" s="4" t="inlineStr">
        <x:is>
          <x:t xml:space="preserve">Keyboard</x:t>
        </x:is>
      </x:c>
      <x:c r="F428" s="4" t="inlineStr">
        <x:is>
          <x:t xml:space="preserve">Accessories</x:t>
        </x:is>
      </x:c>
      <x:c r="G428" s="4" t="inlineStr">
        <x:is>
          <x:t xml:space="preserve">Boston</x:t>
        </x:is>
      </x:c>
      <x:c r="H428" s="18" t="n">
        <x:v>3</x:v>
      </x:c>
      <x:c r="I428" s="19" t="n">
        <x:v>79.48</x:v>
      </x:c>
      <x:c r="J428" s="20" t="n">
        <x:v>0.1</x:v>
      </x:c>
      <x:c r="K428" s="4" t="inlineStr">
        <x:is>
          <x:t xml:space="preserve">PayPal</x:t>
        </x:is>
      </x:c>
      <x:c r="L428" s="19" t="n">
        <x:v>238.44</x:v>
      </x:c>
      <x:c r="M428" s="19" t="n">
        <x:v>23.84</x:v>
      </x:c>
      <x:c r="N428" s="19" t="n">
        <x:v>214.6</x:v>
      </x:c>
      <x:c r="O428" s="4" t="n">
        <x:f>YEAR(C428)</x:f>
        <x:v>2025</x:v>
      </x:c>
      <x:c r="P428" s="4" t="str">
        <x:f>TEXT(C428,"yyyy-mm")</x:f>
        <x:v>2025-06</x:v>
      </x:c>
      <x:c r="Q428" s="4" t="str">
        <x:f>TEXT(C428,"mmmm")</x:f>
        <x:v>June</x:v>
      </x:c>
    </x:row>
    <x:row r="429" ht="20" customHeight="1">
      <x:c r="A429" s="4" t="inlineStr">
        <x:is>
          <x:t xml:space="preserve">LINE-00429</x:t>
        </x:is>
      </x:c>
      <x:c r="B429" s="4" t="inlineStr">
        <x:is>
          <x:t xml:space="preserve">ORD-2025-0273</x:t>
        </x:is>
      </x:c>
      <x:c r="C429" s="17" t="n">
        <x:v>45718</x:v>
      </x:c>
      <x:c r="D429" s="4" t="inlineStr">
        <x:is>
          <x:t xml:space="preserve">CUS-0016</x:t>
        </x:is>
      </x:c>
      <x:c r="E429" s="4" t="inlineStr">
        <x:is>
          <x:t xml:space="preserve">Monitor</x:t>
        </x:is>
      </x:c>
      <x:c r="F429" s="4" t="inlineStr">
        <x:is>
          <x:t xml:space="preserve">Computers</x:t>
        </x:is>
      </x:c>
      <x:c r="G429" s="4" t="inlineStr">
        <x:is>
          <x:t xml:space="preserve">Austin</x:t>
        </x:is>
      </x:c>
      <x:c r="H429" s="18" t="n">
        <x:v>1</x:v>
      </x:c>
      <x:c r="I429" s="19" t="n">
        <x:v>301.28</x:v>
      </x:c>
      <x:c r="J429" s="20" t="n">
        <x:v>0.05</x:v>
      </x:c>
      <x:c r="K429" s="4" t="inlineStr">
        <x:is>
          <x:t xml:space="preserve">Bank Transfer</x:t>
        </x:is>
      </x:c>
      <x:c r="L429" s="19" t="n">
        <x:v>301.28</x:v>
      </x:c>
      <x:c r="M429" s="19" t="n">
        <x:v>15.06</x:v>
      </x:c>
      <x:c r="N429" s="19" t="n">
        <x:v>286.22</x:v>
      </x:c>
      <x:c r="O429" s="4" t="n">
        <x:f>YEAR(C429)</x:f>
        <x:v>2025</x:v>
      </x:c>
      <x:c r="P429" s="4" t="str">
        <x:f>TEXT(C429,"yyyy-mm")</x:f>
        <x:v>2025-03</x:v>
      </x:c>
      <x:c r="Q429" s="4" t="str">
        <x:f>TEXT(C429,"mmmm")</x:f>
        <x:v>March</x:v>
      </x:c>
    </x:row>
    <x:row r="430" ht="20" customHeight="1">
      <x:c r="A430" s="4" t="inlineStr">
        <x:is>
          <x:t xml:space="preserve">LINE-00431</x:t>
        </x:is>
      </x:c>
      <x:c r="B430" s="4" t="inlineStr">
        <x:is>
          <x:t xml:space="preserve">ORD-2025-0275</x:t>
        </x:is>
      </x:c>
      <x:c r="C430" s="17" t="n">
        <x:v>45951</x:v>
      </x:c>
      <x:c r="D430" s="4" t="inlineStr">
        <x:is>
          <x:t xml:space="preserve">CUS-0346</x:t>
        </x:is>
      </x:c>
      <x:c r="E430" s="4" t="inlineStr">
        <x:is>
          <x:t xml:space="preserve">External SSD</x:t>
        </x:is>
      </x:c>
      <x:c r="F430" s="4" t="inlineStr">
        <x:is>
          <x:t xml:space="preserve">Storage</x:t>
        </x:is>
      </x:c>
      <x:c r="G430" s="4" t="inlineStr">
        <x:is>
          <x:t xml:space="preserve">San Francisco</x:t>
        </x:is>
      </x:c>
      <x:c r="H430" s="18" t="n">
        <x:v>1</x:v>
      </x:c>
      <x:c r="I430" s="19" t="n">
        <x:v>158.61</x:v>
      </x:c>
      <x:c r="J430" s="20" t="n">
        <x:v>0</x:v>
      </x:c>
      <x:c r="K430" s="4" t="inlineStr">
        <x:is>
          <x:t xml:space="preserve">Credit Card</x:t>
        </x:is>
      </x:c>
      <x:c r="L430" s="19" t="n">
        <x:v>158.61</x:v>
      </x:c>
      <x:c r="M430" s="19" t="n">
        <x:v>0</x:v>
      </x:c>
      <x:c r="N430" s="19" t="n">
        <x:v>158.61</x:v>
      </x:c>
      <x:c r="O430" s="4" t="n">
        <x:f>YEAR(C430)</x:f>
        <x:v>2025</x:v>
      </x:c>
      <x:c r="P430" s="4" t="str">
        <x:f>TEXT(C430,"yyyy-mm")</x:f>
        <x:v>2025-10</x:v>
      </x:c>
      <x:c r="Q430" s="4" t="str">
        <x:f>TEXT(C430,"mmmm")</x:f>
        <x:v>October</x:v>
      </x:c>
    </x:row>
    <x:row r="431" ht="20" customHeight="1">
      <x:c r="A431" s="4" t="inlineStr">
        <x:is>
          <x:t xml:space="preserve">LINE-00432</x:t>
        </x:is>
      </x:c>
      <x:c r="B431" s="4" t="inlineStr">
        <x:is>
          <x:t xml:space="preserve">ORD-2025-0276</x:t>
        </x:is>
      </x:c>
      <x:c r="C431" s="17" t="n">
        <x:v>45681</x:v>
      </x:c>
      <x:c r="D431" s="4" t="inlineStr">
        <x:is>
          <x:t xml:space="preserve">CUS-0242</x:t>
        </x:is>
      </x:c>
      <x:c r="E431" s="4" t="inlineStr">
        <x:is>
          <x:t xml:space="preserve">Keyboard</x:t>
        </x:is>
      </x:c>
      <x:c r="F431" s="4" t="inlineStr">
        <x:is>
          <x:t xml:space="preserve">Accessories</x:t>
        </x:is>
      </x:c>
      <x:c r="G431" s="4" t="inlineStr">
        <x:is>
          <x:t xml:space="preserve">Austin</x:t>
        </x:is>
      </x:c>
      <x:c r="H431" s="18" t="n">
        <x:v>3</x:v>
      </x:c>
      <x:c r="I431" s="19" t="n">
        <x:v>77.56999999999999</x:v>
      </x:c>
      <x:c r="J431" s="20" t="n">
        <x:v>0.05</x:v>
      </x:c>
      <x:c r="K431" s="4" t="inlineStr">
        <x:is>
          <x:t xml:space="preserve">Bank Transfer</x:t>
        </x:is>
      </x:c>
      <x:c r="L431" s="19" t="n">
        <x:v>232.71</x:v>
      </x:c>
      <x:c r="M431" s="19" t="n">
        <x:v>11.64</x:v>
      </x:c>
      <x:c r="N431" s="19" t="n">
        <x:v>221.07</x:v>
      </x:c>
      <x:c r="O431" s="4" t="n">
        <x:f>YEAR(C431)</x:f>
        <x:v>2025</x:v>
      </x:c>
      <x:c r="P431" s="4" t="str">
        <x:f>TEXT(C431,"yyyy-mm")</x:f>
        <x:v>2025-01</x:v>
      </x:c>
      <x:c r="Q431" s="4" t="str">
        <x:f>TEXT(C431,"mmmm")</x:f>
        <x:v>January</x:v>
      </x:c>
    </x:row>
    <x:row r="432" ht="20" customHeight="1">
      <x:c r="A432" s="4" t="inlineStr">
        <x:is>
          <x:t xml:space="preserve">LINE-00433</x:t>
        </x:is>
      </x:c>
      <x:c r="B432" s="4" t="inlineStr">
        <x:is>
          <x:t xml:space="preserve">ORD-2025-0276</x:t>
        </x:is>
      </x:c>
      <x:c r="C432" s="17" t="n">
        <x:v>45681</x:v>
      </x:c>
      <x:c r="D432" s="4" t="inlineStr">
        <x:is>
          <x:t xml:space="preserve">CUS-0242</x:t>
        </x:is>
      </x:c>
      <x:c r="E432" s="4" t="inlineStr">
        <x:is>
          <x:t xml:space="preserve">Laptop</x:t>
        </x:is>
      </x:c>
      <x:c r="F432" s="4" t="inlineStr">
        <x:is>
          <x:t xml:space="preserve">Computers</x:t>
        </x:is>
      </x:c>
      <x:c r="G432" s="4" t="inlineStr">
        <x:is>
          <x:t xml:space="preserve">Austin</x:t>
        </x:is>
      </x:c>
      <x:c r="H432" s="18" t="n">
        <x:v>1</x:v>
      </x:c>
      <x:c r="I432" s="19" t="n">
        <x:v>911.74</x:v>
      </x:c>
      <x:c r="J432" s="20" t="n">
        <x:v>0.15</x:v>
      </x:c>
      <x:c r="K432" s="4" t="inlineStr">
        <x:is>
          <x:t xml:space="preserve">Bank Transfer</x:t>
        </x:is>
      </x:c>
      <x:c r="L432" s="19" t="n">
        <x:v>911.74</x:v>
      </x:c>
      <x:c r="M432" s="19" t="n">
        <x:v>136.76</x:v>
      </x:c>
      <x:c r="N432" s="19" t="n">
        <x:v>774.98</x:v>
      </x:c>
      <x:c r="O432" s="4" t="n">
        <x:f>YEAR(C432)</x:f>
        <x:v>2025</x:v>
      </x:c>
      <x:c r="P432" s="4" t="str">
        <x:f>TEXT(C432,"yyyy-mm")</x:f>
        <x:v>2025-01</x:v>
      </x:c>
      <x:c r="Q432" s="4" t="str">
        <x:f>TEXT(C432,"mmmm")</x:f>
        <x:v>January</x:v>
      </x:c>
    </x:row>
    <x:row r="433" ht="20" customHeight="1">
      <x:c r="A433" s="4" t="inlineStr">
        <x:is>
          <x:t xml:space="preserve">LINE-00434</x:t>
        </x:is>
      </x:c>
      <x:c r="B433" s="4" t="inlineStr">
        <x:is>
          <x:t xml:space="preserve">ORD-2025-0276</x:t>
        </x:is>
      </x:c>
      <x:c r="C433" s="17" t="n">
        <x:v>45681</x:v>
      </x:c>
      <x:c r="D433" s="4" t="inlineStr">
        <x:is>
          <x:t xml:space="preserve">CUS-0242</x:t>
        </x:is>
      </x:c>
      <x:c r="E433" s="4" t="inlineStr">
        <x:is>
          <x:t xml:space="preserve">External SSD</x:t>
        </x:is>
      </x:c>
      <x:c r="F433" s="4" t="inlineStr">
        <x:is>
          <x:t xml:space="preserve">Storage</x:t>
        </x:is>
      </x:c>
      <x:c r="G433" s="4" t="inlineStr">
        <x:is>
          <x:t xml:space="preserve">Austin</x:t>
        </x:is>
      </x:c>
      <x:c r="H433" s="18" t="n">
        <x:v>1</x:v>
      </x:c>
      <x:c r="I433" s="19" t="n">
        <x:v>157.82</x:v>
      </x:c>
      <x:c r="J433" s="20" t="n">
        <x:v>0.05</x:v>
      </x:c>
      <x:c r="K433" s="4" t="inlineStr">
        <x:is>
          <x:t xml:space="preserve">Bank Transfer</x:t>
        </x:is>
      </x:c>
      <x:c r="L433" s="19" t="n">
        <x:v>157.82</x:v>
      </x:c>
      <x:c r="M433" s="19" t="n">
        <x:v>7.89</x:v>
      </x:c>
      <x:c r="N433" s="19" t="n">
        <x:v>149.93</x:v>
      </x:c>
      <x:c r="O433" s="4" t="n">
        <x:f>YEAR(C433)</x:f>
        <x:v>2025</x:v>
      </x:c>
      <x:c r="P433" s="4" t="str">
        <x:f>TEXT(C433,"yyyy-mm")</x:f>
        <x:v>2025-01</x:v>
      </x:c>
      <x:c r="Q433" s="4" t="str">
        <x:f>TEXT(C433,"mmmm")</x:f>
        <x:v>January</x:v>
      </x:c>
    </x:row>
    <x:row r="434" ht="20" customHeight="1">
      <x:c r="A434" s="4" t="inlineStr">
        <x:is>
          <x:t xml:space="preserve">LINE-00435</x:t>
        </x:is>
      </x:c>
      <x:c r="B434" s="4" t="inlineStr">
        <x:is>
          <x:t xml:space="preserve">ORD-2025-0277</x:t>
        </x:is>
      </x:c>
      <x:c r="C434" s="17" t="n">
        <x:v>45719</x:v>
      </x:c>
      <x:c r="D434" s="4" t="inlineStr">
        <x:is>
          <x:t xml:space="preserve">CUS-0258</x:t>
        </x:is>
      </x:c>
      <x:c r="E434" s="4" t="inlineStr">
        <x:is>
          <x:t xml:space="preserve">External SSD</x:t>
        </x:is>
      </x:c>
      <x:c r="F434" s="4" t="inlineStr">
        <x:is>
          <x:t xml:space="preserve">Storage</x:t>
        </x:is>
      </x:c>
      <x:c r="G434" s="4" t="inlineStr">
        <x:is>
          <x:t xml:space="preserve">San Francisco</x:t>
        </x:is>
      </x:c>
      <x:c r="H434" s="18" t="n">
        <x:v>5</x:v>
      </x:c>
      <x:c r="I434" s="19" t="n">
        <x:v>160.9</x:v>
      </x:c>
      <x:c r="J434" s="20" t="n">
        <x:v>0</x:v>
      </x:c>
      <x:c r="K434" s="4" t="inlineStr">
        <x:is>
          <x:t xml:space="preserve">Credit Card</x:t>
        </x:is>
      </x:c>
      <x:c r="L434" s="19" t="n">
        <x:v>804.5</x:v>
      </x:c>
      <x:c r="M434" s="19" t="n">
        <x:v>0</x:v>
      </x:c>
      <x:c r="N434" s="19" t="n">
        <x:v>804.5</x:v>
      </x:c>
      <x:c r="O434" s="4" t="n">
        <x:f>YEAR(C434)</x:f>
        <x:v>2025</x:v>
      </x:c>
      <x:c r="P434" s="4" t="str">
        <x:f>TEXT(C434,"yyyy-mm")</x:f>
        <x:v>2025-03</x:v>
      </x:c>
      <x:c r="Q434" s="4" t="str">
        <x:f>TEXT(C434,"mmmm")</x:f>
        <x:v>March</x:v>
      </x:c>
    </x:row>
    <x:row r="435" ht="20" customHeight="1">
      <x:c r="A435" s="4" t="inlineStr">
        <x:is>
          <x:t xml:space="preserve">LINE-00436</x:t>
        </x:is>
      </x:c>
      <x:c r="B435" s="4" t="inlineStr">
        <x:is>
          <x:t xml:space="preserve">ORD-2025-0278</x:t>
        </x:is>
      </x:c>
      <x:c r="C435" s="17" t="n">
        <x:v>45896</x:v>
      </x:c>
      <x:c r="D435" s="4" t="inlineStr">
        <x:is>
          <x:t xml:space="preserve">CUS-0145</x:t>
        </x:is>
      </x:c>
      <x:c r="E435" s="4" t="inlineStr">
        <x:is>
          <x:t xml:space="preserve">Bluetooth Speaker</x:t>
        </x:is>
      </x:c>
      <x:c r="F435" s="4" t="inlineStr">
        <x:is>
          <x:t xml:space="preserve">Audio</x:t>
        </x:is>
      </x:c>
      <x:c r="G435" s="4" t="inlineStr">
        <x:is>
          <x:t xml:space="preserve">Austin</x:t>
        </x:is>
      </x:c>
      <x:c r="H435" s="18" t="n">
        <x:v>1</x:v>
      </x:c>
      <x:c r="I435" s="19" t="n">
        <x:v>104.73</x:v>
      </x:c>
      <x:c r="J435" s="20" t="n">
        <x:v>0.05</x:v>
      </x:c>
      <x:c r="K435" s="4" t="inlineStr">
        <x:is>
          <x:t xml:space="preserve">PayPal</x:t>
        </x:is>
      </x:c>
      <x:c r="L435" s="19" t="n">
        <x:v>104.73</x:v>
      </x:c>
      <x:c r="M435" s="19" t="n">
        <x:v>5.24</x:v>
      </x:c>
      <x:c r="N435" s="19" t="n">
        <x:v>99.48999999999999</x:v>
      </x:c>
      <x:c r="O435" s="4" t="n">
        <x:f>YEAR(C435)</x:f>
        <x:v>2025</x:v>
      </x:c>
      <x:c r="P435" s="4" t="str">
        <x:f>TEXT(C435,"yyyy-mm")</x:f>
        <x:v>2025-08</x:v>
      </x:c>
      <x:c r="Q435" s="4" t="str">
        <x:f>TEXT(C435,"mmmm")</x:f>
        <x:v>August</x:v>
      </x:c>
    </x:row>
    <x:row r="436" ht="20" customHeight="1">
      <x:c r="A436" s="4" t="inlineStr">
        <x:is>
          <x:t xml:space="preserve">LINE-00437</x:t>
        </x:is>
      </x:c>
      <x:c r="B436" s="4" t="inlineStr">
        <x:is>
          <x:t xml:space="preserve">ORD-2025-0279</x:t>
        </x:is>
      </x:c>
      <x:c r="C436" s="17" t="n">
        <x:v>45813</x:v>
      </x:c>
      <x:c r="D436" s="4" t="inlineStr">
        <x:is>
          <x:t xml:space="preserve">CUS-0319</x:t>
        </x:is>
      </x:c>
      <x:c r="E436" s="4" t="inlineStr">
        <x:is>
          <x:t xml:space="preserve">Bluetooth Speaker</x:t>
        </x:is>
      </x:c>
      <x:c r="F436" s="4" t="inlineStr">
        <x:is>
          <x:t xml:space="preserve">Audio</x:t>
        </x:is>
      </x:c>
      <x:c r="G436" s="4" t="inlineStr">
        <x:is>
          <x:t xml:space="preserve">Chicago</x:t>
        </x:is>
      </x:c>
      <x:c r="H436" s="18" t="n">
        <x:v>5</x:v>
      </x:c>
      <x:c r="I436" s="19" t="n">
        <x:v>114.86</x:v>
      </x:c>
      <x:c r="J436" s="20" t="n">
        <x:v>0.1</x:v>
      </x:c>
      <x:c r="K436" s="4" t="inlineStr">
        <x:is>
          <x:t xml:space="preserve">Bank Transfer</x:t>
        </x:is>
      </x:c>
      <x:c r="L436" s="19" t="n">
        <x:v>574.3</x:v>
      </x:c>
      <x:c r="M436" s="19" t="n">
        <x:v>57.43</x:v>
      </x:c>
      <x:c r="N436" s="19" t="n">
        <x:v>516.87</x:v>
      </x:c>
      <x:c r="O436" s="4" t="n">
        <x:f>YEAR(C436)</x:f>
        <x:v>2025</x:v>
      </x:c>
      <x:c r="P436" s="4" t="str">
        <x:f>TEXT(C436,"yyyy-mm")</x:f>
        <x:v>2025-06</x:v>
      </x:c>
      <x:c r="Q436" s="4" t="str">
        <x:f>TEXT(C436,"mmmm")</x:f>
        <x:v>June</x:v>
      </x:c>
    </x:row>
    <x:row r="437" ht="20" customHeight="1">
      <x:c r="A437" s="4" t="inlineStr">
        <x:is>
          <x:t xml:space="preserve">LINE-00438</x:t>
        </x:is>
      </x:c>
      <x:c r="B437" s="4" t="inlineStr">
        <x:is>
          <x:t xml:space="preserve">ORD-2025-0280</x:t>
        </x:is>
      </x:c>
      <x:c r="C437" s="17" t="n">
        <x:v>45937</x:v>
      </x:c>
      <x:c r="D437" s="4" t="inlineStr">
        <x:is>
          <x:t xml:space="preserve">CUS-0126</x:t>
        </x:is>
      </x:c>
      <x:c r="E437" s="4" t="inlineStr">
        <x:is>
          <x:t xml:space="preserve">Laptop</x:t>
        </x:is>
      </x:c>
      <x:c r="F437" s="4" t="inlineStr">
        <x:is>
          <x:t xml:space="preserve">Computers</x:t>
        </x:is>
      </x:c>
      <x:c r="G437" s="4" t="inlineStr">
        <x:is>
          <x:t xml:space="preserve">Chicago</x:t>
        </x:is>
      </x:c>
      <x:c r="H437" s="18" t="n">
        <x:v>1</x:v>
      </x:c>
      <x:c r="I437" s="19" t="n">
        <x:v>1001.62</x:v>
      </x:c>
      <x:c r="J437" s="20" t="n">
        <x:v>0.15</x:v>
      </x:c>
      <x:c r="K437" s="4" t="inlineStr">
        <x:is>
          <x:t xml:space="preserve">Credit Card</x:t>
        </x:is>
      </x:c>
      <x:c r="L437" s="19" t="n">
        <x:v>1001.62</x:v>
      </x:c>
      <x:c r="M437" s="19" t="n">
        <x:v>150.24</x:v>
      </x:c>
      <x:c r="N437" s="19" t="n">
        <x:v>851.38</x:v>
      </x:c>
      <x:c r="O437" s="4" t="n">
        <x:f>YEAR(C437)</x:f>
        <x:v>2025</x:v>
      </x:c>
      <x:c r="P437" s="4" t="str">
        <x:f>TEXT(C437,"yyyy-mm")</x:f>
        <x:v>2025-10</x:v>
      </x:c>
      <x:c r="Q437" s="4" t="str">
        <x:f>TEXT(C437,"mmmm")</x:f>
        <x:v>October</x:v>
      </x:c>
    </x:row>
    <x:row r="438" ht="20" customHeight="1">
      <x:c r="A438" s="4" t="inlineStr">
        <x:is>
          <x:t xml:space="preserve">LINE-00439</x:t>
        </x:is>
      </x:c>
      <x:c r="B438" s="4" t="inlineStr">
        <x:is>
          <x:t xml:space="preserve">ORD-2025-0280</x:t>
        </x:is>
      </x:c>
      <x:c r="C438" s="17" t="n">
        <x:v>45937</x:v>
      </x:c>
      <x:c r="D438" s="4" t="inlineStr">
        <x:is>
          <x:t xml:space="preserve">CUS-0126</x:t>
        </x:is>
      </x:c>
      <x:c r="E438" s="4" t="inlineStr">
        <x:is>
          <x:t xml:space="preserve">Wireless Mouse</x:t>
        </x:is>
      </x:c>
      <x:c r="F438" s="4" t="inlineStr">
        <x:is>
          <x:t xml:space="preserve">Accessories</x:t>
        </x:is>
      </x:c>
      <x:c r="G438" s="4" t="inlineStr">
        <x:is>
          <x:t xml:space="preserve">Chicago</x:t>
        </x:is>
      </x:c>
      <x:c r="H438" s="18" t="n">
        <x:v>5</x:v>
      </x:c>
      <x:c r="I438" s="19" t="n">
        <x:v>41.41</x:v>
      </x:c>
      <x:c r="J438" s="20" t="n">
        <x:v>0.05</x:v>
      </x:c>
      <x:c r="K438" s="4" t="inlineStr">
        <x:is>
          <x:t xml:space="preserve">Credit Card</x:t>
        </x:is>
      </x:c>
      <x:c r="L438" s="19" t="n">
        <x:v>207.05</x:v>
      </x:c>
      <x:c r="M438" s="19" t="n">
        <x:v>10.35</x:v>
      </x:c>
      <x:c r="N438" s="19" t="n">
        <x:v>196.7</x:v>
      </x:c>
      <x:c r="O438" s="4" t="n">
        <x:f>YEAR(C438)</x:f>
        <x:v>2025</x:v>
      </x:c>
      <x:c r="P438" s="4" t="str">
        <x:f>TEXT(C438,"yyyy-mm")</x:f>
        <x:v>2025-10</x:v>
      </x:c>
      <x:c r="Q438" s="4" t="str">
        <x:f>TEXT(C438,"mmmm")</x:f>
        <x:v>October</x:v>
      </x:c>
    </x:row>
    <x:row r="439" ht="20" customHeight="1">
      <x:c r="A439" s="4" t="inlineStr">
        <x:is>
          <x:t xml:space="preserve">LINE-00441</x:t>
        </x:is>
      </x:c>
      <x:c r="B439" s="4" t="inlineStr">
        <x:is>
          <x:t xml:space="preserve">ORD-2025-0281</x:t>
        </x:is>
      </x:c>
      <x:c r="C439" s="17" t="n">
        <x:v>45929</x:v>
      </x:c>
      <x:c r="D439" s="4" t="inlineStr">
        <x:is>
          <x:t xml:space="preserve">CUS-0122</x:t>
        </x:is>
      </x:c>
      <x:c r="E439" s="4" t="inlineStr">
        <x:is>
          <x:t xml:space="preserve">Keyboard</x:t>
        </x:is>
      </x:c>
      <x:c r="F439" s="4" t="inlineStr">
        <x:is>
          <x:t xml:space="preserve">Accessories</x:t>
        </x:is>
      </x:c>
      <x:c r="G439" s="4" t="inlineStr">
        <x:is>
          <x:t xml:space="preserve">Seattle</x:t>
        </x:is>
      </x:c>
      <x:c r="H439" s="18" t="n">
        <x:v>1</x:v>
      </x:c>
      <x:c r="I439" s="19" t="n">
        <x:v>71.78</x:v>
      </x:c>
      <x:c r="J439" s="20" t="n">
        <x:v>0.1</x:v>
      </x:c>
      <x:c r="K439" s="4" t="inlineStr">
        <x:is>
          <x:t xml:space="preserve">Bank Transfer</x:t>
        </x:is>
      </x:c>
      <x:c r="L439" s="19" t="n">
        <x:v>71.78</x:v>
      </x:c>
      <x:c r="M439" s="19" t="n">
        <x:v>7.18</x:v>
      </x:c>
      <x:c r="N439" s="19" t="n">
        <x:v>64.59999999999999</x:v>
      </x:c>
      <x:c r="O439" s="4" t="n">
        <x:f>YEAR(C439)</x:f>
        <x:v>2025</x:v>
      </x:c>
      <x:c r="P439" s="4" t="str">
        <x:f>TEXT(C439,"yyyy-mm")</x:f>
        <x:v>2025-09</x:v>
      </x:c>
      <x:c r="Q439" s="4" t="str">
        <x:f>TEXT(C439,"mmmm")</x:f>
        <x:v>September</x:v>
      </x:c>
    </x:row>
    <x:row r="440" ht="20" customHeight="1">
      <x:c r="A440" s="4" t="inlineStr">
        <x:is>
          <x:t xml:space="preserve">LINE-00442</x:t>
        </x:is>
      </x:c>
      <x:c r="B440" s="4" t="inlineStr">
        <x:is>
          <x:t xml:space="preserve">ORD-2025-0281</x:t>
        </x:is>
      </x:c>
      <x:c r="C440" s="17" t="n">
        <x:v>45929</x:v>
      </x:c>
      <x:c r="D440" s="4" t="inlineStr">
        <x:is>
          <x:t xml:space="preserve">CUS-0122</x:t>
        </x:is>
      </x:c>
      <x:c r="E440" s="4" t="inlineStr">
        <x:is>
          <x:t xml:space="preserve">USB-C Hub</x:t>
        </x:is>
      </x:c>
      <x:c r="F440" s="4" t="inlineStr">
        <x:is>
          <x:t xml:space="preserve">Accessories</x:t>
        </x:is>
      </x:c>
      <x:c r="G440" s="4" t="inlineStr">
        <x:is>
          <x:t xml:space="preserve">Seattle</x:t>
        </x:is>
      </x:c>
      <x:c r="H440" s="18" t="n">
        <x:v>2</x:v>
      </x:c>
      <x:c r="I440" s="19" t="n">
        <x:v>69.11</x:v>
      </x:c>
      <x:c r="J440" s="20" t="n">
        <x:v>0.05</x:v>
      </x:c>
      <x:c r="K440" s="4" t="inlineStr">
        <x:is>
          <x:t xml:space="preserve">Bank Transfer</x:t>
        </x:is>
      </x:c>
      <x:c r="L440" s="19" t="n">
        <x:v>138.22</x:v>
      </x:c>
      <x:c r="M440" s="19" t="n">
        <x:v>6.91</x:v>
      </x:c>
      <x:c r="N440" s="19" t="n">
        <x:v>131.31</x:v>
      </x:c>
      <x:c r="O440" s="4" t="n">
        <x:f>YEAR(C440)</x:f>
        <x:v>2025</x:v>
      </x:c>
      <x:c r="P440" s="4" t="str">
        <x:f>TEXT(C440,"yyyy-mm")</x:f>
        <x:v>2025-09</x:v>
      </x:c>
      <x:c r="Q440" s="4" t="str">
        <x:f>TEXT(C440,"mmmm")</x:f>
        <x:v>September</x:v>
      </x:c>
    </x:row>
    <x:row r="441" ht="20" customHeight="1">
      <x:c r="A441" s="4" t="inlineStr">
        <x:is>
          <x:t xml:space="preserve">LINE-00443</x:t>
        </x:is>
      </x:c>
      <x:c r="B441" s="4" t="inlineStr">
        <x:is>
          <x:t xml:space="preserve">ORD-2025-0281</x:t>
        </x:is>
      </x:c>
      <x:c r="C441" s="17" t="n">
        <x:v>45929</x:v>
      </x:c>
      <x:c r="D441" s="4" t="inlineStr">
        <x:is>
          <x:t xml:space="preserve">CUS-0122</x:t>
        </x:is>
      </x:c>
      <x:c r="E441" s="4" t="inlineStr">
        <x:is>
          <x:t xml:space="preserve">Monitor</x:t>
        </x:is>
      </x:c>
      <x:c r="F441" s="4" t="inlineStr">
        <x:is>
          <x:t xml:space="preserve">Computers</x:t>
        </x:is>
      </x:c>
      <x:c r="G441" s="4" t="inlineStr">
        <x:is>
          <x:t xml:space="preserve">Seattle</x:t>
        </x:is>
      </x:c>
      <x:c r="H441" s="18" t="n">
        <x:v>3</x:v>
      </x:c>
      <x:c r="I441" s="19" t="n">
        <x:v>283.62</x:v>
      </x:c>
      <x:c r="J441" s="20" t="n">
        <x:v>0.05</x:v>
      </x:c>
      <x:c r="K441" s="4" t="inlineStr">
        <x:is>
          <x:t xml:space="preserve">Bank Transfer</x:t>
        </x:is>
      </x:c>
      <x:c r="L441" s="19" t="n">
        <x:v>850.86</x:v>
      </x:c>
      <x:c r="M441" s="19" t="n">
        <x:v>42.54</x:v>
      </x:c>
      <x:c r="N441" s="19" t="n">
        <x:v>808.3200000000001</x:v>
      </x:c>
      <x:c r="O441" s="4" t="n">
        <x:f>YEAR(C441)</x:f>
        <x:v>2025</x:v>
      </x:c>
      <x:c r="P441" s="4" t="str">
        <x:f>TEXT(C441,"yyyy-mm")</x:f>
        <x:v>2025-09</x:v>
      </x:c>
      <x:c r="Q441" s="4" t="str">
        <x:f>TEXT(C441,"mmmm")</x:f>
        <x:v>September</x:v>
      </x:c>
    </x:row>
    <x:row r="442" ht="20" customHeight="1">
      <x:c r="A442" s="4" t="inlineStr">
        <x:is>
          <x:t xml:space="preserve">LINE-00444</x:t>
        </x:is>
      </x:c>
      <x:c r="B442" s="4" t="inlineStr">
        <x:is>
          <x:t xml:space="preserve">ORD-2025-0282</x:t>
        </x:is>
      </x:c>
      <x:c r="C442" s="17" t="n">
        <x:v>45984</x:v>
      </x:c>
      <x:c r="D442" s="4" t="inlineStr">
        <x:is>
          <x:t xml:space="preserve">CUS-0202</x:t>
        </x:is>
      </x:c>
      <x:c r="E442" s="4" t="inlineStr">
        <x:is>
          <x:t xml:space="preserve">Keyboard</x:t>
        </x:is>
      </x:c>
      <x:c r="F442" s="4" t="inlineStr">
        <x:is>
          <x:t xml:space="preserve">Accessories</x:t>
        </x:is>
      </x:c>
      <x:c r="G442" s="4" t="inlineStr">
        <x:is>
          <x:t xml:space="preserve">New York</x:t>
        </x:is>
      </x:c>
      <x:c r="H442" s="18" t="n">
        <x:v>1</x:v>
      </x:c>
      <x:c r="I442" s="19" t="n">
        <x:v>72.13</x:v>
      </x:c>
      <x:c r="J442" s="20" t="n">
        <x:v>0</x:v>
      </x:c>
      <x:c r="K442" s="4" t="inlineStr">
        <x:is>
          <x:t xml:space="preserve">Credit Card</x:t>
        </x:is>
      </x:c>
      <x:c r="L442" s="19" t="n">
        <x:v>72.13</x:v>
      </x:c>
      <x:c r="M442" s="19" t="n">
        <x:v>0</x:v>
      </x:c>
      <x:c r="N442" s="19" t="n">
        <x:v>72.13</x:v>
      </x:c>
      <x:c r="O442" s="4" t="n">
        <x:f>YEAR(C442)</x:f>
        <x:v>2025</x:v>
      </x:c>
      <x:c r="P442" s="4" t="str">
        <x:f>TEXT(C442,"yyyy-mm")</x:f>
        <x:v>2025-11</x:v>
      </x:c>
      <x:c r="Q442" s="4" t="str">
        <x:f>TEXT(C442,"mmmm")</x:f>
        <x:v>November</x:v>
      </x:c>
    </x:row>
    <x:row r="443" ht="20" customHeight="1">
      <x:c r="A443" s="4" t="inlineStr">
        <x:is>
          <x:t xml:space="preserve">LINE-00445</x:t>
        </x:is>
      </x:c>
      <x:c r="B443" s="4" t="inlineStr">
        <x:is>
          <x:t xml:space="preserve">ORD-2025-0283</x:t>
        </x:is>
      </x:c>
      <x:c r="C443" s="17" t="n">
        <x:v>45859</x:v>
      </x:c>
      <x:c r="D443" s="4" t="inlineStr">
        <x:is>
          <x:t xml:space="preserve">CUS-0168</x:t>
        </x:is>
      </x:c>
      <x:c r="E443" s="4" t="inlineStr">
        <x:is>
          <x:t xml:space="preserve">Monitor</x:t>
        </x:is>
      </x:c>
      <x:c r="F443" s="4" t="inlineStr">
        <x:is>
          <x:t xml:space="preserve">Computers</x:t>
        </x:is>
      </x:c>
      <x:c r="G443" s="4" t="inlineStr">
        <x:is>
          <x:t xml:space="preserve">Austin</x:t>
        </x:is>
      </x:c>
      <x:c r="H443" s="18" t="n">
        <x:v>4</x:v>
      </x:c>
      <x:c r="I443" s="19" t="n">
        <x:v>263.7</x:v>
      </x:c>
      <x:c r="J443" s="20" t="n">
        <x:v>0.1</x:v>
      </x:c>
      <x:c r="K443" s="4" t="inlineStr">
        <x:is>
          <x:t xml:space="preserve">Bank Transfer</x:t>
        </x:is>
      </x:c>
      <x:c r="L443" s="19" t="n">
        <x:v>1054.8</x:v>
      </x:c>
      <x:c r="M443" s="19" t="n">
        <x:v>105.48</x:v>
      </x:c>
      <x:c r="N443" s="19" t="n">
        <x:v>949.3200000000001</x:v>
      </x:c>
      <x:c r="O443" s="4" t="n">
        <x:f>YEAR(C443)</x:f>
        <x:v>2025</x:v>
      </x:c>
      <x:c r="P443" s="4" t="str">
        <x:f>TEXT(C443,"yyyy-mm")</x:f>
        <x:v>2025-07</x:v>
      </x:c>
      <x:c r="Q443" s="4" t="str">
        <x:f>TEXT(C443,"mmmm")</x:f>
        <x:v>July</x:v>
      </x:c>
    </x:row>
    <x:row r="444" ht="20" customHeight="1">
      <x:c r="A444" s="4" t="inlineStr">
        <x:is>
          <x:t xml:space="preserve">LINE-00446</x:t>
        </x:is>
      </x:c>
      <x:c r="B444" s="4" t="inlineStr">
        <x:is>
          <x:t xml:space="preserve">ORD-2025-0284</x:t>
        </x:is>
      </x:c>
      <x:c r="C444" s="17" t="n">
        <x:v>45713</x:v>
      </x:c>
      <x:c r="D444" s="4" t="inlineStr">
        <x:is>
          <x:t xml:space="preserve">CUS-0080</x:t>
        </x:is>
      </x:c>
      <x:c r="E444" s="4" t="inlineStr">
        <x:is>
          <x:t xml:space="preserve">Webcam</x:t>
        </x:is>
      </x:c>
      <x:c r="F444" s="4" t="inlineStr">
        <x:is>
          <x:t xml:space="preserve">Accessories</x:t>
        </x:is>
      </x:c>
      <x:c r="G444" s="4" t="inlineStr">
        <x:is>
          <x:t xml:space="preserve">New York</x:t>
        </x:is>
      </x:c>
      <x:c r="H444" s="18" t="n">
        <x:v>2</x:v>
      </x:c>
      <x:c r="I444" s="19" t="n">
        <x:v>90.52</x:v>
      </x:c>
      <x:c r="J444" s="20" t="n">
        <x:v>0.2</x:v>
      </x:c>
      <x:c r="K444" s="4" t="inlineStr">
        <x:is>
          <x:t xml:space="preserve">Debit Card</x:t>
        </x:is>
      </x:c>
      <x:c r="L444" s="19" t="n">
        <x:v>181.04</x:v>
      </x:c>
      <x:c r="M444" s="19" t="n">
        <x:v>36.21</x:v>
      </x:c>
      <x:c r="N444" s="19" t="n">
        <x:v>144.83</x:v>
      </x:c>
      <x:c r="O444" s="4" t="n">
        <x:f>YEAR(C444)</x:f>
        <x:v>2025</x:v>
      </x:c>
      <x:c r="P444" s="4" t="str">
        <x:f>TEXT(C444,"yyyy-mm")</x:f>
        <x:v>2025-02</x:v>
      </x:c>
      <x:c r="Q444" s="4" t="str">
        <x:f>TEXT(C444,"mmmm")</x:f>
        <x:v>February</x:v>
      </x:c>
    </x:row>
    <x:row r="445" ht="20" customHeight="1">
      <x:c r="A445" s="4" t="inlineStr">
        <x:is>
          <x:t xml:space="preserve">LINE-00447</x:t>
        </x:is>
      </x:c>
      <x:c r="B445" s="4" t="inlineStr">
        <x:is>
          <x:t xml:space="preserve">ORD-2025-0285</x:t>
        </x:is>
      </x:c>
      <x:c r="C445" s="17" t="n">
        <x:v>45764</x:v>
      </x:c>
      <x:c r="D445" s="4" t="inlineStr">
        <x:is>
          <x:t xml:space="preserve">CUS-0232</x:t>
        </x:is>
      </x:c>
      <x:c r="E445" s="4" t="inlineStr">
        <x:is>
          <x:t xml:space="preserve">Monitor</x:t>
        </x:is>
      </x:c>
      <x:c r="F445" s="4" t="inlineStr">
        <x:is>
          <x:t xml:space="preserve">Computers</x:t>
        </x:is>
      </x:c>
      <x:c r="G445" s="4" t="inlineStr">
        <x:is>
          <x:t xml:space="preserve">Austin</x:t>
        </x:is>
      </x:c>
      <x:c r="H445" s="18" t="n">
        <x:v>1</x:v>
      </x:c>
      <x:c r="I445" s="19" t="n">
        <x:v>293.78</x:v>
      </x:c>
      <x:c r="J445" s="20" t="n">
        <x:v>0</x:v>
      </x:c>
      <x:c r="K445" s="4" t="inlineStr">
        <x:is>
          <x:t xml:space="preserve">Bank Transfer</x:t>
        </x:is>
      </x:c>
      <x:c r="L445" s="19" t="n">
        <x:v>293.78</x:v>
      </x:c>
      <x:c r="M445" s="19" t="n">
        <x:v>0</x:v>
      </x:c>
      <x:c r="N445" s="19" t="n">
        <x:v>293.78</x:v>
      </x:c>
      <x:c r="O445" s="4" t="n">
        <x:f>YEAR(C445)</x:f>
        <x:v>2025</x:v>
      </x:c>
      <x:c r="P445" s="4" t="str">
        <x:f>TEXT(C445,"yyyy-mm")</x:f>
        <x:v>2025-04</x:v>
      </x:c>
      <x:c r="Q445" s="4" t="str">
        <x:f>TEXT(C445,"mmmm")</x:f>
        <x:v>April</x:v>
      </x:c>
    </x:row>
    <x:row r="446" ht="20" customHeight="1">
      <x:c r="A446" s="4" t="inlineStr">
        <x:is>
          <x:t xml:space="preserve">LINE-00448</x:t>
        </x:is>
      </x:c>
      <x:c r="B446" s="4" t="inlineStr">
        <x:is>
          <x:t xml:space="preserve">ORD-2025-0286</x:t>
        </x:is>
      </x:c>
      <x:c r="C446" s="17" t="n">
        <x:v>46018</x:v>
      </x:c>
      <x:c r="D446" s="4" t="inlineStr">
        <x:is>
          <x:t xml:space="preserve">CUS-0309</x:t>
        </x:is>
      </x:c>
      <x:c r="E446" s="4" t="inlineStr">
        <x:is>
          <x:t xml:space="preserve">Webcam</x:t>
        </x:is>
      </x:c>
      <x:c r="F446" s="4" t="inlineStr">
        <x:is>
          <x:t xml:space="preserve">Accessories</x:t>
        </x:is>
      </x:c>
      <x:c r="G446" s="4" t="inlineStr">
        <x:is>
          <x:t xml:space="preserve">New York</x:t>
        </x:is>
      </x:c>
      <x:c r="H446" s="18" t="n">
        <x:v>1</x:v>
      </x:c>
      <x:c r="I446" s="19" t="n">
        <x:v>86.37</x:v>
      </x:c>
      <x:c r="J446" s="20" t="n">
        <x:v>0</x:v>
      </x:c>
      <x:c r="K446" s="4" t="inlineStr">
        <x:is>
          <x:t xml:space="preserve">Debit Card</x:t>
        </x:is>
      </x:c>
      <x:c r="L446" s="19" t="n">
        <x:v>86.37</x:v>
      </x:c>
      <x:c r="M446" s="19" t="n">
        <x:v>0</x:v>
      </x:c>
      <x:c r="N446" s="19" t="n">
        <x:v>86.37</x:v>
      </x:c>
      <x:c r="O446" s="4" t="n">
        <x:f>YEAR(C446)</x:f>
        <x:v>2025</x:v>
      </x:c>
      <x:c r="P446" s="4" t="str">
        <x:f>TEXT(C446,"yyyy-mm")</x:f>
        <x:v>2025-12</x:v>
      </x:c>
      <x:c r="Q446" s="4" t="str">
        <x:f>TEXT(C446,"mmmm")</x:f>
        <x:v>December</x:v>
      </x:c>
    </x:row>
    <x:row r="447" ht="20" customHeight="1">
      <x:c r="A447" s="4" t="inlineStr">
        <x:is>
          <x:t xml:space="preserve">LINE-00449</x:t>
        </x:is>
      </x:c>
      <x:c r="B447" s="4" t="inlineStr">
        <x:is>
          <x:t xml:space="preserve">ORD-2025-0286</x:t>
        </x:is>
      </x:c>
      <x:c r="C447" s="17" t="n">
        <x:v>46018</x:v>
      </x:c>
      <x:c r="D447" s="4" t="inlineStr">
        <x:is>
          <x:t xml:space="preserve">CUS-0309</x:t>
        </x:is>
      </x:c>
      <x:c r="E447" s="4" t="inlineStr">
        <x:is>
          <x:t xml:space="preserve">Keyboard</x:t>
        </x:is>
      </x:c>
      <x:c r="F447" s="4" t="inlineStr">
        <x:is>
          <x:t xml:space="preserve">Accessories</x:t>
        </x:is>
      </x:c>
      <x:c r="G447" s="4" t="inlineStr">
        <x:is>
          <x:t xml:space="preserve">New York</x:t>
        </x:is>
      </x:c>
      <x:c r="H447" s="18" t="n">
        <x:v>2</x:v>
      </x:c>
      <x:c r="I447" s="19" t="n">
        <x:v>77.13</x:v>
      </x:c>
      <x:c r="J447" s="20" t="n">
        <x:v>0</x:v>
      </x:c>
      <x:c r="K447" s="4" t="inlineStr">
        <x:is>
          <x:t xml:space="preserve">Debit Card</x:t>
        </x:is>
      </x:c>
      <x:c r="L447" s="19" t="n">
        <x:v>154.26</x:v>
      </x:c>
      <x:c r="M447" s="19" t="n">
        <x:v>0</x:v>
      </x:c>
      <x:c r="N447" s="19" t="n">
        <x:v>154.26</x:v>
      </x:c>
      <x:c r="O447" s="4" t="n">
        <x:f>YEAR(C447)</x:f>
        <x:v>2025</x:v>
      </x:c>
      <x:c r="P447" s="4" t="str">
        <x:f>TEXT(C447,"yyyy-mm")</x:f>
        <x:v>2025-12</x:v>
      </x:c>
      <x:c r="Q447" s="4" t="str">
        <x:f>TEXT(C447,"mmmm")</x:f>
        <x:v>December</x:v>
      </x:c>
    </x:row>
    <x:row r="448" ht="20" customHeight="1">
      <x:c r="A448" s="4" t="inlineStr">
        <x:is>
          <x:t xml:space="preserve">LINE-00450</x:t>
        </x:is>
      </x:c>
      <x:c r="B448" s="4" t="inlineStr">
        <x:is>
          <x:t xml:space="preserve">ORD-2025-0287</x:t>
        </x:is>
      </x:c>
      <x:c r="C448" s="17" t="n">
        <x:v>45747</x:v>
      </x:c>
      <x:c r="D448" s="4" t="inlineStr">
        <x:is>
          <x:t xml:space="preserve">CUS-0016</x:t>
        </x:is>
      </x:c>
      <x:c r="E448" s="4" t="inlineStr">
        <x:is>
          <x:t xml:space="preserve">External SSD</x:t>
        </x:is>
      </x:c>
      <x:c r="F448" s="4" t="inlineStr">
        <x:is>
          <x:t xml:space="preserve">Storage</x:t>
        </x:is>
      </x:c>
      <x:c r="G448" s="4" t="inlineStr">
        <x:is>
          <x:t xml:space="preserve">Seattle</x:t>
        </x:is>
      </x:c>
      <x:c r="H448" s="18" t="n">
        <x:v>1</x:v>
      </x:c>
      <x:c r="I448" s="19" t="n">
        <x:v>140.45</x:v>
      </x:c>
      <x:c r="J448" s="20" t="n">
        <x:v>0.1</x:v>
      </x:c>
      <x:c r="K448" s="4" t="inlineStr">
        <x:is>
          <x:t xml:space="preserve">Bank Transfer</x:t>
        </x:is>
      </x:c>
      <x:c r="L448" s="19" t="n">
        <x:v>140.45</x:v>
      </x:c>
      <x:c r="M448" s="19" t="n">
        <x:v>14.04</x:v>
      </x:c>
      <x:c r="N448" s="19" t="n">
        <x:v>126.41</x:v>
      </x:c>
      <x:c r="O448" s="4" t="n">
        <x:f>YEAR(C448)</x:f>
        <x:v>2025</x:v>
      </x:c>
      <x:c r="P448" s="4" t="str">
        <x:f>TEXT(C448,"yyyy-mm")</x:f>
        <x:v>2025-03</x:v>
      </x:c>
      <x:c r="Q448" s="4" t="str">
        <x:f>TEXT(C448,"mmmm")</x:f>
        <x:v>March</x:v>
      </x:c>
    </x:row>
    <x:row r="449" ht="20" customHeight="1">
      <x:c r="A449" s="4" t="inlineStr">
        <x:is>
          <x:t xml:space="preserve">LINE-00451</x:t>
        </x:is>
      </x:c>
      <x:c r="B449" s="4" t="inlineStr">
        <x:is>
          <x:t xml:space="preserve">ORD-2025-0287</x:t>
        </x:is>
      </x:c>
      <x:c r="C449" s="17" t="n">
        <x:v>45747</x:v>
      </x:c>
      <x:c r="D449" s="4" t="inlineStr">
        <x:is>
          <x:t xml:space="preserve">CUS-0016</x:t>
        </x:is>
      </x:c>
      <x:c r="E449" s="4" t="inlineStr">
        <x:is>
          <x:t xml:space="preserve">Wireless Mouse</x:t>
        </x:is>
      </x:c>
      <x:c r="F449" s="4" t="inlineStr">
        <x:is>
          <x:t xml:space="preserve">Accessories</x:t>
        </x:is>
      </x:c>
      <x:c r="G449" s="4" t="inlineStr">
        <x:is>
          <x:t xml:space="preserve">Seattle</x:t>
        </x:is>
      </x:c>
      <x:c r="H449" s="18" t="n">
        <x:v>1</x:v>
      </x:c>
      <x:c r="I449" s="19" t="n">
        <x:v>41.84</x:v>
      </x:c>
      <x:c r="J449" s="20" t="n">
        <x:v>0.1</x:v>
      </x:c>
      <x:c r="K449" s="4" t="inlineStr">
        <x:is>
          <x:t xml:space="preserve">Bank Transfer</x:t>
        </x:is>
      </x:c>
      <x:c r="L449" s="19" t="n">
        <x:v>41.84</x:v>
      </x:c>
      <x:c r="M449" s="19" t="n">
        <x:v>4.18</x:v>
      </x:c>
      <x:c r="N449" s="19" t="n">
        <x:v>37.66</x:v>
      </x:c>
      <x:c r="O449" s="4" t="n">
        <x:f>YEAR(C449)</x:f>
        <x:v>2025</x:v>
      </x:c>
      <x:c r="P449" s="4" t="str">
        <x:f>TEXT(C449,"yyyy-mm")</x:f>
        <x:v>2025-03</x:v>
      </x:c>
      <x:c r="Q449" s="4" t="str">
        <x:f>TEXT(C449,"mmmm")</x:f>
        <x:v>March</x:v>
      </x:c>
    </x:row>
    <x:row r="450" ht="20" customHeight="1">
      <x:c r="A450" s="4" t="inlineStr">
        <x:is>
          <x:t xml:space="preserve">LINE-00452</x:t>
        </x:is>
      </x:c>
      <x:c r="B450" s="4" t="inlineStr">
        <x:is>
          <x:t xml:space="preserve">ORD-2025-0288</x:t>
        </x:is>
      </x:c>
      <x:c r="C450" s="17" t="n">
        <x:v>45771</x:v>
      </x:c>
      <x:c r="D450" s="4" t="inlineStr">
        <x:is>
          <x:t xml:space="preserve">CUS-0067</x:t>
        </x:is>
      </x:c>
      <x:c r="E450" s="4" t="inlineStr">
        <x:is>
          <x:t xml:space="preserve">Office Chair</x:t>
        </x:is>
      </x:c>
      <x:c r="F450" s="4" t="inlineStr">
        <x:is>
          <x:t xml:space="preserve">Furniture</x:t>
        </x:is>
      </x:c>
      <x:c r="G450" s="4" t="inlineStr">
        <x:is>
          <x:t xml:space="preserve">Chicago</x:t>
        </x:is>
      </x:c>
      <x:c r="H450" s="18" t="n">
        <x:v>4</x:v>
      </x:c>
      <x:c r="I450" s="19" t="n">
        <x:v>224.03</x:v>
      </x:c>
      <x:c r="J450" s="20" t="n">
        <x:v>0.05</x:v>
      </x:c>
      <x:c r="K450" s="4" t="inlineStr">
        <x:is>
          <x:t xml:space="preserve">Bank Transfer</x:t>
        </x:is>
      </x:c>
      <x:c r="L450" s="19" t="n">
        <x:v>896.12</x:v>
      </x:c>
      <x:c r="M450" s="19" t="n">
        <x:v>44.81</x:v>
      </x:c>
      <x:c r="N450" s="19" t="n">
        <x:v>851.3099999999999</x:v>
      </x:c>
      <x:c r="O450" s="4" t="n">
        <x:f>YEAR(C450)</x:f>
        <x:v>2025</x:v>
      </x:c>
      <x:c r="P450" s="4" t="str">
        <x:f>TEXT(C450,"yyyy-mm")</x:f>
        <x:v>2025-04</x:v>
      </x:c>
      <x:c r="Q450" s="4" t="str">
        <x:f>TEXT(C450,"mmmm")</x:f>
        <x:v>April</x:v>
      </x:c>
    </x:row>
    <x:row r="451" ht="20" customHeight="1">
      <x:c r="A451" s="4" t="inlineStr">
        <x:is>
          <x:t xml:space="preserve">LINE-00453</x:t>
        </x:is>
      </x:c>
      <x:c r="B451" s="4" t="inlineStr">
        <x:is>
          <x:t xml:space="preserve">ORD-2025-0289</x:t>
        </x:is>
      </x:c>
      <x:c r="C451" s="17" t="n">
        <x:v>45696</x:v>
      </x:c>
      <x:c r="D451" s="4" t="inlineStr">
        <x:is>
          <x:t xml:space="preserve">CUS-0012</x:t>
        </x:is>
      </x:c>
      <x:c r="E451" s="4" t="inlineStr">
        <x:is>
          <x:t xml:space="preserve">Bluetooth Speaker</x:t>
        </x:is>
      </x:c>
      <x:c r="F451" s="4" t="inlineStr">
        <x:is>
          <x:t xml:space="preserve">Audio</x:t>
        </x:is>
      </x:c>
      <x:c r="G451" s="4" t="inlineStr">
        <x:is>
          <x:t xml:space="preserve">New York</x:t>
        </x:is>
      </x:c>
      <x:c r="H451" s="18" t="n">
        <x:v>4</x:v>
      </x:c>
      <x:c r="I451" s="19" t="n">
        <x:v>115.8</x:v>
      </x:c>
      <x:c r="J451" s="20" t="n">
        <x:v>0</x:v>
      </x:c>
      <x:c r="K451" s="4" t="inlineStr">
        <x:is>
          <x:t xml:space="preserve">Debit Card</x:t>
        </x:is>
      </x:c>
      <x:c r="L451" s="19" t="n">
        <x:v>463.2</x:v>
      </x:c>
      <x:c r="M451" s="19" t="n">
        <x:v>0</x:v>
      </x:c>
      <x:c r="N451" s="19" t="n">
        <x:v>463.2</x:v>
      </x:c>
      <x:c r="O451" s="4" t="n">
        <x:f>YEAR(C451)</x:f>
        <x:v>2025</x:v>
      </x:c>
      <x:c r="P451" s="4" t="str">
        <x:f>TEXT(C451,"yyyy-mm")</x:f>
        <x:v>2025-02</x:v>
      </x:c>
      <x:c r="Q451" s="4" t="str">
        <x:f>TEXT(C451,"mmmm")</x:f>
        <x:v>February</x:v>
      </x:c>
    </x:row>
    <x:row r="452" ht="20" customHeight="1">
      <x:c r="A452" s="4" t="inlineStr">
        <x:is>
          <x:t xml:space="preserve">LINE-00454</x:t>
        </x:is>
      </x:c>
      <x:c r="B452" s="4" t="inlineStr">
        <x:is>
          <x:t xml:space="preserve">ORD-2025-0289</x:t>
        </x:is>
      </x:c>
      <x:c r="C452" s="17" t="n">
        <x:v>45696</x:v>
      </x:c>
      <x:c r="D452" s="4" t="inlineStr">
        <x:is>
          <x:t xml:space="preserve">CUS-0012</x:t>
        </x:is>
      </x:c>
      <x:c r="E452" s="4" t="inlineStr">
        <x:is>
          <x:t xml:space="preserve">Keyboard</x:t>
        </x:is>
      </x:c>
      <x:c r="F452" s="4" t="inlineStr">
        <x:is>
          <x:t xml:space="preserve">Accessories</x:t>
        </x:is>
      </x:c>
      <x:c r="G452" s="4" t="inlineStr">
        <x:is>
          <x:t xml:space="preserve">New York</x:t>
        </x:is>
      </x:c>
      <x:c r="H452" s="18" t="n">
        <x:v>1</x:v>
      </x:c>
      <x:c r="I452" s="19" t="n">
        <x:v>74.53</x:v>
      </x:c>
      <x:c r="J452" s="20" t="n">
        <x:v>0</x:v>
      </x:c>
      <x:c r="K452" s="4" t="inlineStr">
        <x:is>
          <x:t xml:space="preserve">Debit Card</x:t>
        </x:is>
      </x:c>
      <x:c r="L452" s="19" t="n">
        <x:v>74.53</x:v>
      </x:c>
      <x:c r="M452" s="19" t="n">
        <x:v>0</x:v>
      </x:c>
      <x:c r="N452" s="19" t="n">
        <x:v>74.53</x:v>
      </x:c>
      <x:c r="O452" s="4" t="n">
        <x:f>YEAR(C452)</x:f>
        <x:v>2025</x:v>
      </x:c>
      <x:c r="P452" s="4" t="str">
        <x:f>TEXT(C452,"yyyy-mm")</x:f>
        <x:v>2025-02</x:v>
      </x:c>
      <x:c r="Q452" s="4" t="str">
        <x:f>TEXT(C452,"mmmm")</x:f>
        <x:v>February</x:v>
      </x:c>
    </x:row>
    <x:row r="453" ht="20" customHeight="1">
      <x:c r="A453" s="4" t="inlineStr">
        <x:is>
          <x:t xml:space="preserve">LINE-00455</x:t>
        </x:is>
      </x:c>
      <x:c r="B453" s="4" t="inlineStr">
        <x:is>
          <x:t xml:space="preserve">ORD-2025-0289</x:t>
        </x:is>
      </x:c>
      <x:c r="C453" s="17" t="n">
        <x:v>45696</x:v>
      </x:c>
      <x:c r="D453" s="4" t="inlineStr">
        <x:is>
          <x:t xml:space="preserve">CUS-0012</x:t>
        </x:is>
      </x:c>
      <x:c r="E453" s="4" t="inlineStr">
        <x:is>
          <x:t xml:space="preserve">Monitor</x:t>
        </x:is>
      </x:c>
      <x:c r="F453" s="4" t="inlineStr">
        <x:is>
          <x:t xml:space="preserve">Computers</x:t>
        </x:is>
      </x:c>
      <x:c r="G453" s="4" t="inlineStr">
        <x:is>
          <x:t xml:space="preserve">New York</x:t>
        </x:is>
      </x:c>
      <x:c r="H453" s="18" t="n">
        <x:v>2</x:v>
      </x:c>
      <x:c r="I453" s="19" t="n">
        <x:v>294.41</x:v>
      </x:c>
      <x:c r="J453" s="20" t="n">
        <x:v>0</x:v>
      </x:c>
      <x:c r="K453" s="4" t="inlineStr">
        <x:is>
          <x:t xml:space="preserve">Debit Card</x:t>
        </x:is>
      </x:c>
      <x:c r="L453" s="19" t="n">
        <x:v>588.8200000000001</x:v>
      </x:c>
      <x:c r="M453" s="19" t="n">
        <x:v>0</x:v>
      </x:c>
      <x:c r="N453" s="19" t="n">
        <x:v>588.8200000000001</x:v>
      </x:c>
      <x:c r="O453" s="4" t="n">
        <x:f>YEAR(C453)</x:f>
        <x:v>2025</x:v>
      </x:c>
      <x:c r="P453" s="4" t="str">
        <x:f>TEXT(C453,"yyyy-mm")</x:f>
        <x:v>2025-02</x:v>
      </x:c>
      <x:c r="Q453" s="4" t="str">
        <x:f>TEXT(C453,"mmmm")</x:f>
        <x:v>February</x:v>
      </x:c>
    </x:row>
    <x:row r="454" ht="20" customHeight="1">
      <x:c r="A454" s="4" t="inlineStr">
        <x:is>
          <x:t xml:space="preserve">LINE-00456</x:t>
        </x:is>
      </x:c>
      <x:c r="B454" s="4" t="inlineStr">
        <x:is>
          <x:t xml:space="preserve">ORD-2025-0290</x:t>
        </x:is>
      </x:c>
      <x:c r="C454" s="17" t="n">
        <x:v>45673</x:v>
      </x:c>
      <x:c r="D454" s="4" t="inlineStr">
        <x:is>
          <x:t xml:space="preserve">CUS-0196</x:t>
        </x:is>
      </x:c>
      <x:c r="E454" s="4" t="inlineStr">
        <x:is>
          <x:t xml:space="preserve">Wireless Mouse</x:t>
        </x:is>
      </x:c>
      <x:c r="F454" s="4" t="inlineStr">
        <x:is>
          <x:t xml:space="preserve">Accessories</x:t>
        </x:is>
      </x:c>
      <x:c r="G454" s="4" t="inlineStr">
        <x:is>
          <x:t xml:space="preserve">San Francisco</x:t>
        </x:is>
      </x:c>
      <x:c r="H454" s="18" t="n">
        <x:v>4</x:v>
      </x:c>
      <x:c r="I454" s="19" t="n">
        <x:v>43.38</x:v>
      </x:c>
      <x:c r="J454" s="20" t="n">
        <x:v>0</x:v>
      </x:c>
      <x:c r="K454" s="4" t="inlineStr">
        <x:is>
          <x:t xml:space="preserve">Bank Transfer</x:t>
        </x:is>
      </x:c>
      <x:c r="L454" s="19" t="n">
        <x:v>173.52</x:v>
      </x:c>
      <x:c r="M454" s="19" t="n">
        <x:v>0</x:v>
      </x:c>
      <x:c r="N454" s="19" t="n">
        <x:v>173.52</x:v>
      </x:c>
      <x:c r="O454" s="4" t="n">
        <x:f>YEAR(C454)</x:f>
        <x:v>2025</x:v>
      </x:c>
      <x:c r="P454" s="4" t="str">
        <x:f>TEXT(C454,"yyyy-mm")</x:f>
        <x:v>2025-01</x:v>
      </x:c>
      <x:c r="Q454" s="4" t="str">
        <x:f>TEXT(C454,"mmmm")</x:f>
        <x:v>January</x:v>
      </x:c>
    </x:row>
    <x:row r="455" ht="20" customHeight="1">
      <x:c r="A455" s="4" t="inlineStr">
        <x:is>
          <x:t xml:space="preserve">LINE-00457</x:t>
        </x:is>
      </x:c>
      <x:c r="B455" s="4" t="inlineStr">
        <x:is>
          <x:t xml:space="preserve">ORD-2025-0291</x:t>
        </x:is>
      </x:c>
      <x:c r="C455" s="17" t="n">
        <x:v>45734</x:v>
      </x:c>
      <x:c r="D455" s="4" t="inlineStr">
        <x:is>
          <x:t xml:space="preserve">CUS-0018</x:t>
        </x:is>
      </x:c>
      <x:c r="E455" s="4" t="inlineStr">
        <x:is>
          <x:t xml:space="preserve">Bluetooth Speaker</x:t>
        </x:is>
      </x:c>
      <x:c r="F455" s="4" t="inlineStr">
        <x:is>
          <x:t xml:space="preserve">Audio</x:t>
        </x:is>
      </x:c>
      <x:c r="G455" s="4" t="inlineStr">
        <x:is>
          <x:t xml:space="preserve">Boston</x:t>
        </x:is>
      </x:c>
      <x:c r="H455" s="18" t="n">
        <x:v>4</x:v>
      </x:c>
      <x:c r="I455" s="19" t="n">
        <x:v>109.63</x:v>
      </x:c>
      <x:c r="J455" s="20" t="n">
        <x:v>0</x:v>
      </x:c>
      <x:c r="K455" s="4" t="inlineStr">
        <x:is>
          <x:t xml:space="preserve">Debit Card</x:t>
        </x:is>
      </x:c>
      <x:c r="L455" s="19" t="n">
        <x:v>438.52</x:v>
      </x:c>
      <x:c r="M455" s="19" t="n">
        <x:v>0</x:v>
      </x:c>
      <x:c r="N455" s="19" t="n">
        <x:v>438.52</x:v>
      </x:c>
      <x:c r="O455" s="4" t="n">
        <x:f>YEAR(C455)</x:f>
        <x:v>2025</x:v>
      </x:c>
      <x:c r="P455" s="4" t="str">
        <x:f>TEXT(C455,"yyyy-mm")</x:f>
        <x:v>2025-03</x:v>
      </x:c>
      <x:c r="Q455" s="4" t="str">
        <x:f>TEXT(C455,"mmmm")</x:f>
        <x:v>March</x:v>
      </x:c>
    </x:row>
    <x:row r="456" ht="20" customHeight="1">
      <x:c r="A456" s="4" t="inlineStr">
        <x:is>
          <x:t xml:space="preserve">LINE-00458</x:t>
        </x:is>
      </x:c>
      <x:c r="B456" s="4" t="inlineStr">
        <x:is>
          <x:t xml:space="preserve">ORD-2025-0291</x:t>
        </x:is>
      </x:c>
      <x:c r="C456" s="17" t="n">
        <x:v>45734</x:v>
      </x:c>
      <x:c r="D456" s="4" t="inlineStr">
        <x:is>
          <x:t xml:space="preserve">CUS-0018</x:t>
        </x:is>
      </x:c>
      <x:c r="E456" s="4" t="inlineStr">
        <x:is>
          <x:t xml:space="preserve">Headphones</x:t>
        </x:is>
      </x:c>
      <x:c r="F456" s="4" t="inlineStr">
        <x:is>
          <x:t xml:space="preserve">Audio</x:t>
        </x:is>
      </x:c>
      <x:c r="G456" s="4" t="inlineStr">
        <x:is>
          <x:t xml:space="preserve">Boston</x:t>
        </x:is>
      </x:c>
      <x:c r="H456" s="18" t="n">
        <x:v>1</x:v>
      </x:c>
      <x:c r="I456" s="19" t="n">
        <x:v>128.32</x:v>
      </x:c>
      <x:c r="J456" s="20" t="n">
        <x:v>0.05</x:v>
      </x:c>
      <x:c r="K456" s="4" t="inlineStr">
        <x:is>
          <x:t xml:space="preserve">Debit Card</x:t>
        </x:is>
      </x:c>
      <x:c r="L456" s="19" t="n">
        <x:v>128.32</x:v>
      </x:c>
      <x:c r="M456" s="19" t="n">
        <x:v>6.42</x:v>
      </x:c>
      <x:c r="N456" s="19" t="n">
        <x:v>121.9</x:v>
      </x:c>
      <x:c r="O456" s="4" t="n">
        <x:f>YEAR(C456)</x:f>
        <x:v>2025</x:v>
      </x:c>
      <x:c r="P456" s="4" t="str">
        <x:f>TEXT(C456,"yyyy-mm")</x:f>
        <x:v>2025-03</x:v>
      </x:c>
      <x:c r="Q456" s="4" t="str">
        <x:f>TEXT(C456,"mmmm")</x:f>
        <x:v>March</x:v>
      </x:c>
    </x:row>
    <x:row r="457" ht="20" customHeight="1">
      <x:c r="A457" s="4" t="inlineStr">
        <x:is>
          <x:t xml:space="preserve">LINE-00459</x:t>
        </x:is>
      </x:c>
      <x:c r="B457" s="4" t="inlineStr">
        <x:is>
          <x:t xml:space="preserve">ORD-2025-0292</x:t>
        </x:is>
      </x:c>
      <x:c r="C457" s="17" t="n">
        <x:v>45927</x:v>
      </x:c>
      <x:c r="D457" s="4" t="inlineStr">
        <x:is>
          <x:t xml:space="preserve">CUS-0128</x:t>
        </x:is>
      </x:c>
      <x:c r="E457" s="4" t="inlineStr">
        <x:is>
          <x:t xml:space="preserve">Desk Lamp</x:t>
        </x:is>
      </x:c>
      <x:c r="F457" s="4" t="inlineStr">
        <x:is>
          <x:t xml:space="preserve">Furniture</x:t>
        </x:is>
      </x:c>
      <x:c r="G457" s="4" t="inlineStr">
        <x:is>
          <x:t xml:space="preserve">San Francisco</x:t>
        </x:is>
      </x:c>
      <x:c r="H457" s="18" t="n">
        <x:v>2</x:v>
      </x:c>
      <x:c r="I457" s="19" t="n">
        <x:v>54.87</x:v>
      </x:c>
      <x:c r="J457" s="20" t="n">
        <x:v>0.15</x:v>
      </x:c>
      <x:c r="K457" s="4" t="inlineStr">
        <x:is>
          <x:t xml:space="preserve">Credit Card</x:t>
        </x:is>
      </x:c>
      <x:c r="L457" s="19" t="n">
        <x:v>109.74</x:v>
      </x:c>
      <x:c r="M457" s="19" t="n">
        <x:v>16.46</x:v>
      </x:c>
      <x:c r="N457" s="19" t="n">
        <x:v>93.28</x:v>
      </x:c>
      <x:c r="O457" s="4" t="n">
        <x:f>YEAR(C457)</x:f>
        <x:v>2025</x:v>
      </x:c>
      <x:c r="P457" s="4" t="str">
        <x:f>TEXT(C457,"yyyy-mm")</x:f>
        <x:v>2025-09</x:v>
      </x:c>
      <x:c r="Q457" s="4" t="str">
        <x:f>TEXT(C457,"mmmm")</x:f>
        <x:v>September</x:v>
      </x:c>
    </x:row>
    <x:row r="458" ht="20" customHeight="1">
      <x:c r="A458" s="4" t="inlineStr">
        <x:is>
          <x:t xml:space="preserve">LINE-00460</x:t>
        </x:is>
      </x:c>
      <x:c r="B458" s="4" t="inlineStr">
        <x:is>
          <x:t xml:space="preserve">ORD-2025-0292</x:t>
        </x:is>
      </x:c>
      <x:c r="C458" s="17" t="n">
        <x:v>45927</x:v>
      </x:c>
      <x:c r="D458" s="4" t="inlineStr">
        <x:is>
          <x:t xml:space="preserve">CUS-0128</x:t>
        </x:is>
      </x:c>
      <x:c r="E458" s="4" t="inlineStr">
        <x:is>
          <x:t xml:space="preserve">Webcam</x:t>
        </x:is>
      </x:c>
      <x:c r="F458" s="4" t="inlineStr">
        <x:is>
          <x:t xml:space="preserve">Accessories</x:t>
        </x:is>
      </x:c>
      <x:c r="G458" s="4" t="inlineStr">
        <x:is>
          <x:t xml:space="preserve">San Francisco</x:t>
        </x:is>
      </x:c>
      <x:c r="H458" s="18" t="n">
        <x:v>2</x:v>
      </x:c>
      <x:c r="I458" s="19" t="n">
        <x:v>88.39</x:v>
      </x:c>
      <x:c r="J458" s="20" t="n">
        <x:v>0</x:v>
      </x:c>
      <x:c r="K458" s="4" t="inlineStr">
        <x:is>
          <x:t xml:space="preserve">Credit Card</x:t>
        </x:is>
      </x:c>
      <x:c r="L458" s="19" t="n">
        <x:v>176.78</x:v>
      </x:c>
      <x:c r="M458" s="19" t="n">
        <x:v>0</x:v>
      </x:c>
      <x:c r="N458" s="19" t="n">
        <x:v>176.78</x:v>
      </x:c>
      <x:c r="O458" s="4" t="n">
        <x:f>YEAR(C458)</x:f>
        <x:v>2025</x:v>
      </x:c>
      <x:c r="P458" s="4" t="str">
        <x:f>TEXT(C458,"yyyy-mm")</x:f>
        <x:v>2025-09</x:v>
      </x:c>
      <x:c r="Q458" s="4" t="str">
        <x:f>TEXT(C458,"mmmm")</x:f>
        <x:v>September</x:v>
      </x:c>
    </x:row>
    <x:row r="459" ht="20" customHeight="1">
      <x:c r="A459" s="4" t="inlineStr">
        <x:is>
          <x:t xml:space="preserve">LINE-00461</x:t>
        </x:is>
      </x:c>
      <x:c r="B459" s="4" t="inlineStr">
        <x:is>
          <x:t xml:space="preserve">ORD-2025-0292</x:t>
        </x:is>
      </x:c>
      <x:c r="C459" s="17" t="n">
        <x:v>45927</x:v>
      </x:c>
      <x:c r="D459" s="4" t="inlineStr">
        <x:is>
          <x:t xml:space="preserve">CUS-0128</x:t>
        </x:is>
      </x:c>
      <x:c r="E459" s="4" t="inlineStr">
        <x:is>
          <x:t xml:space="preserve">Bluetooth Speaker</x:t>
        </x:is>
      </x:c>
      <x:c r="F459" s="4" t="inlineStr">
        <x:is>
          <x:t xml:space="preserve">Audio</x:t>
        </x:is>
      </x:c>
      <x:c r="G459" s="4" t="inlineStr">
        <x:is>
          <x:t xml:space="preserve">San Francisco</x:t>
        </x:is>
      </x:c>
      <x:c r="H459" s="18" t="n">
        <x:v>1</x:v>
      </x:c>
      <x:c r="I459" s="19" t="n">
        <x:v>105.05</x:v>
      </x:c>
      <x:c r="J459" s="20" t="n">
        <x:v>0.15</x:v>
      </x:c>
      <x:c r="K459" s="4" t="inlineStr">
        <x:is>
          <x:t xml:space="preserve">Credit Card</x:t>
        </x:is>
      </x:c>
      <x:c r="L459" s="19" t="n">
        <x:v>105.05</x:v>
      </x:c>
      <x:c r="M459" s="19" t="n">
        <x:v>15.76</x:v>
      </x:c>
      <x:c r="N459" s="19" t="n">
        <x:v>89.29000000000001</x:v>
      </x:c>
      <x:c r="O459" s="4" t="n">
        <x:f>YEAR(C459)</x:f>
        <x:v>2025</x:v>
      </x:c>
      <x:c r="P459" s="4" t="str">
        <x:f>TEXT(C459,"yyyy-mm")</x:f>
        <x:v>2025-09</x:v>
      </x:c>
      <x:c r="Q459" s="4" t="str">
        <x:f>TEXT(C459,"mmmm")</x:f>
        <x:v>September</x:v>
      </x:c>
    </x:row>
    <x:row r="460" ht="20" customHeight="1">
      <x:c r="A460" s="4" t="inlineStr">
        <x:is>
          <x:t xml:space="preserve">LINE-00462</x:t>
        </x:is>
      </x:c>
      <x:c r="B460" s="4" t="inlineStr">
        <x:is>
          <x:t xml:space="preserve">ORD-2025-0293</x:t>
        </x:is>
      </x:c>
      <x:c r="C460" s="17" t="n">
        <x:v>45801</x:v>
      </x:c>
      <x:c r="D460" s="4" t="inlineStr">
        <x:is>
          <x:t xml:space="preserve">CUS-0030</x:t>
        </x:is>
      </x:c>
      <x:c r="E460" s="4" t="inlineStr">
        <x:is>
          <x:t xml:space="preserve">Wireless Mouse</x:t>
        </x:is>
      </x:c>
      <x:c r="F460" s="4" t="inlineStr">
        <x:is>
          <x:t xml:space="preserve">Accessories</x:t>
        </x:is>
      </x:c>
      <x:c r="G460" s="4" t="inlineStr">
        <x:is>
          <x:t xml:space="preserve">Seattle</x:t>
        </x:is>
      </x:c>
      <x:c r="H460" s="18" t="n">
        <x:v>1</x:v>
      </x:c>
      <x:c r="I460" s="19" t="n">
        <x:v>46.13</x:v>
      </x:c>
      <x:c r="J460" s="20" t="n">
        <x:v>0</x:v>
      </x:c>
      <x:c r="K460" s="4" t="inlineStr">
        <x:is>
          <x:t xml:space="preserve">PayPal</x:t>
        </x:is>
      </x:c>
      <x:c r="L460" s="19" t="n">
        <x:v>46.13</x:v>
      </x:c>
      <x:c r="M460" s="19" t="n">
        <x:v>0</x:v>
      </x:c>
      <x:c r="N460" s="19" t="n">
        <x:v>46.13</x:v>
      </x:c>
      <x:c r="O460" s="4" t="n">
        <x:f>YEAR(C460)</x:f>
        <x:v>2025</x:v>
      </x:c>
      <x:c r="P460" s="4" t="str">
        <x:f>TEXT(C460,"yyyy-mm")</x:f>
        <x:v>2025-05</x:v>
      </x:c>
      <x:c r="Q460" s="4" t="str">
        <x:f>TEXT(C460,"mmmm")</x:f>
        <x:v>May</x:v>
      </x:c>
    </x:row>
    <x:row r="461" ht="20" customHeight="1">
      <x:c r="A461" s="4" t="inlineStr">
        <x:is>
          <x:t xml:space="preserve">LINE-00463</x:t>
        </x:is>
      </x:c>
      <x:c r="B461" s="4" t="inlineStr">
        <x:is>
          <x:t xml:space="preserve">ORD-2025-0293</x:t>
        </x:is>
      </x:c>
      <x:c r="C461" s="17" t="n">
        <x:v>45801</x:v>
      </x:c>
      <x:c r="D461" s="4" t="inlineStr">
        <x:is>
          <x:t xml:space="preserve">CUS-0030</x:t>
        </x:is>
      </x:c>
      <x:c r="E461" s="4" t="inlineStr">
        <x:is>
          <x:t xml:space="preserve">Keyboard</x:t>
        </x:is>
      </x:c>
      <x:c r="F461" s="4" t="inlineStr">
        <x:is>
          <x:t xml:space="preserve">Accessories</x:t>
        </x:is>
      </x:c>
      <x:c r="G461" s="4" t="inlineStr">
        <x:is>
          <x:t xml:space="preserve">Seattle</x:t>
        </x:is>
      </x:c>
      <x:c r="H461" s="18" t="n">
        <x:v>3</x:v>
      </x:c>
      <x:c r="I461" s="19" t="n">
        <x:v>80.01000000000001</x:v>
      </x:c>
      <x:c r="J461" s="20" t="n">
        <x:v>0</x:v>
      </x:c>
      <x:c r="K461" s="4" t="inlineStr">
        <x:is>
          <x:t xml:space="preserve">PayPal</x:t>
        </x:is>
      </x:c>
      <x:c r="L461" s="19" t="n">
        <x:v>240.03</x:v>
      </x:c>
      <x:c r="M461" s="19" t="n">
        <x:v>0</x:v>
      </x:c>
      <x:c r="N461" s="19" t="n">
        <x:v>240.03</x:v>
      </x:c>
      <x:c r="O461" s="4" t="n">
        <x:f>YEAR(C461)</x:f>
        <x:v>2025</x:v>
      </x:c>
      <x:c r="P461" s="4" t="str">
        <x:f>TEXT(C461,"yyyy-mm")</x:f>
        <x:v>2025-05</x:v>
      </x:c>
      <x:c r="Q461" s="4" t="str">
        <x:f>TEXT(C461,"mmmm")</x:f>
        <x:v>May</x:v>
      </x:c>
    </x:row>
    <x:row r="462" ht="20" customHeight="1">
      <x:c r="A462" s="4" t="inlineStr">
        <x:is>
          <x:t xml:space="preserve">LINE-00464</x:t>
        </x:is>
      </x:c>
      <x:c r="B462" s="4" t="inlineStr">
        <x:is>
          <x:t xml:space="preserve">ORD-2025-0294</x:t>
        </x:is>
      </x:c>
      <x:c r="C462" s="17" t="n">
        <x:v>45770</x:v>
      </x:c>
      <x:c r="D462" s="4" t="inlineStr">
        <x:is>
          <x:t xml:space="preserve">CUS-0295</x:t>
        </x:is>
      </x:c>
      <x:c r="E462" s="4" t="inlineStr">
        <x:is>
          <x:t xml:space="preserve">Keyboard</x:t>
        </x:is>
      </x:c>
      <x:c r="F462" s="4" t="inlineStr">
        <x:is>
          <x:t xml:space="preserve">Accessories</x:t>
        </x:is>
      </x:c>
      <x:c r="G462" s="4" t="inlineStr">
        <x:is>
          <x:t xml:space="preserve">Seattle</x:t>
        </x:is>
      </x:c>
      <x:c r="H462" s="18" t="n">
        <x:v>2</x:v>
      </x:c>
      <x:c r="I462" s="19" t="n">
        <x:v>78.67</x:v>
      </x:c>
      <x:c r="J462" s="20" t="n">
        <x:v>0.05</x:v>
      </x:c>
      <x:c r="K462" s="4" t="inlineStr">
        <x:is>
          <x:t xml:space="preserve">PayPal</x:t>
        </x:is>
      </x:c>
      <x:c r="L462" s="19" t="n">
        <x:v>157.34</x:v>
      </x:c>
      <x:c r="M462" s="19" t="n">
        <x:v>7.87</x:v>
      </x:c>
      <x:c r="N462" s="19" t="n">
        <x:v>149.47</x:v>
      </x:c>
      <x:c r="O462" s="4" t="n">
        <x:f>YEAR(C462)</x:f>
        <x:v>2025</x:v>
      </x:c>
      <x:c r="P462" s="4" t="str">
        <x:f>TEXT(C462,"yyyy-mm")</x:f>
        <x:v>2025-04</x:v>
      </x:c>
      <x:c r="Q462" s="4" t="str">
        <x:f>TEXT(C462,"mmmm")</x:f>
        <x:v>April</x:v>
      </x:c>
    </x:row>
    <x:row r="463" ht="20" customHeight="1">
      <x:c r="A463" s="4" t="inlineStr">
        <x:is>
          <x:t xml:space="preserve">LINE-00465</x:t>
        </x:is>
      </x:c>
      <x:c r="B463" s="4" t="inlineStr">
        <x:is>
          <x:t xml:space="preserve">ORD-2025-0294</x:t>
        </x:is>
      </x:c>
      <x:c r="C463" s="17" t="n">
        <x:v>45770</x:v>
      </x:c>
      <x:c r="D463" s="4" t="inlineStr">
        <x:is>
          <x:t xml:space="preserve">CUS-0295</x:t>
        </x:is>
      </x:c>
      <x:c r="E463" s="4" t="inlineStr">
        <x:is>
          <x:t xml:space="preserve">Desk Lamp</x:t>
        </x:is>
      </x:c>
      <x:c r="F463" s="4" t="inlineStr">
        <x:is>
          <x:t xml:space="preserve">Furniture</x:t>
        </x:is>
      </x:c>
      <x:c r="G463" s="4" t="inlineStr">
        <x:is>
          <x:t xml:space="preserve">Seattle</x:t>
        </x:is>
      </x:c>
      <x:c r="H463" s="18" t="n">
        <x:v>4</x:v>
      </x:c>
      <x:c r="I463" s="19" t="n">
        <x:v>50.85</x:v>
      </x:c>
      <x:c r="J463" s="20" t="n">
        <x:v>0.1</x:v>
      </x:c>
      <x:c r="K463" s="4" t="inlineStr">
        <x:is>
          <x:t xml:space="preserve">PayPal</x:t>
        </x:is>
      </x:c>
      <x:c r="L463" s="19" t="n">
        <x:v>203.4</x:v>
      </x:c>
      <x:c r="M463" s="19" t="n">
        <x:v>20.34</x:v>
      </x:c>
      <x:c r="N463" s="19" t="n">
        <x:v>183.06</x:v>
      </x:c>
      <x:c r="O463" s="4" t="n">
        <x:f>YEAR(C463)</x:f>
        <x:v>2025</x:v>
      </x:c>
      <x:c r="P463" s="4" t="str">
        <x:f>TEXT(C463,"yyyy-mm")</x:f>
        <x:v>2025-04</x:v>
      </x:c>
      <x:c r="Q463" s="4" t="str">
        <x:f>TEXT(C463,"mmmm")</x:f>
        <x:v>April</x:v>
      </x:c>
    </x:row>
    <x:row r="464" ht="20" customHeight="1">
      <x:c r="A464" s="4" t="inlineStr">
        <x:is>
          <x:t xml:space="preserve">LINE-00466</x:t>
        </x:is>
      </x:c>
      <x:c r="B464" s="4" t="inlineStr">
        <x:is>
          <x:t xml:space="preserve">ORD-2025-0294</x:t>
        </x:is>
      </x:c>
      <x:c r="C464" s="17" t="n">
        <x:v>45770</x:v>
      </x:c>
      <x:c r="D464" s="4" t="inlineStr">
        <x:is>
          <x:t xml:space="preserve">CUS-0295</x:t>
        </x:is>
      </x:c>
      <x:c r="E464" s="4" t="inlineStr">
        <x:is>
          <x:t xml:space="preserve">Wireless Mouse</x:t>
        </x:is>
      </x:c>
      <x:c r="F464" s="4" t="inlineStr">
        <x:is>
          <x:t xml:space="preserve">Accessories</x:t>
        </x:is>
      </x:c>
      <x:c r="G464" s="4" t="inlineStr">
        <x:is>
          <x:t xml:space="preserve">Seattle</x:t>
        </x:is>
      </x:c>
      <x:c r="H464" s="18" t="n">
        <x:v>4</x:v>
      </x:c>
      <x:c r="I464" s="19" t="n">
        <x:v>45.46</x:v>
      </x:c>
      <x:c r="J464" s="20" t="n">
        <x:v>0.05</x:v>
      </x:c>
      <x:c r="K464" s="4" t="inlineStr">
        <x:is>
          <x:t xml:space="preserve">PayPal</x:t>
        </x:is>
      </x:c>
      <x:c r="L464" s="19" t="n">
        <x:v>181.84</x:v>
      </x:c>
      <x:c r="M464" s="19" t="n">
        <x:v>9.09</x:v>
      </x:c>
      <x:c r="N464" s="19" t="n">
        <x:v>172.75</x:v>
      </x:c>
      <x:c r="O464" s="4" t="n">
        <x:f>YEAR(C464)</x:f>
        <x:v>2025</x:v>
      </x:c>
      <x:c r="P464" s="4" t="str">
        <x:f>TEXT(C464,"yyyy-mm")</x:f>
        <x:v>2025-04</x:v>
      </x:c>
      <x:c r="Q464" s="4" t="str">
        <x:f>TEXT(C464,"mmmm")</x:f>
        <x:v>April</x:v>
      </x:c>
    </x:row>
    <x:row r="465" ht="20" customHeight="1">
      <x:c r="A465" s="4" t="inlineStr">
        <x:is>
          <x:t xml:space="preserve">LINE-00467</x:t>
        </x:is>
      </x:c>
      <x:c r="B465" s="4" t="inlineStr">
        <x:is>
          <x:t xml:space="preserve">ORD-2025-0295</x:t>
        </x:is>
      </x:c>
      <x:c r="C465" s="17" t="n">
        <x:v>45754</x:v>
      </x:c>
      <x:c r="D465" s="4" t="inlineStr">
        <x:is>
          <x:t xml:space="preserve">CUS-0253</x:t>
        </x:is>
      </x:c>
      <x:c r="E465" s="4" t="inlineStr">
        <x:is>
          <x:t xml:space="preserve">Laptop</x:t>
        </x:is>
      </x:c>
      <x:c r="F465" s="4" t="inlineStr">
        <x:is>
          <x:t xml:space="preserve">Computers</x:t>
        </x:is>
      </x:c>
      <x:c r="G465" s="4" t="inlineStr">
        <x:is>
          <x:t xml:space="preserve">Boston</x:t>
        </x:is>
      </x:c>
      <x:c r="H465" s="18" t="n">
        <x:v>1</x:v>
      </x:c>
      <x:c r="I465" s="19" t="n">
        <x:v>909.36</x:v>
      </x:c>
      <x:c r="J465" s="20" t="n">
        <x:v>0</x:v>
      </x:c>
      <x:c r="K465" s="4" t="inlineStr">
        <x:is>
          <x:t xml:space="preserve">PayPal</x:t>
        </x:is>
      </x:c>
      <x:c r="L465" s="19" t="n">
        <x:v>909.36</x:v>
      </x:c>
      <x:c r="M465" s="19" t="n">
        <x:v>0</x:v>
      </x:c>
      <x:c r="N465" s="19" t="n">
        <x:v>909.36</x:v>
      </x:c>
      <x:c r="O465" s="4" t="n">
        <x:f>YEAR(C465)</x:f>
        <x:v>2025</x:v>
      </x:c>
      <x:c r="P465" s="4" t="str">
        <x:f>TEXT(C465,"yyyy-mm")</x:f>
        <x:v>2025-04</x:v>
      </x:c>
      <x:c r="Q465" s="4" t="str">
        <x:f>TEXT(C465,"mmmm")</x:f>
        <x:v>April</x:v>
      </x:c>
    </x:row>
    <x:row r="466" ht="20" customHeight="1">
      <x:c r="A466" s="4" t="inlineStr">
        <x:is>
          <x:t xml:space="preserve">LINE-00468</x:t>
        </x:is>
      </x:c>
      <x:c r="B466" s="4" t="inlineStr">
        <x:is>
          <x:t xml:space="preserve">ORD-2025-0296</x:t>
        </x:is>
      </x:c>
      <x:c r="C466" s="17" t="n">
        <x:v>45927</x:v>
      </x:c>
      <x:c r="D466" s="4" t="inlineStr">
        <x:is>
          <x:t xml:space="preserve">CUS-0245</x:t>
        </x:is>
      </x:c>
      <x:c r="E466" s="4" t="inlineStr">
        <x:is>
          <x:t xml:space="preserve">Wireless Mouse</x:t>
        </x:is>
      </x:c>
      <x:c r="F466" s="4" t="inlineStr">
        <x:is>
          <x:t xml:space="preserve">Accessories</x:t>
        </x:is>
      </x:c>
      <x:c r="G466" s="4" t="inlineStr">
        <x:is>
          <x:t xml:space="preserve">New York</x:t>
        </x:is>
      </x:c>
      <x:c r="H466" s="18" t="n">
        <x:v>3</x:v>
      </x:c>
      <x:c r="I466" s="19" t="n">
        <x:v>48.02</x:v>
      </x:c>
      <x:c r="J466" s="20" t="n">
        <x:v>0.1</x:v>
      </x:c>
      <x:c r="K466" s="4" t="inlineStr">
        <x:is>
          <x:t xml:space="preserve">PayPal</x:t>
        </x:is>
      </x:c>
      <x:c r="L466" s="19" t="n">
        <x:v>144.06</x:v>
      </x:c>
      <x:c r="M466" s="19" t="n">
        <x:v>14.41</x:v>
      </x:c>
      <x:c r="N466" s="19" t="n">
        <x:v>129.65</x:v>
      </x:c>
      <x:c r="O466" s="4" t="n">
        <x:f>YEAR(C466)</x:f>
        <x:v>2025</x:v>
      </x:c>
      <x:c r="P466" s="4" t="str">
        <x:f>TEXT(C466,"yyyy-mm")</x:f>
        <x:v>2025-09</x:v>
      </x:c>
      <x:c r="Q466" s="4" t="str">
        <x:f>TEXT(C466,"mmmm")</x:f>
        <x:v>September</x:v>
      </x:c>
    </x:row>
    <x:row r="467" ht="20" customHeight="1">
      <x:c r="A467" s="4" t="inlineStr">
        <x:is>
          <x:t xml:space="preserve">LINE-00469</x:t>
        </x:is>
      </x:c>
      <x:c r="B467" s="4" t="inlineStr">
        <x:is>
          <x:t xml:space="preserve">ORD-2025-0296</x:t>
        </x:is>
      </x:c>
      <x:c r="C467" s="17" t="n">
        <x:v>45927</x:v>
      </x:c>
      <x:c r="D467" s="4" t="inlineStr">
        <x:is>
          <x:t xml:space="preserve">CUS-0245</x:t>
        </x:is>
      </x:c>
      <x:c r="E467" s="4" t="inlineStr">
        <x:is>
          <x:t xml:space="preserve">Keyboard</x:t>
        </x:is>
      </x:c>
      <x:c r="F467" s="4" t="inlineStr">
        <x:is>
          <x:t xml:space="preserve">Accessories</x:t>
        </x:is>
      </x:c>
      <x:c r="G467" s="4" t="inlineStr">
        <x:is>
          <x:t xml:space="preserve">New York</x:t>
        </x:is>
      </x:c>
      <x:c r="H467" s="18" t="n">
        <x:v>1</x:v>
      </x:c>
      <x:c r="I467" s="19" t="n">
        <x:v>69.26000000000001</x:v>
      </x:c>
      <x:c r="J467" s="20" t="n">
        <x:v>0.05</x:v>
      </x:c>
      <x:c r="K467" s="4" t="inlineStr">
        <x:is>
          <x:t xml:space="preserve">PayPal</x:t>
        </x:is>
      </x:c>
      <x:c r="L467" s="19" t="n">
        <x:v>69.26000000000001</x:v>
      </x:c>
      <x:c r="M467" s="19" t="n">
        <x:v>3.46</x:v>
      </x:c>
      <x:c r="N467" s="19" t="n">
        <x:v>65.8</x:v>
      </x:c>
      <x:c r="O467" s="4" t="n">
        <x:f>YEAR(C467)</x:f>
        <x:v>2025</x:v>
      </x:c>
      <x:c r="P467" s="4" t="str">
        <x:f>TEXT(C467,"yyyy-mm")</x:f>
        <x:v>2025-09</x:v>
      </x:c>
      <x:c r="Q467" s="4" t="str">
        <x:f>TEXT(C467,"mmmm")</x:f>
        <x:v>September</x:v>
      </x:c>
    </x:row>
    <x:row r="468" ht="20" customHeight="1">
      <x:c r="A468" s="4" t="inlineStr">
        <x:is>
          <x:t xml:space="preserve">LINE-00470</x:t>
        </x:is>
      </x:c>
      <x:c r="B468" s="4" t="inlineStr">
        <x:is>
          <x:t xml:space="preserve">ORD-2025-0296</x:t>
        </x:is>
      </x:c>
      <x:c r="C468" s="17" t="n">
        <x:v>45927</x:v>
      </x:c>
      <x:c r="D468" s="4" t="inlineStr">
        <x:is>
          <x:t xml:space="preserve">CUS-0245</x:t>
        </x:is>
      </x:c>
      <x:c r="E468" s="4" t="inlineStr">
        <x:is>
          <x:t xml:space="preserve">Webcam</x:t>
        </x:is>
      </x:c>
      <x:c r="F468" s="4" t="inlineStr">
        <x:is>
          <x:t xml:space="preserve">Accessories</x:t>
        </x:is>
      </x:c>
      <x:c r="G468" s="4" t="inlineStr">
        <x:is>
          <x:t xml:space="preserve">New York</x:t>
        </x:is>
      </x:c>
      <x:c r="H468" s="18" t="n">
        <x:v>4</x:v>
      </x:c>
      <x:c r="I468" s="19" t="n">
        <x:v>93.95</x:v>
      </x:c>
      <x:c r="J468" s="20" t="n">
        <x:v>0.1</x:v>
      </x:c>
      <x:c r="K468" s="4" t="inlineStr">
        <x:is>
          <x:t xml:space="preserve">PayPal</x:t>
        </x:is>
      </x:c>
      <x:c r="L468" s="19" t="n">
        <x:v>375.8</x:v>
      </x:c>
      <x:c r="M468" s="19" t="n">
        <x:v>37.58</x:v>
      </x:c>
      <x:c r="N468" s="19" t="n">
        <x:v>338.22</x:v>
      </x:c>
      <x:c r="O468" s="4" t="n">
        <x:f>YEAR(C468)</x:f>
        <x:v>2025</x:v>
      </x:c>
      <x:c r="P468" s="4" t="str">
        <x:f>TEXT(C468,"yyyy-mm")</x:f>
        <x:v>2025-09</x:v>
      </x:c>
      <x:c r="Q468" s="4" t="str">
        <x:f>TEXT(C468,"mmmm")</x:f>
        <x:v>September</x:v>
      </x:c>
    </x:row>
    <x:row r="469" ht="20" customHeight="1">
      <x:c r="A469" s="4" t="inlineStr">
        <x:is>
          <x:t xml:space="preserve">LINE-00471</x:t>
        </x:is>
      </x:c>
      <x:c r="B469" s="4" t="inlineStr">
        <x:is>
          <x:t xml:space="preserve">ORD-2025-0297</x:t>
        </x:is>
      </x:c>
      <x:c r="C469" s="17" t="n">
        <x:v>45844</x:v>
      </x:c>
      <x:c r="D469" s="4" t="inlineStr">
        <x:is>
          <x:t xml:space="preserve">CUS-0038</x:t>
        </x:is>
      </x:c>
      <x:c r="E469" s="4" t="inlineStr">
        <x:is>
          <x:t xml:space="preserve">Webcam</x:t>
        </x:is>
      </x:c>
      <x:c r="F469" s="4" t="inlineStr">
        <x:is>
          <x:t xml:space="preserve">Accessories</x:t>
        </x:is>
      </x:c>
      <x:c r="G469" s="4" t="inlineStr">
        <x:is>
          <x:t xml:space="preserve">Austin</x:t>
        </x:is>
      </x:c>
      <x:c r="H469" s="18" t="n">
        <x:v>1</x:v>
      </x:c>
      <x:c r="I469" s="19" t="n">
        <x:v>96.84999999999999</x:v>
      </x:c>
      <x:c r="J469" s="20" t="n">
        <x:v>0.1</x:v>
      </x:c>
      <x:c r="K469" s="4" t="inlineStr">
        <x:is>
          <x:t xml:space="preserve">Bank Transfer</x:t>
        </x:is>
      </x:c>
      <x:c r="L469" s="19" t="n">
        <x:v>96.84999999999999</x:v>
      </x:c>
      <x:c r="M469" s="19" t="n">
        <x:v>9.68</x:v>
      </x:c>
      <x:c r="N469" s="19" t="n">
        <x:v>87.17</x:v>
      </x:c>
      <x:c r="O469" s="4" t="n">
        <x:f>YEAR(C469)</x:f>
        <x:v>2025</x:v>
      </x:c>
      <x:c r="P469" s="4" t="str">
        <x:f>TEXT(C469,"yyyy-mm")</x:f>
        <x:v>2025-07</x:v>
      </x:c>
      <x:c r="Q469" s="4" t="str">
        <x:f>TEXT(C469,"mmmm")</x:f>
        <x:v>July</x:v>
      </x:c>
    </x:row>
    <x:row r="470" ht="20" customHeight="1">
      <x:c r="A470" s="4" t="inlineStr">
        <x:is>
          <x:t xml:space="preserve">LINE-00472</x:t>
        </x:is>
      </x:c>
      <x:c r="B470" s="4" t="inlineStr">
        <x:is>
          <x:t xml:space="preserve">ORD-2025-0297</x:t>
        </x:is>
      </x:c>
      <x:c r="C470" s="17" t="n">
        <x:v>45844</x:v>
      </x:c>
      <x:c r="D470" s="4" t="inlineStr">
        <x:is>
          <x:t xml:space="preserve">CUS-0038</x:t>
        </x:is>
      </x:c>
      <x:c r="E470" s="4" t="inlineStr">
        <x:is>
          <x:t xml:space="preserve">USB-C Hub</x:t>
        </x:is>
      </x:c>
      <x:c r="F470" s="4" t="inlineStr">
        <x:is>
          <x:t xml:space="preserve">Accessories</x:t>
        </x:is>
      </x:c>
      <x:c r="G470" s="4" t="inlineStr">
        <x:is>
          <x:t xml:space="preserve">Austin</x:t>
        </x:is>
      </x:c>
      <x:c r="H470" s="18" t="n">
        <x:v>2</x:v>
      </x:c>
      <x:c r="I470" s="19" t="n">
        <x:v>66.45</x:v>
      </x:c>
      <x:c r="J470" s="20" t="n">
        <x:v>0.05</x:v>
      </x:c>
      <x:c r="K470" s="4" t="inlineStr">
        <x:is>
          <x:t xml:space="preserve">Bank Transfer</x:t>
        </x:is>
      </x:c>
      <x:c r="L470" s="19" t="n">
        <x:v>132.9</x:v>
      </x:c>
      <x:c r="M470" s="19" t="n">
        <x:v>6.64</x:v>
      </x:c>
      <x:c r="N470" s="19" t="n">
        <x:v>126.26</x:v>
      </x:c>
      <x:c r="O470" s="4" t="n">
        <x:f>YEAR(C470)</x:f>
        <x:v>2025</x:v>
      </x:c>
      <x:c r="P470" s="4" t="str">
        <x:f>TEXT(C470,"yyyy-mm")</x:f>
        <x:v>2025-07</x:v>
      </x:c>
      <x:c r="Q470" s="4" t="str">
        <x:f>TEXT(C470,"mmmm")</x:f>
        <x:v>July</x:v>
      </x:c>
    </x:row>
    <x:row r="471" ht="20" customHeight="1">
      <x:c r="A471" s="4" t="inlineStr">
        <x:is>
          <x:t xml:space="preserve">LINE-00473</x:t>
        </x:is>
      </x:c>
      <x:c r="B471" s="4" t="inlineStr">
        <x:is>
          <x:t xml:space="preserve">ORD-2025-0298</x:t>
        </x:is>
      </x:c>
      <x:c r="C471" s="17" t="n">
        <x:v>45820</x:v>
      </x:c>
      <x:c r="D471" s="4" t="inlineStr">
        <x:is>
          <x:t xml:space="preserve">CUS-0090</x:t>
        </x:is>
      </x:c>
      <x:c r="E471" s="4" t="inlineStr">
        <x:is>
          <x:t xml:space="preserve">USB Flash Drive</x:t>
        </x:is>
      </x:c>
      <x:c r="F471" s="4" t="inlineStr">
        <x:is>
          <x:t xml:space="preserve">Storage</x:t>
        </x:is>
      </x:c>
      <x:c r="G471" s="4" t="inlineStr">
        <x:is>
          <x:t xml:space="preserve">San Francisco</x:t>
        </x:is>
      </x:c>
      <x:c r="H471" s="18" t="n">
        <x:v>3</x:v>
      </x:c>
      <x:c r="I471" s="19" t="n">
        <x:v>29.42</x:v>
      </x:c>
      <x:c r="J471" s="20" t="n">
        <x:v>0.1</x:v>
      </x:c>
      <x:c r="K471" s="4" t="inlineStr">
        <x:is>
          <x:t xml:space="preserve">PayPal</x:t>
        </x:is>
      </x:c>
      <x:c r="L471" s="19" t="n">
        <x:v>88.26000000000001</x:v>
      </x:c>
      <x:c r="M471" s="19" t="n">
        <x:v>8.83</x:v>
      </x:c>
      <x:c r="N471" s="19" t="n">
        <x:v>79.43000000000001</x:v>
      </x:c>
      <x:c r="O471" s="4" t="n">
        <x:f>YEAR(C471)</x:f>
        <x:v>2025</x:v>
      </x:c>
      <x:c r="P471" s="4" t="str">
        <x:f>TEXT(C471,"yyyy-mm")</x:f>
        <x:v>2025-06</x:v>
      </x:c>
      <x:c r="Q471" s="4" t="str">
        <x:f>TEXT(C471,"mmmm")</x:f>
        <x:v>June</x:v>
      </x:c>
    </x:row>
    <x:row r="472" ht="20" customHeight="1">
      <x:c r="A472" s="4" t="inlineStr">
        <x:is>
          <x:t xml:space="preserve">LINE-00474</x:t>
        </x:is>
      </x:c>
      <x:c r="B472" s="4" t="inlineStr">
        <x:is>
          <x:t xml:space="preserve">ORD-2025-0299</x:t>
        </x:is>
      </x:c>
      <x:c r="C472" s="17" t="n">
        <x:v>45808</x:v>
      </x:c>
      <x:c r="D472" s="4" t="inlineStr">
        <x:is>
          <x:t xml:space="preserve">CUS-0066</x:t>
        </x:is>
      </x:c>
      <x:c r="E472" s="4" t="inlineStr">
        <x:is>
          <x:t xml:space="preserve">USB Flash Drive</x:t>
        </x:is>
      </x:c>
      <x:c r="F472" s="4" t="inlineStr">
        <x:is>
          <x:t xml:space="preserve">Storage</x:t>
        </x:is>
      </x:c>
      <x:c r="G472" s="4" t="inlineStr">
        <x:is>
          <x:t xml:space="preserve">Chicago</x:t>
        </x:is>
      </x:c>
      <x:c r="H472" s="18" t="n">
        <x:v>1</x:v>
      </x:c>
      <x:c r="I472" s="19" t="n">
        <x:v>30.49</x:v>
      </x:c>
      <x:c r="J472" s="20" t="n">
        <x:v>0.15</x:v>
      </x:c>
      <x:c r="K472" s="4" t="inlineStr">
        <x:is>
          <x:t xml:space="preserve">Credit Card</x:t>
        </x:is>
      </x:c>
      <x:c r="L472" s="19" t="n">
        <x:v>30.49</x:v>
      </x:c>
      <x:c r="M472" s="19" t="n">
        <x:v>4.57</x:v>
      </x:c>
      <x:c r="N472" s="19" t="n">
        <x:v>25.92</x:v>
      </x:c>
      <x:c r="O472" s="4" t="n">
        <x:f>YEAR(C472)</x:f>
        <x:v>2025</x:v>
      </x:c>
      <x:c r="P472" s="4" t="str">
        <x:f>TEXT(C472,"yyyy-mm")</x:f>
        <x:v>2025-05</x:v>
      </x:c>
      <x:c r="Q472" s="4" t="str">
        <x:f>TEXT(C472,"mmmm")</x:f>
        <x:v>May</x:v>
      </x:c>
    </x:row>
    <x:row r="473" ht="20" customHeight="1">
      <x:c r="A473" s="4" t="inlineStr">
        <x:is>
          <x:t xml:space="preserve">LINE-00475</x:t>
        </x:is>
      </x:c>
      <x:c r="B473" s="4" t="inlineStr">
        <x:is>
          <x:t xml:space="preserve">ORD-2025-0299</x:t>
        </x:is>
      </x:c>
      <x:c r="C473" s="17" t="n">
        <x:v>45808</x:v>
      </x:c>
      <x:c r="D473" s="4" t="inlineStr">
        <x:is>
          <x:t xml:space="preserve">CUS-0066</x:t>
        </x:is>
      </x:c>
      <x:c r="E473" s="4" t="inlineStr">
        <x:is>
          <x:t xml:space="preserve">Headphones</x:t>
        </x:is>
      </x:c>
      <x:c r="F473" s="4" t="inlineStr">
        <x:is>
          <x:t xml:space="preserve">Audio</x:t>
        </x:is>
      </x:c>
      <x:c r="G473" s="4" t="inlineStr">
        <x:is>
          <x:t xml:space="preserve">Chicago</x:t>
        </x:is>
      </x:c>
      <x:c r="H473" s="18" t="n">
        <x:v>5</x:v>
      </x:c>
      <x:c r="I473" s="19" t="n">
        <x:v>124.19</x:v>
      </x:c>
      <x:c r="J473" s="20" t="n">
        <x:v>0.05</x:v>
      </x:c>
      <x:c r="K473" s="4" t="inlineStr">
        <x:is>
          <x:t xml:space="preserve">Credit Card</x:t>
        </x:is>
      </x:c>
      <x:c r="L473" s="19" t="n">
        <x:v>620.95</x:v>
      </x:c>
      <x:c r="M473" s="19" t="n">
        <x:v>31.05</x:v>
      </x:c>
      <x:c r="N473" s="19" t="n">
        <x:v>589.9</x:v>
      </x:c>
      <x:c r="O473" s="4" t="n">
        <x:f>YEAR(C473)</x:f>
        <x:v>2025</x:v>
      </x:c>
      <x:c r="P473" s="4" t="str">
        <x:f>TEXT(C473,"yyyy-mm")</x:f>
        <x:v>2025-05</x:v>
      </x:c>
      <x:c r="Q473" s="4" t="str">
        <x:f>TEXT(C473,"mmmm")</x:f>
        <x:v>May</x:v>
      </x:c>
    </x:row>
    <x:row r="474" ht="20" customHeight="1">
      <x:c r="A474" s="4" t="inlineStr">
        <x:is>
          <x:t xml:space="preserve">LINE-00476</x:t>
        </x:is>
      </x:c>
      <x:c r="B474" s="4" t="inlineStr">
        <x:is>
          <x:t xml:space="preserve">ORD-2025-0299</x:t>
        </x:is>
      </x:c>
      <x:c r="C474" s="17" t="n">
        <x:v>45808</x:v>
      </x:c>
      <x:c r="D474" s="4" t="inlineStr">
        <x:is>
          <x:t xml:space="preserve">CUS-0066</x:t>
        </x:is>
      </x:c>
      <x:c r="E474" s="4" t="inlineStr">
        <x:is>
          <x:t xml:space="preserve">Desk Lamp</x:t>
        </x:is>
      </x:c>
      <x:c r="F474" s="4" t="inlineStr">
        <x:is>
          <x:t xml:space="preserve">Furniture</x:t>
        </x:is>
      </x:c>
      <x:c r="G474" s="4" t="inlineStr">
        <x:is>
          <x:t xml:space="preserve">Chicago</x:t>
        </x:is>
      </x:c>
      <x:c r="H474" s="18" t="n">
        <x:v>4</x:v>
      </x:c>
      <x:c r="I474" s="19" t="n">
        <x:v>51.84</x:v>
      </x:c>
      <x:c r="J474" s="20" t="n">
        <x:v>0.1</x:v>
      </x:c>
      <x:c r="K474" s="4" t="inlineStr">
        <x:is>
          <x:t xml:space="preserve">Credit Card</x:t>
        </x:is>
      </x:c>
      <x:c r="L474" s="19" t="n">
        <x:v>207.36</x:v>
      </x:c>
      <x:c r="M474" s="19" t="n">
        <x:v>20.74</x:v>
      </x:c>
      <x:c r="N474" s="19" t="n">
        <x:v>186.62</x:v>
      </x:c>
      <x:c r="O474" s="4" t="n">
        <x:f>YEAR(C474)</x:f>
        <x:v>2025</x:v>
      </x:c>
      <x:c r="P474" s="4" t="str">
        <x:f>TEXT(C474,"yyyy-mm")</x:f>
        <x:v>2025-05</x:v>
      </x:c>
      <x:c r="Q474" s="4" t="str">
        <x:f>TEXT(C474,"mmmm")</x:f>
        <x:v>May</x:v>
      </x:c>
    </x:row>
    <x:row r="475" ht="20" customHeight="1">
      <x:c r="A475" s="4" t="inlineStr">
        <x:is>
          <x:t xml:space="preserve">LINE-00477</x:t>
        </x:is>
      </x:c>
      <x:c r="B475" s="4" t="inlineStr">
        <x:is>
          <x:t xml:space="preserve">ORD-2025-0300</x:t>
        </x:is>
      </x:c>
      <x:c r="C475" s="17" t="n">
        <x:v>45779</x:v>
      </x:c>
      <x:c r="D475" s="4" t="inlineStr">
        <x:is>
          <x:t xml:space="preserve">CUS-0178</x:t>
        </x:is>
      </x:c>
      <x:c r="E475" s="4" t="inlineStr">
        <x:is>
          <x:t xml:space="preserve">Monitor</x:t>
        </x:is>
      </x:c>
      <x:c r="F475" s="4" t="inlineStr">
        <x:is>
          <x:t xml:space="preserve">Computers</x:t>
        </x:is>
      </x:c>
      <x:c r="G475" s="4" t="inlineStr">
        <x:is>
          <x:t xml:space="preserve">Austin</x:t>
        </x:is>
      </x:c>
      <x:c r="H475" s="18" t="n">
        <x:v>2</x:v>
      </x:c>
      <x:c r="I475" s="19" t="n">
        <x:v>297.32</x:v>
      </x:c>
      <x:c r="J475" s="20" t="n">
        <x:v>0</x:v>
      </x:c>
      <x:c r="K475" s="4" t="inlineStr">
        <x:is>
          <x:t xml:space="preserve">Debit Card</x:t>
        </x:is>
      </x:c>
      <x:c r="L475" s="19" t="n">
        <x:v>594.64</x:v>
      </x:c>
      <x:c r="M475" s="19" t="n">
        <x:v>0</x:v>
      </x:c>
      <x:c r="N475" s="19" t="n">
        <x:v>594.64</x:v>
      </x:c>
      <x:c r="O475" s="4" t="n">
        <x:f>YEAR(C475)</x:f>
        <x:v>2025</x:v>
      </x:c>
      <x:c r="P475" s="4" t="str">
        <x:f>TEXT(C475,"yyyy-mm")</x:f>
        <x:v>2025-05</x:v>
      </x:c>
      <x:c r="Q475" s="4" t="str">
        <x:f>TEXT(C475,"mmmm")</x:f>
        <x:v>May</x:v>
      </x:c>
    </x:row>
    <x:row r="476" ht="20" customHeight="1">
      <x:c r="A476" s="4" t="inlineStr">
        <x:is>
          <x:t xml:space="preserve">LINE-00478</x:t>
        </x:is>
      </x:c>
      <x:c r="B476" s="4" t="inlineStr">
        <x:is>
          <x:t xml:space="preserve">ORD-2025-0300</x:t>
        </x:is>
      </x:c>
      <x:c r="C476" s="17" t="n">
        <x:v>45779</x:v>
      </x:c>
      <x:c r="D476" s="4" t="inlineStr">
        <x:is>
          <x:t xml:space="preserve">CUS-0178</x:t>
        </x:is>
      </x:c>
      <x:c r="E476" s="4" t="inlineStr">
        <x:is>
          <x:t xml:space="preserve">Office Chair</x:t>
        </x:is>
      </x:c>
      <x:c r="F476" s="4" t="inlineStr">
        <x:is>
          <x:t xml:space="preserve">Furniture</x:t>
        </x:is>
      </x:c>
      <x:c r="G476" s="4" t="inlineStr">
        <x:is>
          <x:t xml:space="preserve">Austin</x:t>
        </x:is>
      </x:c>
      <x:c r="H476" s="18" t="n">
        <x:v>1</x:v>
      </x:c>
      <x:c r="I476" s="19" t="n">
        <x:v>230.38</x:v>
      </x:c>
      <x:c r="J476" s="20" t="n">
        <x:v>0</x:v>
      </x:c>
      <x:c r="K476" s="4" t="inlineStr">
        <x:is>
          <x:t xml:space="preserve">Debit Card</x:t>
        </x:is>
      </x:c>
      <x:c r="L476" s="19" t="n">
        <x:v>230.38</x:v>
      </x:c>
      <x:c r="M476" s="19" t="n">
        <x:v>0</x:v>
      </x:c>
      <x:c r="N476" s="19" t="n">
        <x:v>230.38</x:v>
      </x:c>
      <x:c r="O476" s="4" t="n">
        <x:f>YEAR(C476)</x:f>
        <x:v>2025</x:v>
      </x:c>
      <x:c r="P476" s="4" t="str">
        <x:f>TEXT(C476,"yyyy-mm")</x:f>
        <x:v>2025-05</x:v>
      </x:c>
      <x:c r="Q476" s="4" t="str">
        <x:f>TEXT(C476,"mmmm")</x:f>
        <x:v>May</x:v>
      </x:c>
    </x:row>
    <x:row r="477" ht="20" customHeight="1">
      <x:c r="A477" s="4" t="inlineStr">
        <x:is>
          <x:t xml:space="preserve">LINE-00479</x:t>
        </x:is>
      </x:c>
      <x:c r="B477" s="4" t="inlineStr">
        <x:is>
          <x:t xml:space="preserve">ORD-2025-0301</x:t>
        </x:is>
      </x:c>
      <x:c r="C477" s="17" t="n">
        <x:v>45789</x:v>
      </x:c>
      <x:c r="D477" s="4" t="inlineStr">
        <x:is>
          <x:t xml:space="preserve">CUS-0056</x:t>
        </x:is>
      </x:c>
      <x:c r="E477" s="4" t="inlineStr">
        <x:is>
          <x:t xml:space="preserve">Bluetooth Speaker</x:t>
        </x:is>
      </x:c>
      <x:c r="F477" s="4" t="inlineStr">
        <x:is>
          <x:t xml:space="preserve">Audio</x:t>
        </x:is>
      </x:c>
      <x:c r="G477" s="4" t="inlineStr">
        <x:is>
          <x:t xml:space="preserve">San Francisco</x:t>
        </x:is>
      </x:c>
      <x:c r="H477" s="18" t="n">
        <x:v>3</x:v>
      </x:c>
      <x:c r="I477" s="19" t="n">
        <x:v>118.26</x:v>
      </x:c>
      <x:c r="J477" s="20" t="n">
        <x:v>0.15</x:v>
      </x:c>
      <x:c r="K477" s="4" t="inlineStr">
        <x:is>
          <x:t xml:space="preserve">Credit Card</x:t>
        </x:is>
      </x:c>
      <x:c r="L477" s="19" t="n">
        <x:v>354.78</x:v>
      </x:c>
      <x:c r="M477" s="19" t="n">
        <x:v>53.22</x:v>
      </x:c>
      <x:c r="N477" s="19" t="n">
        <x:v>301.56</x:v>
      </x:c>
      <x:c r="O477" s="4" t="n">
        <x:f>YEAR(C477)</x:f>
        <x:v>2025</x:v>
      </x:c>
      <x:c r="P477" s="4" t="str">
        <x:f>TEXT(C477,"yyyy-mm")</x:f>
        <x:v>2025-05</x:v>
      </x:c>
      <x:c r="Q477" s="4" t="str">
        <x:f>TEXT(C477,"mmmm")</x:f>
        <x:v>May</x:v>
      </x:c>
    </x:row>
    <x:row r="478" ht="20" customHeight="1">
      <x:c r="A478" s="4" t="inlineStr">
        <x:is>
          <x:t xml:space="preserve">LINE-00480</x:t>
        </x:is>
      </x:c>
      <x:c r="B478" s="4" t="inlineStr">
        <x:is>
          <x:t xml:space="preserve">ORD-2025-0302</x:t>
        </x:is>
      </x:c>
      <x:c r="C478" s="17" t="n">
        <x:v>45910</x:v>
      </x:c>
      <x:c r="D478" s="4" t="inlineStr">
        <x:is>
          <x:t xml:space="preserve">CUS-0194</x:t>
        </x:is>
      </x:c>
      <x:c r="E478" s="4" t="inlineStr">
        <x:is>
          <x:t xml:space="preserve">Bluetooth Speaker</x:t>
        </x:is>
      </x:c>
      <x:c r="F478" s="4" t="inlineStr">
        <x:is>
          <x:t xml:space="preserve">Audio</x:t>
        </x:is>
      </x:c>
      <x:c r="G478" s="4" t="inlineStr">
        <x:is>
          <x:t xml:space="preserve">Austin</x:t>
        </x:is>
      </x:c>
      <x:c r="H478" s="18" t="n">
        <x:v>3</x:v>
      </x:c>
      <x:c r="I478" s="19" t="n">
        <x:v>111.37</x:v>
      </x:c>
      <x:c r="J478" s="20" t="n">
        <x:v>0.1</x:v>
      </x:c>
      <x:c r="K478" s="4" t="inlineStr">
        <x:is>
          <x:t xml:space="preserve">Bank Transfer</x:t>
        </x:is>
      </x:c>
      <x:c r="L478" s="19" t="n">
        <x:v>334.11</x:v>
      </x:c>
      <x:c r="M478" s="19" t="n">
        <x:v>33.41</x:v>
      </x:c>
      <x:c r="N478" s="19" t="n">
        <x:v>300.7</x:v>
      </x:c>
      <x:c r="O478" s="4" t="n">
        <x:f>YEAR(C478)</x:f>
        <x:v>2025</x:v>
      </x:c>
      <x:c r="P478" s="4" t="str">
        <x:f>TEXT(C478,"yyyy-mm")</x:f>
        <x:v>2025-09</x:v>
      </x:c>
      <x:c r="Q478" s="4" t="str">
        <x:f>TEXT(C478,"mmmm")</x:f>
        <x:v>September</x:v>
      </x:c>
    </x:row>
    <x:row r="479" ht="20" customHeight="1">
      <x:c r="A479" s="4" t="inlineStr">
        <x:is>
          <x:t xml:space="preserve">LINE-00481</x:t>
        </x:is>
      </x:c>
      <x:c r="B479" s="4" t="inlineStr">
        <x:is>
          <x:t xml:space="preserve">ORD-2025-0303</x:t>
        </x:is>
      </x:c>
      <x:c r="C479" s="17" t="n">
        <x:v>45773</x:v>
      </x:c>
      <x:c r="D479" s="4" t="inlineStr">
        <x:is>
          <x:t xml:space="preserve">CUS-0084</x:t>
        </x:is>
      </x:c>
      <x:c r="E479" s="4" t="inlineStr">
        <x:is>
          <x:t xml:space="preserve">Laptop</x:t>
        </x:is>
      </x:c>
      <x:c r="F479" s="4" t="inlineStr">
        <x:is>
          <x:t xml:space="preserve">Computers</x:t>
        </x:is>
      </x:c>
      <x:c r="G479" s="4" t="inlineStr">
        <x:is>
          <x:t xml:space="preserve">Seattle</x:t>
        </x:is>
      </x:c>
      <x:c r="H479" s="18" t="n">
        <x:v>1</x:v>
      </x:c>
      <x:c r="I479" s="19" t="n">
        <x:v>913.6900000000001</x:v>
      </x:c>
      <x:c r="J479" s="20" t="n">
        <x:v>0</x:v>
      </x:c>
      <x:c r="K479" s="4" t="inlineStr">
        <x:is>
          <x:t xml:space="preserve">Credit Card</x:t>
        </x:is>
      </x:c>
      <x:c r="L479" s="19" t="n">
        <x:v>913.6900000000001</x:v>
      </x:c>
      <x:c r="M479" s="19" t="n">
        <x:v>0</x:v>
      </x:c>
      <x:c r="N479" s="19" t="n">
        <x:v>913.6900000000001</x:v>
      </x:c>
      <x:c r="O479" s="4" t="n">
        <x:f>YEAR(C479)</x:f>
        <x:v>2025</x:v>
      </x:c>
      <x:c r="P479" s="4" t="str">
        <x:f>TEXT(C479,"yyyy-mm")</x:f>
        <x:v>2025-04</x:v>
      </x:c>
      <x:c r="Q479" s="4" t="str">
        <x:f>TEXT(C479,"mmmm")</x:f>
        <x:v>April</x:v>
      </x:c>
    </x:row>
    <x:row r="480" ht="20" customHeight="1">
      <x:c r="A480" s="4" t="inlineStr">
        <x:is>
          <x:t xml:space="preserve">LINE-00482</x:t>
        </x:is>
      </x:c>
      <x:c r="B480" s="4" t="inlineStr">
        <x:is>
          <x:t xml:space="preserve">ORD-2025-0303</x:t>
        </x:is>
      </x:c>
      <x:c r="C480" s="17" t="n">
        <x:v>45773</x:v>
      </x:c>
      <x:c r="D480" s="4" t="inlineStr">
        <x:is>
          <x:t xml:space="preserve">CUS-0084</x:t>
        </x:is>
      </x:c>
      <x:c r="E480" s="4" t="inlineStr">
        <x:is>
          <x:t xml:space="preserve">USB-C Hub</x:t>
        </x:is>
      </x:c>
      <x:c r="F480" s="4" t="inlineStr">
        <x:is>
          <x:t xml:space="preserve">Accessories</x:t>
        </x:is>
      </x:c>
      <x:c r="G480" s="4" t="inlineStr">
        <x:is>
          <x:t xml:space="preserve">Seattle</x:t>
        </x:is>
      </x:c>
      <x:c r="H480" s="18" t="n">
        <x:v>1</x:v>
      </x:c>
      <x:c r="I480" s="19" t="n">
        <x:v>69.03</x:v>
      </x:c>
      <x:c r="J480" s="20" t="n">
        <x:v>0</x:v>
      </x:c>
      <x:c r="K480" s="4" t="inlineStr">
        <x:is>
          <x:t xml:space="preserve">Credit Card</x:t>
        </x:is>
      </x:c>
      <x:c r="L480" s="19" t="n">
        <x:v>69.03</x:v>
      </x:c>
      <x:c r="M480" s="19" t="n">
        <x:v>0</x:v>
      </x:c>
      <x:c r="N480" s="19" t="n">
        <x:v>69.03</x:v>
      </x:c>
      <x:c r="O480" s="4" t="n">
        <x:f>YEAR(C480)</x:f>
        <x:v>2025</x:v>
      </x:c>
      <x:c r="P480" s="4" t="str">
        <x:f>TEXT(C480,"yyyy-mm")</x:f>
        <x:v>2025-04</x:v>
      </x:c>
      <x:c r="Q480" s="4" t="str">
        <x:f>TEXT(C480,"mmmm")</x:f>
        <x:v>April</x:v>
      </x:c>
    </x:row>
    <x:row r="481" ht="20" customHeight="1">
      <x:c r="A481" s="4" t="inlineStr">
        <x:is>
          <x:t xml:space="preserve">LINE-00483</x:t>
        </x:is>
      </x:c>
      <x:c r="B481" s="4" t="inlineStr">
        <x:is>
          <x:t xml:space="preserve">ORD-2025-0304</x:t>
        </x:is>
      </x:c>
      <x:c r="C481" s="17" t="n">
        <x:v>45696</x:v>
      </x:c>
      <x:c r="D481" s="4" t="inlineStr">
        <x:is>
          <x:t xml:space="preserve">CUS-0281</x:t>
        </x:is>
      </x:c>
      <x:c r="E481" s="4" t="inlineStr">
        <x:is>
          <x:t xml:space="preserve">USB Flash Drive</x:t>
        </x:is>
      </x:c>
      <x:c r="F481" s="4" t="inlineStr">
        <x:is>
          <x:t xml:space="preserve">Storage</x:t>
        </x:is>
      </x:c>
      <x:c r="G481" s="4" t="inlineStr">
        <x:is>
          <x:t xml:space="preserve">New York</x:t>
        </x:is>
      </x:c>
      <x:c r="H481" s="18" t="n">
        <x:v>3</x:v>
      </x:c>
      <x:c r="I481" s="19" t="n">
        <x:v>29.67</x:v>
      </x:c>
      <x:c r="J481" s="20" t="n">
        <x:v>0.05</x:v>
      </x:c>
      <x:c r="K481" s="4" t="inlineStr">
        <x:is>
          <x:t xml:space="preserve">PayPal</x:t>
        </x:is>
      </x:c>
      <x:c r="L481" s="19" t="n">
        <x:v>89.01000000000001</x:v>
      </x:c>
      <x:c r="M481" s="19" t="n">
        <x:v>4.45</x:v>
      </x:c>
      <x:c r="N481" s="19" t="n">
        <x:v>84.56</x:v>
      </x:c>
      <x:c r="O481" s="4" t="n">
        <x:f>YEAR(C481)</x:f>
        <x:v>2025</x:v>
      </x:c>
      <x:c r="P481" s="4" t="str">
        <x:f>TEXT(C481,"yyyy-mm")</x:f>
        <x:v>2025-02</x:v>
      </x:c>
      <x:c r="Q481" s="4" t="str">
        <x:f>TEXT(C481,"mmmm")</x:f>
        <x:v>February</x:v>
      </x:c>
    </x:row>
    <x:row r="482" ht="20" customHeight="1">
      <x:c r="A482" s="4" t="inlineStr">
        <x:is>
          <x:t xml:space="preserve">LINE-00484</x:t>
        </x:is>
      </x:c>
      <x:c r="B482" s="4" t="inlineStr">
        <x:is>
          <x:t xml:space="preserve">ORD-2025-0304</x:t>
        </x:is>
      </x:c>
      <x:c r="C482" s="17" t="n">
        <x:v>45696</x:v>
      </x:c>
      <x:c r="D482" s="4" t="inlineStr">
        <x:is>
          <x:t xml:space="preserve">CUS-0281</x:t>
        </x:is>
      </x:c>
      <x:c r="E482" s="4" t="inlineStr">
        <x:is>
          <x:t xml:space="preserve">Bluetooth Speaker</x:t>
        </x:is>
      </x:c>
      <x:c r="F482" s="4" t="inlineStr">
        <x:is>
          <x:t xml:space="preserve">Audio</x:t>
        </x:is>
      </x:c>
      <x:c r="G482" s="4" t="inlineStr">
        <x:is>
          <x:t xml:space="preserve">New York</x:t>
        </x:is>
      </x:c>
      <x:c r="H482" s="18" t="n">
        <x:v>2</x:v>
      </x:c>
      <x:c r="I482" s="19" t="n">
        <x:v>108.84</x:v>
      </x:c>
      <x:c r="J482" s="20" t="n">
        <x:v>0</x:v>
      </x:c>
      <x:c r="K482" s="4" t="inlineStr">
        <x:is>
          <x:t xml:space="preserve">PayPal</x:t>
        </x:is>
      </x:c>
      <x:c r="L482" s="19" t="n">
        <x:v>217.68</x:v>
      </x:c>
      <x:c r="M482" s="19" t="n">
        <x:v>0</x:v>
      </x:c>
      <x:c r="N482" s="19" t="n">
        <x:v>217.68</x:v>
      </x:c>
      <x:c r="O482" s="4" t="n">
        <x:f>YEAR(C482)</x:f>
        <x:v>2025</x:v>
      </x:c>
      <x:c r="P482" s="4" t="str">
        <x:f>TEXT(C482,"yyyy-mm")</x:f>
        <x:v>2025-02</x:v>
      </x:c>
      <x:c r="Q482" s="4" t="str">
        <x:f>TEXT(C482,"mmmm")</x:f>
        <x:v>February</x:v>
      </x:c>
    </x:row>
    <x:row r="483" ht="20" customHeight="1">
      <x:c r="A483" s="4" t="inlineStr">
        <x:is>
          <x:t xml:space="preserve">LINE-00485</x:t>
        </x:is>
      </x:c>
      <x:c r="B483" s="4" t="inlineStr">
        <x:is>
          <x:t xml:space="preserve">ORD-2025-0305</x:t>
        </x:is>
      </x:c>
      <x:c r="C483" s="17" t="n">
        <x:v>45827</x:v>
      </x:c>
      <x:c r="D483" s="4" t="inlineStr">
        <x:is>
          <x:t xml:space="preserve">CUS-0106</x:t>
        </x:is>
      </x:c>
      <x:c r="E483" s="4" t="inlineStr">
        <x:is>
          <x:t xml:space="preserve">Desk Lamp</x:t>
        </x:is>
      </x:c>
      <x:c r="F483" s="4" t="inlineStr">
        <x:is>
          <x:t xml:space="preserve">Furniture</x:t>
        </x:is>
      </x:c>
      <x:c r="G483" s="4" t="inlineStr">
        <x:is>
          <x:t xml:space="preserve">Chicago</x:t>
        </x:is>
      </x:c>
      <x:c r="H483" s="18" t="n">
        <x:v>1</x:v>
      </x:c>
      <x:c r="I483" s="19" t="n">
        <x:v>53.08</x:v>
      </x:c>
      <x:c r="J483" s="20" t="n">
        <x:v>0</x:v>
      </x:c>
      <x:c r="K483" s="4" t="inlineStr">
        <x:is>
          <x:t xml:space="preserve">Bank Transfer</x:t>
        </x:is>
      </x:c>
      <x:c r="L483" s="19" t="n">
        <x:v>53.08</x:v>
      </x:c>
      <x:c r="M483" s="19" t="n">
        <x:v>0</x:v>
      </x:c>
      <x:c r="N483" s="19" t="n">
        <x:v>53.08</x:v>
      </x:c>
      <x:c r="O483" s="4" t="n">
        <x:f>YEAR(C483)</x:f>
        <x:v>2025</x:v>
      </x:c>
      <x:c r="P483" s="4" t="str">
        <x:f>TEXT(C483,"yyyy-mm")</x:f>
        <x:v>2025-06</x:v>
      </x:c>
      <x:c r="Q483" s="4" t="str">
        <x:f>TEXT(C483,"mmmm")</x:f>
        <x:v>June</x:v>
      </x:c>
    </x:row>
    <x:row r="484" ht="20" customHeight="1">
      <x:c r="A484" s="4" t="inlineStr">
        <x:is>
          <x:t xml:space="preserve">LINE-00486</x:t>
        </x:is>
      </x:c>
      <x:c r="B484" s="4" t="inlineStr">
        <x:is>
          <x:t xml:space="preserve">ORD-2025-0305</x:t>
        </x:is>
      </x:c>
      <x:c r="C484" s="17" t="n">
        <x:v>45827</x:v>
      </x:c>
      <x:c r="D484" s="4" t="inlineStr">
        <x:is>
          <x:t xml:space="preserve">CUS-0106</x:t>
        </x:is>
      </x:c>
      <x:c r="E484" s="4" t="inlineStr">
        <x:is>
          <x:t xml:space="preserve">External SSD</x:t>
        </x:is>
      </x:c>
      <x:c r="F484" s="4" t="inlineStr">
        <x:is>
          <x:t xml:space="preserve">Storage</x:t>
        </x:is>
      </x:c>
      <x:c r="G484" s="4" t="inlineStr">
        <x:is>
          <x:t xml:space="preserve">Chicago</x:t>
        </x:is>
      </x:c>
      <x:c r="H484" s="18" t="n">
        <x:v>1</x:v>
      </x:c>
      <x:c r="I484" s="19" t="n">
        <x:v>151.72</x:v>
      </x:c>
      <x:c r="J484" s="20" t="n">
        <x:v>0.1</x:v>
      </x:c>
      <x:c r="K484" s="4" t="inlineStr">
        <x:is>
          <x:t xml:space="preserve">Bank Transfer</x:t>
        </x:is>
      </x:c>
      <x:c r="L484" s="19" t="n">
        <x:v>151.72</x:v>
      </x:c>
      <x:c r="M484" s="19" t="n">
        <x:v>15.17</x:v>
      </x:c>
      <x:c r="N484" s="19" t="n">
        <x:v>136.55</x:v>
      </x:c>
      <x:c r="O484" s="4" t="n">
        <x:f>YEAR(C484)</x:f>
        <x:v>2025</x:v>
      </x:c>
      <x:c r="P484" s="4" t="str">
        <x:f>TEXT(C484,"yyyy-mm")</x:f>
        <x:v>2025-06</x:v>
      </x:c>
      <x:c r="Q484" s="4" t="str">
        <x:f>TEXT(C484,"mmmm")</x:f>
        <x:v>June</x:v>
      </x:c>
    </x:row>
    <x:row r="485" ht="20" customHeight="1">
      <x:c r="A485" s="4" t="inlineStr">
        <x:is>
          <x:t xml:space="preserve">LINE-00487</x:t>
        </x:is>
      </x:c>
      <x:c r="B485" s="4" t="inlineStr">
        <x:is>
          <x:t xml:space="preserve">ORD-2025-0306</x:t>
        </x:is>
      </x:c>
      <x:c r="C485" s="17" t="n">
        <x:v>45736</x:v>
      </x:c>
      <x:c r="D485" s="4" t="inlineStr">
        <x:is>
          <x:t xml:space="preserve">CUS-0028</x:t>
        </x:is>
      </x:c>
      <x:c r="E485" s="4" t="inlineStr">
        <x:is>
          <x:t xml:space="preserve">USB-C Hub</x:t>
        </x:is>
      </x:c>
      <x:c r="F485" s="4" t="inlineStr">
        <x:is>
          <x:t xml:space="preserve">Accessories</x:t>
        </x:is>
      </x:c>
      <x:c r="G485" s="4" t="inlineStr">
        <x:is>
          <x:t xml:space="preserve">Austin</x:t>
        </x:is>
      </x:c>
      <x:c r="H485" s="18" t="n">
        <x:v>3</x:v>
      </x:c>
      <x:c r="I485" s="19" t="n">
        <x:v>66.3</x:v>
      </x:c>
      <x:c r="J485" s="20" t="n">
        <x:v>0.05</x:v>
      </x:c>
      <x:c r="K485" s="4" t="inlineStr">
        <x:is>
          <x:t xml:space="preserve">Credit Card</x:t>
        </x:is>
      </x:c>
      <x:c r="L485" s="19" t="n">
        <x:v>198.9</x:v>
      </x:c>
      <x:c r="M485" s="19" t="n">
        <x:v>9.94</x:v>
      </x:c>
      <x:c r="N485" s="19" t="n">
        <x:v>188.96</x:v>
      </x:c>
      <x:c r="O485" s="4" t="n">
        <x:f>YEAR(C485)</x:f>
        <x:v>2025</x:v>
      </x:c>
      <x:c r="P485" s="4" t="str">
        <x:f>TEXT(C485,"yyyy-mm")</x:f>
        <x:v>2025-03</x:v>
      </x:c>
      <x:c r="Q485" s="4" t="str">
        <x:f>TEXT(C485,"mmmm")</x:f>
        <x:v>March</x:v>
      </x:c>
    </x:row>
    <x:row r="486" ht="20" customHeight="1">
      <x:c r="A486" s="4" t="inlineStr">
        <x:is>
          <x:t xml:space="preserve">LINE-00488</x:t>
        </x:is>
      </x:c>
      <x:c r="B486" s="4" t="inlineStr">
        <x:is>
          <x:t xml:space="preserve">ORD-2025-0307</x:t>
        </x:is>
      </x:c>
      <x:c r="C486" s="17" t="n">
        <x:v>45707</x:v>
      </x:c>
      <x:c r="D486" s="4" t="inlineStr">
        <x:is>
          <x:t xml:space="preserve">CUS-0014</x:t>
        </x:is>
      </x:c>
      <x:c r="E486" s="4" t="inlineStr">
        <x:is>
          <x:t xml:space="preserve">Monitor</x:t>
        </x:is>
      </x:c>
      <x:c r="F486" s="4" t="inlineStr">
        <x:is>
          <x:t xml:space="preserve">Computers</x:t>
        </x:is>
      </x:c>
      <x:c r="G486" s="4" t="inlineStr">
        <x:is>
          <x:t xml:space="preserve">Chicago</x:t>
        </x:is>
      </x:c>
      <x:c r="H486" s="18" t="n">
        <x:v>3</x:v>
      </x:c>
      <x:c r="I486" s="19" t="n">
        <x:v>271.41</x:v>
      </x:c>
      <x:c r="J486" s="20" t="n">
        <x:v>0</x:v>
      </x:c>
      <x:c r="K486" s="4" t="inlineStr">
        <x:is>
          <x:t xml:space="preserve">Debit Card</x:t>
        </x:is>
      </x:c>
      <x:c r="L486" s="19" t="n">
        <x:v>814.23</x:v>
      </x:c>
      <x:c r="M486" s="19" t="n">
        <x:v>0</x:v>
      </x:c>
      <x:c r="N486" s="19" t="n">
        <x:v>814.23</x:v>
      </x:c>
      <x:c r="O486" s="4" t="n">
        <x:f>YEAR(C486)</x:f>
        <x:v>2025</x:v>
      </x:c>
      <x:c r="P486" s="4" t="str">
        <x:f>TEXT(C486,"yyyy-mm")</x:f>
        <x:v>2025-02</x:v>
      </x:c>
      <x:c r="Q486" s="4" t="str">
        <x:f>TEXT(C486,"mmmm")</x:f>
        <x:v>February</x:v>
      </x:c>
    </x:row>
    <x:row r="487" ht="20" customHeight="1">
      <x:c r="A487" s="4" t="inlineStr">
        <x:is>
          <x:t xml:space="preserve">LINE-00489</x:t>
        </x:is>
      </x:c>
      <x:c r="B487" s="4" t="inlineStr">
        <x:is>
          <x:t xml:space="preserve">ORD-2025-0307</x:t>
        </x:is>
      </x:c>
      <x:c r="C487" s="17" t="n">
        <x:v>45707</x:v>
      </x:c>
      <x:c r="D487" s="4" t="inlineStr">
        <x:is>
          <x:t xml:space="preserve">CUS-0014</x:t>
        </x:is>
      </x:c>
      <x:c r="E487" s="4" t="inlineStr">
        <x:is>
          <x:t xml:space="preserve">Bluetooth Speaker</x:t>
        </x:is>
      </x:c>
      <x:c r="F487" s="4" t="inlineStr">
        <x:is>
          <x:t xml:space="preserve">Audio</x:t>
        </x:is>
      </x:c>
      <x:c r="G487" s="4" t="inlineStr">
        <x:is>
          <x:t xml:space="preserve">Chicago</x:t>
        </x:is>
      </x:c>
      <x:c r="H487" s="18" t="n">
        <x:v>2</x:v>
      </x:c>
      <x:c r="I487" s="19" t="n">
        <x:v>112.83</x:v>
      </x:c>
      <x:c r="J487" s="20" t="n">
        <x:v>0</x:v>
      </x:c>
      <x:c r="K487" s="4" t="inlineStr">
        <x:is>
          <x:t xml:space="preserve">Debit Card</x:t>
        </x:is>
      </x:c>
      <x:c r="L487" s="19" t="n">
        <x:v>225.66</x:v>
      </x:c>
      <x:c r="M487" s="19" t="n">
        <x:v>0</x:v>
      </x:c>
      <x:c r="N487" s="19" t="n">
        <x:v>225.66</x:v>
      </x:c>
      <x:c r="O487" s="4" t="n">
        <x:f>YEAR(C487)</x:f>
        <x:v>2025</x:v>
      </x:c>
      <x:c r="P487" s="4" t="str">
        <x:f>TEXT(C487,"yyyy-mm")</x:f>
        <x:v>2025-02</x:v>
      </x:c>
      <x:c r="Q487" s="4" t="str">
        <x:f>TEXT(C487,"mmmm")</x:f>
        <x:v>February</x:v>
      </x:c>
    </x:row>
    <x:row r="488" ht="20" customHeight="1">
      <x:c r="A488" s="4" t="inlineStr">
        <x:is>
          <x:t xml:space="preserve">LINE-00490</x:t>
        </x:is>
      </x:c>
      <x:c r="B488" s="4" t="inlineStr">
        <x:is>
          <x:t xml:space="preserve">ORD-2025-0308</x:t>
        </x:is>
      </x:c>
      <x:c r="C488" s="17" t="n">
        <x:v>45936</x:v>
      </x:c>
      <x:c r="D488" s="4" t="inlineStr">
        <x:is>
          <x:t xml:space="preserve">CUS-0199</x:t>
        </x:is>
      </x:c>
      <x:c r="E488" s="4" t="inlineStr">
        <x:is>
          <x:t xml:space="preserve">Webcam</x:t>
        </x:is>
      </x:c>
      <x:c r="F488" s="4" t="inlineStr">
        <x:is>
          <x:t xml:space="preserve">Accessories</x:t>
        </x:is>
      </x:c>
      <x:c r="G488" s="4" t="inlineStr">
        <x:is>
          <x:t xml:space="preserve">Chicago</x:t>
        </x:is>
      </x:c>
      <x:c r="H488" s="18" t="n">
        <x:v>1</x:v>
      </x:c>
      <x:c r="I488" s="19" t="n">
        <x:v>89.13</x:v>
      </x:c>
      <x:c r="J488" s="20" t="n">
        <x:v>0</x:v>
      </x:c>
      <x:c r="K488" s="4" t="inlineStr">
        <x:is>
          <x:t xml:space="preserve">PayPal</x:t>
        </x:is>
      </x:c>
      <x:c r="L488" s="19" t="n">
        <x:v>89.13</x:v>
      </x:c>
      <x:c r="M488" s="19" t="n">
        <x:v>0</x:v>
      </x:c>
      <x:c r="N488" s="19" t="n">
        <x:v>89.13</x:v>
      </x:c>
      <x:c r="O488" s="4" t="n">
        <x:f>YEAR(C488)</x:f>
        <x:v>2025</x:v>
      </x:c>
      <x:c r="P488" s="4" t="str">
        <x:f>TEXT(C488,"yyyy-mm")</x:f>
        <x:v>2025-10</x:v>
      </x:c>
      <x:c r="Q488" s="4" t="str">
        <x:f>TEXT(C488,"mmmm")</x:f>
        <x:v>October</x:v>
      </x:c>
    </x:row>
    <x:row r="489" ht="20" customHeight="1">
      <x:c r="A489" s="4" t="inlineStr">
        <x:is>
          <x:t xml:space="preserve">LINE-00491</x:t>
        </x:is>
      </x:c>
      <x:c r="B489" s="4" t="inlineStr">
        <x:is>
          <x:t xml:space="preserve">ORD-2025-0308</x:t>
        </x:is>
      </x:c>
      <x:c r="C489" s="17" t="n">
        <x:v>45936</x:v>
      </x:c>
      <x:c r="D489" s="4" t="inlineStr">
        <x:is>
          <x:t xml:space="preserve">CUS-0199</x:t>
        </x:is>
      </x:c>
      <x:c r="E489" s="4" t="inlineStr">
        <x:is>
          <x:t xml:space="preserve">Keyboard</x:t>
        </x:is>
      </x:c>
      <x:c r="F489" s="4" t="inlineStr">
        <x:is>
          <x:t xml:space="preserve">Accessories</x:t>
        </x:is>
      </x:c>
      <x:c r="G489" s="4" t="inlineStr">
        <x:is>
          <x:t xml:space="preserve">Chicago</x:t>
        </x:is>
      </x:c>
      <x:c r="H489" s="18" t="n">
        <x:v>3</x:v>
      </x:c>
      <x:c r="I489" s="19" t="n">
        <x:v>75.77</x:v>
      </x:c>
      <x:c r="J489" s="20" t="n">
        <x:v>0</x:v>
      </x:c>
      <x:c r="K489" s="4" t="inlineStr">
        <x:is>
          <x:t xml:space="preserve">PayPal</x:t>
        </x:is>
      </x:c>
      <x:c r="L489" s="19" t="n">
        <x:v>227.31</x:v>
      </x:c>
      <x:c r="M489" s="19" t="n">
        <x:v>0</x:v>
      </x:c>
      <x:c r="N489" s="19" t="n">
        <x:v>227.31</x:v>
      </x:c>
      <x:c r="O489" s="4" t="n">
        <x:f>YEAR(C489)</x:f>
        <x:v>2025</x:v>
      </x:c>
      <x:c r="P489" s="4" t="str">
        <x:f>TEXT(C489,"yyyy-mm")</x:f>
        <x:v>2025-10</x:v>
      </x:c>
      <x:c r="Q489" s="4" t="str">
        <x:f>TEXT(C489,"mmmm")</x:f>
        <x:v>October</x:v>
      </x:c>
    </x:row>
    <x:row r="490" ht="20" customHeight="1">
      <x:c r="A490" s="4" t="inlineStr">
        <x:is>
          <x:t xml:space="preserve">LINE-00492</x:t>
        </x:is>
      </x:c>
      <x:c r="B490" s="4" t="inlineStr">
        <x:is>
          <x:t xml:space="preserve">ORD-2025-0308</x:t>
        </x:is>
      </x:c>
      <x:c r="C490" s="17" t="n">
        <x:v>45936</x:v>
      </x:c>
      <x:c r="D490" s="4" t="inlineStr">
        <x:is>
          <x:t xml:space="preserve">CUS-0199</x:t>
        </x:is>
      </x:c>
      <x:c r="E490" s="4" t="inlineStr">
        <x:is>
          <x:t xml:space="preserve">Bluetooth Speaker</x:t>
        </x:is>
      </x:c>
      <x:c r="F490" s="4" t="inlineStr">
        <x:is>
          <x:t xml:space="preserve">Audio</x:t>
        </x:is>
      </x:c>
      <x:c r="G490" s="4" t="inlineStr">
        <x:is>
          <x:t xml:space="preserve">Chicago</x:t>
        </x:is>
      </x:c>
      <x:c r="H490" s="18" t="n">
        <x:v>3</x:v>
      </x:c>
      <x:c r="I490" s="19" t="n">
        <x:v>102.9</x:v>
      </x:c>
      <x:c r="J490" s="20" t="n">
        <x:v>0.05</x:v>
      </x:c>
      <x:c r="K490" s="4" t="inlineStr">
        <x:is>
          <x:t xml:space="preserve">PayPal</x:t>
        </x:is>
      </x:c>
      <x:c r="L490" s="19" t="n">
        <x:v>308.7</x:v>
      </x:c>
      <x:c r="M490" s="19" t="n">
        <x:v>15.44</x:v>
      </x:c>
      <x:c r="N490" s="19" t="n">
        <x:v>293.26</x:v>
      </x:c>
      <x:c r="O490" s="4" t="n">
        <x:f>YEAR(C490)</x:f>
        <x:v>2025</x:v>
      </x:c>
      <x:c r="P490" s="4" t="str">
        <x:f>TEXT(C490,"yyyy-mm")</x:f>
        <x:v>2025-10</x:v>
      </x:c>
      <x:c r="Q490" s="4" t="str">
        <x:f>TEXT(C490,"mmmm")</x:f>
        <x:v>October</x:v>
      </x:c>
    </x:row>
    <x:row r="491" ht="20" customHeight="1">
      <x:c r="A491" s="4" t="inlineStr">
        <x:is>
          <x:t xml:space="preserve">LINE-00493</x:t>
        </x:is>
      </x:c>
      <x:c r="B491" s="4" t="inlineStr">
        <x:is>
          <x:t xml:space="preserve">ORD-2025-0309</x:t>
        </x:is>
      </x:c>
      <x:c r="C491" s="17" t="n">
        <x:v>45935</x:v>
      </x:c>
      <x:c r="D491" s="4" t="inlineStr">
        <x:is>
          <x:t xml:space="preserve">CUS-0212</x:t>
        </x:is>
      </x:c>
      <x:c r="E491" s="4" t="inlineStr">
        <x:is>
          <x:t xml:space="preserve">Headphones</x:t>
        </x:is>
      </x:c>
      <x:c r="F491" s="4" t="inlineStr">
        <x:is>
          <x:t xml:space="preserve">Audio</x:t>
        </x:is>
      </x:c>
      <x:c r="G491" s="4" t="inlineStr">
        <x:is>
          <x:t xml:space="preserve">Boston</x:t>
        </x:is>
      </x:c>
      <x:c r="H491" s="18" t="n">
        <x:v>2</x:v>
      </x:c>
      <x:c r="I491" s="19" t="n">
        <x:v>130.74</x:v>
      </x:c>
      <x:c r="J491" s="20" t="n">
        <x:v>0.1</x:v>
      </x:c>
      <x:c r="K491" s="4" t="inlineStr">
        <x:is>
          <x:t xml:space="preserve">Debit Card</x:t>
        </x:is>
      </x:c>
      <x:c r="L491" s="19" t="n">
        <x:v>261.48</x:v>
      </x:c>
      <x:c r="M491" s="19" t="n">
        <x:v>26.15</x:v>
      </x:c>
      <x:c r="N491" s="19" t="n">
        <x:v>235.33</x:v>
      </x:c>
      <x:c r="O491" s="4" t="n">
        <x:f>YEAR(C491)</x:f>
        <x:v>2025</x:v>
      </x:c>
      <x:c r="P491" s="4" t="str">
        <x:f>TEXT(C491,"yyyy-mm")</x:f>
        <x:v>2025-10</x:v>
      </x:c>
      <x:c r="Q491" s="4" t="str">
        <x:f>TEXT(C491,"mmmm")</x:f>
        <x:v>October</x:v>
      </x:c>
    </x:row>
    <x:row r="492" ht="20" customHeight="1">
      <x:c r="A492" s="4" t="inlineStr">
        <x:is>
          <x:t xml:space="preserve">LINE-00494</x:t>
        </x:is>
      </x:c>
      <x:c r="B492" s="4" t="inlineStr">
        <x:is>
          <x:t xml:space="preserve">ORD-2025-0309</x:t>
        </x:is>
      </x:c>
      <x:c r="C492" s="17" t="n">
        <x:v>45935</x:v>
      </x:c>
      <x:c r="D492" s="4" t="inlineStr">
        <x:is>
          <x:t xml:space="preserve">CUS-0212</x:t>
        </x:is>
      </x:c>
      <x:c r="E492" s="4" t="inlineStr">
        <x:is>
          <x:t xml:space="preserve">External SSD</x:t>
        </x:is>
      </x:c>
      <x:c r="F492" s="4" t="inlineStr">
        <x:is>
          <x:t xml:space="preserve">Storage</x:t>
        </x:is>
      </x:c>
      <x:c r="G492" s="4" t="inlineStr">
        <x:is>
          <x:t xml:space="preserve">Boston</x:t>
        </x:is>
      </x:c>
      <x:c r="H492" s="18" t="n">
        <x:v>2</x:v>
      </x:c>
      <x:c r="I492" s="19" t="n">
        <x:v>159.16</x:v>
      </x:c>
      <x:c r="J492" s="20" t="n">
        <x:v>0.05</x:v>
      </x:c>
      <x:c r="K492" s="4" t="inlineStr">
        <x:is>
          <x:t xml:space="preserve">Debit Card</x:t>
        </x:is>
      </x:c>
      <x:c r="L492" s="19" t="n">
        <x:v>318.32</x:v>
      </x:c>
      <x:c r="M492" s="19" t="n">
        <x:v>15.92</x:v>
      </x:c>
      <x:c r="N492" s="19" t="n">
        <x:v>302.4</x:v>
      </x:c>
      <x:c r="O492" s="4" t="n">
        <x:f>YEAR(C492)</x:f>
        <x:v>2025</x:v>
      </x:c>
      <x:c r="P492" s="4" t="str">
        <x:f>TEXT(C492,"yyyy-mm")</x:f>
        <x:v>2025-10</x:v>
      </x:c>
      <x:c r="Q492" s="4" t="str">
        <x:f>TEXT(C492,"mmmm")</x:f>
        <x:v>October</x:v>
      </x:c>
    </x:row>
    <x:row r="493" ht="20" customHeight="1">
      <x:c r="A493" s="4" t="inlineStr">
        <x:is>
          <x:t xml:space="preserve">LINE-00495</x:t>
        </x:is>
      </x:c>
      <x:c r="B493" s="4" t="inlineStr">
        <x:is>
          <x:t xml:space="preserve">ORD-2025-0310</x:t>
        </x:is>
      </x:c>
      <x:c r="C493" s="17" t="n">
        <x:v>45698</x:v>
      </x:c>
      <x:c r="D493" s="4" t="inlineStr">
        <x:is>
          <x:t xml:space="preserve">CUS-0203</x:t>
        </x:is>
      </x:c>
      <x:c r="E493" s="4" t="inlineStr">
        <x:is>
          <x:t xml:space="preserve">External SSD</x:t>
        </x:is>
      </x:c>
      <x:c r="F493" s="4" t="inlineStr">
        <x:is>
          <x:t xml:space="preserve">Storage</x:t>
        </x:is>
      </x:c>
      <x:c r="G493" s="4" t="inlineStr">
        <x:is>
          <x:t xml:space="preserve">San Francisco</x:t>
        </x:is>
      </x:c>
      <x:c r="H493" s="18" t="n">
        <x:v>2</x:v>
      </x:c>
      <x:c r="I493" s="19" t="n">
        <x:v>152.89</x:v>
      </x:c>
      <x:c r="J493" s="20" t="n">
        <x:v>0</x:v>
      </x:c>
      <x:c r="K493" s="4" t="inlineStr">
        <x:is>
          <x:t xml:space="preserve">Credit Card</x:t>
        </x:is>
      </x:c>
      <x:c r="L493" s="19" t="n">
        <x:v>305.78</x:v>
      </x:c>
      <x:c r="M493" s="19" t="n">
        <x:v>0</x:v>
      </x:c>
      <x:c r="N493" s="19" t="n">
        <x:v>305.78</x:v>
      </x:c>
      <x:c r="O493" s="4" t="n">
        <x:f>YEAR(C493)</x:f>
        <x:v>2025</x:v>
      </x:c>
      <x:c r="P493" s="4" t="str">
        <x:f>TEXT(C493,"yyyy-mm")</x:f>
        <x:v>2025-02</x:v>
      </x:c>
      <x:c r="Q493" s="4" t="str">
        <x:f>TEXT(C493,"mmmm")</x:f>
        <x:v>February</x:v>
      </x:c>
    </x:row>
    <x:row r="494" ht="20" customHeight="1">
      <x:c r="A494" s="4" t="inlineStr">
        <x:is>
          <x:t xml:space="preserve">LINE-00496</x:t>
        </x:is>
      </x:c>
      <x:c r="B494" s="4" t="inlineStr">
        <x:is>
          <x:t xml:space="preserve">ORD-2025-0310</x:t>
        </x:is>
      </x:c>
      <x:c r="C494" s="17" t="n">
        <x:v>45698</x:v>
      </x:c>
      <x:c r="D494" s="4" t="inlineStr">
        <x:is>
          <x:t xml:space="preserve">CUS-0203</x:t>
        </x:is>
      </x:c>
      <x:c r="E494" s="4" t="inlineStr">
        <x:is>
          <x:t xml:space="preserve">USB Flash Drive</x:t>
        </x:is>
      </x:c>
      <x:c r="F494" s="4" t="inlineStr">
        <x:is>
          <x:t xml:space="preserve">Storage</x:t>
        </x:is>
      </x:c>
      <x:c r="G494" s="4" t="inlineStr">
        <x:is>
          <x:t xml:space="preserve">San Francisco</x:t>
        </x:is>
      </x:c>
      <x:c r="H494" s="18" t="n">
        <x:v>3</x:v>
      </x:c>
      <x:c r="I494" s="19" t="n">
        <x:v>28.43</x:v>
      </x:c>
      <x:c r="J494" s="20" t="n">
        <x:v>0.2</x:v>
      </x:c>
      <x:c r="K494" s="4" t="inlineStr">
        <x:is>
          <x:t xml:space="preserve">Credit Card</x:t>
        </x:is>
      </x:c>
      <x:c r="L494" s="19" t="n">
        <x:v>85.29000000000001</x:v>
      </x:c>
      <x:c r="M494" s="19" t="n">
        <x:v>17.06</x:v>
      </x:c>
      <x:c r="N494" s="19" t="n">
        <x:v>68.23</x:v>
      </x:c>
      <x:c r="O494" s="4" t="n">
        <x:f>YEAR(C494)</x:f>
        <x:v>2025</x:v>
      </x:c>
      <x:c r="P494" s="4" t="str">
        <x:f>TEXT(C494,"yyyy-mm")</x:f>
        <x:v>2025-02</x:v>
      </x:c>
      <x:c r="Q494" s="4" t="str">
        <x:f>TEXT(C494,"mmmm")</x:f>
        <x:v>February</x:v>
      </x:c>
    </x:row>
    <x:row r="495" ht="20" customHeight="1">
      <x:c r="A495" s="4" t="inlineStr">
        <x:is>
          <x:t xml:space="preserve">LINE-00497</x:t>
        </x:is>
      </x:c>
      <x:c r="B495" s="4" t="inlineStr">
        <x:is>
          <x:t xml:space="preserve">ORD-2025-0311</x:t>
        </x:is>
      </x:c>
      <x:c r="C495" s="17" t="n">
        <x:v>45766</x:v>
      </x:c>
      <x:c r="D495" s="4" t="inlineStr">
        <x:is>
          <x:t xml:space="preserve">CUS-0099</x:t>
        </x:is>
      </x:c>
      <x:c r="E495" s="4" t="inlineStr">
        <x:is>
          <x:t xml:space="preserve">Office Chair</x:t>
        </x:is>
      </x:c>
      <x:c r="F495" s="4" t="inlineStr">
        <x:is>
          <x:t xml:space="preserve">Furniture</x:t>
        </x:is>
      </x:c>
      <x:c r="G495" s="4" t="inlineStr">
        <x:is>
          <x:t xml:space="preserve">Chicago</x:t>
        </x:is>
      </x:c>
      <x:c r="H495" s="18" t="n">
        <x:v>2</x:v>
      </x:c>
      <x:c r="I495" s="19" t="n">
        <x:v>259.1</x:v>
      </x:c>
      <x:c r="J495" s="20" t="n">
        <x:v>0.05</x:v>
      </x:c>
      <x:c r="K495" s="4" t="inlineStr">
        <x:is>
          <x:t xml:space="preserve">Credit Card</x:t>
        </x:is>
      </x:c>
      <x:c r="L495" s="19" t="n">
        <x:v>518.2</x:v>
      </x:c>
      <x:c r="M495" s="19" t="n">
        <x:v>25.91</x:v>
      </x:c>
      <x:c r="N495" s="19" t="n">
        <x:v>492.29</x:v>
      </x:c>
      <x:c r="O495" s="4" t="n">
        <x:f>YEAR(C495)</x:f>
        <x:v>2025</x:v>
      </x:c>
      <x:c r="P495" s="4" t="str">
        <x:f>TEXT(C495,"yyyy-mm")</x:f>
        <x:v>2025-04</x:v>
      </x:c>
      <x:c r="Q495" s="4" t="str">
        <x:f>TEXT(C495,"mmmm")</x:f>
        <x:v>April</x:v>
      </x:c>
    </x:row>
    <x:row r="496" ht="20" customHeight="1">
      <x:c r="A496" s="4" t="inlineStr">
        <x:is>
          <x:t xml:space="preserve">LINE-00498</x:t>
        </x:is>
      </x:c>
      <x:c r="B496" s="4" t="inlineStr">
        <x:is>
          <x:t xml:space="preserve">ORD-2025-0312</x:t>
        </x:is>
      </x:c>
      <x:c r="C496" s="17" t="n">
        <x:v>45962</x:v>
      </x:c>
      <x:c r="D496" s="4" t="inlineStr">
        <x:is>
          <x:t xml:space="preserve">CUS-0133</x:t>
        </x:is>
      </x:c>
      <x:c r="E496" s="4" t="inlineStr">
        <x:is>
          <x:t xml:space="preserve">External SSD</x:t>
        </x:is>
      </x:c>
      <x:c r="F496" s="4" t="inlineStr">
        <x:is>
          <x:t xml:space="preserve">Storage</x:t>
        </x:is>
      </x:c>
      <x:c r="G496" s="4" t="inlineStr">
        <x:is>
          <x:t xml:space="preserve">Austin</x:t>
        </x:is>
      </x:c>
      <x:c r="H496" s="18" t="n">
        <x:v>1</x:v>
      </x:c>
      <x:c r="I496" s="19" t="n">
        <x:v>145.83</x:v>
      </x:c>
      <x:c r="J496" s="20" t="n">
        <x:v>0</x:v>
      </x:c>
      <x:c r="K496" s="4" t="inlineStr">
        <x:is>
          <x:t xml:space="preserve">Credit Card</x:t>
        </x:is>
      </x:c>
      <x:c r="L496" s="19" t="n">
        <x:v>145.83</x:v>
      </x:c>
      <x:c r="M496" s="19" t="n">
        <x:v>0</x:v>
      </x:c>
      <x:c r="N496" s="19" t="n">
        <x:v>145.83</x:v>
      </x:c>
      <x:c r="O496" s="4" t="n">
        <x:f>YEAR(C496)</x:f>
        <x:v>2025</x:v>
      </x:c>
      <x:c r="P496" s="4" t="str">
        <x:f>TEXT(C496,"yyyy-mm")</x:f>
        <x:v>2025-11</x:v>
      </x:c>
      <x:c r="Q496" s="4" t="str">
        <x:f>TEXT(C496,"mmmm")</x:f>
        <x:v>November</x:v>
      </x:c>
    </x:row>
    <x:row r="497" ht="20" customHeight="1">
      <x:c r="A497" s="4" t="inlineStr">
        <x:is>
          <x:t xml:space="preserve">LINE-00499</x:t>
        </x:is>
      </x:c>
      <x:c r="B497" s="4" t="inlineStr">
        <x:is>
          <x:t xml:space="preserve">ORD-2025-0313</x:t>
        </x:is>
      </x:c>
      <x:c r="C497" s="17" t="n">
        <x:v>45892</x:v>
      </x:c>
      <x:c r="D497" s="4" t="inlineStr">
        <x:is>
          <x:t xml:space="preserve">CUS-0007</x:t>
        </x:is>
      </x:c>
      <x:c r="E497" s="4" t="inlineStr">
        <x:is>
          <x:t xml:space="preserve">Keyboard</x:t>
        </x:is>
      </x:c>
      <x:c r="F497" s="4" t="inlineStr">
        <x:is>
          <x:t xml:space="preserve">Accessories</x:t>
        </x:is>
      </x:c>
      <x:c r="G497" s="4" t="inlineStr">
        <x:is>
          <x:t xml:space="preserve">San Francisco</x:t>
        </x:is>
      </x:c>
      <x:c r="H497" s="18" t="n">
        <x:v>1</x:v>
      </x:c>
      <x:c r="I497" s="19" t="n">
        <x:v>76.06</x:v>
      </x:c>
      <x:c r="J497" s="20" t="n">
        <x:v>0.1</x:v>
      </x:c>
      <x:c r="K497" s="4" t="inlineStr">
        <x:is>
          <x:t xml:space="preserve">Bank Transfer</x:t>
        </x:is>
      </x:c>
      <x:c r="L497" s="19" t="n">
        <x:v>76.06</x:v>
      </x:c>
      <x:c r="M497" s="19" t="n">
        <x:v>7.61</x:v>
      </x:c>
      <x:c r="N497" s="19" t="n">
        <x:v>68.45</x:v>
      </x:c>
      <x:c r="O497" s="4" t="n">
        <x:f>YEAR(C497)</x:f>
        <x:v>2025</x:v>
      </x:c>
      <x:c r="P497" s="4" t="str">
        <x:f>TEXT(C497,"yyyy-mm")</x:f>
        <x:v>2025-08</x:v>
      </x:c>
      <x:c r="Q497" s="4" t="str">
        <x:f>TEXT(C497,"mmmm")</x:f>
        <x:v>August</x:v>
      </x:c>
    </x:row>
    <x:row r="498" ht="20" customHeight="1">
      <x:c r="A498" s="4" t="inlineStr">
        <x:is>
          <x:t xml:space="preserve">LINE-00500</x:t>
        </x:is>
      </x:c>
      <x:c r="B498" s="4" t="inlineStr">
        <x:is>
          <x:t xml:space="preserve">ORD-2025-0314</x:t>
        </x:is>
      </x:c>
      <x:c r="C498" s="17" t="n">
        <x:v>45709</x:v>
      </x:c>
      <x:c r="D498" s="4" t="inlineStr">
        <x:is>
          <x:t xml:space="preserve">CUS-0055</x:t>
        </x:is>
      </x:c>
      <x:c r="E498" s="4" t="inlineStr">
        <x:is>
          <x:t xml:space="preserve">External SSD</x:t>
        </x:is>
      </x:c>
      <x:c r="F498" s="4" t="inlineStr">
        <x:is>
          <x:t xml:space="preserve">Storage</x:t>
        </x:is>
      </x:c>
      <x:c r="G498" s="4" t="inlineStr">
        <x:is>
          <x:t xml:space="preserve">Boston</x:t>
        </x:is>
      </x:c>
      <x:c r="H498" s="18" t="n">
        <x:v>4</x:v>
      </x:c>
      <x:c r="I498" s="19" t="n">
        <x:v>144.34</x:v>
      </x:c>
      <x:c r="J498" s="20" t="n">
        <x:v>0.05</x:v>
      </x:c>
      <x:c r="K498" s="4" t="inlineStr">
        <x:is>
          <x:t xml:space="preserve">Credit Card</x:t>
        </x:is>
      </x:c>
      <x:c r="L498" s="19" t="n">
        <x:v>577.36</x:v>
      </x:c>
      <x:c r="M498" s="19" t="n">
        <x:v>28.87</x:v>
      </x:c>
      <x:c r="N498" s="19" t="n">
        <x:v>548.49</x:v>
      </x:c>
      <x:c r="O498" s="4" t="n">
        <x:f>YEAR(C498)</x:f>
        <x:v>2025</x:v>
      </x:c>
      <x:c r="P498" s="4" t="str">
        <x:f>TEXT(C498,"yyyy-mm")</x:f>
        <x:v>2025-02</x:v>
      </x:c>
      <x:c r="Q498" s="4" t="str">
        <x:f>TEXT(C498,"mmmm")</x:f>
        <x:v>February</x:v>
      </x:c>
    </x:row>
    <x:row r="499" ht="20" customHeight="1">
      <x:c r="A499" s="4" t="inlineStr">
        <x:is>
          <x:t xml:space="preserve">LINE-00501</x:t>
        </x:is>
      </x:c>
      <x:c r="B499" s="4" t="inlineStr">
        <x:is>
          <x:t xml:space="preserve">ORD-2025-0314</x:t>
        </x:is>
      </x:c>
      <x:c r="C499" s="17" t="n">
        <x:v>45709</x:v>
      </x:c>
      <x:c r="D499" s="4" t="inlineStr">
        <x:is>
          <x:t xml:space="preserve">CUS-0055</x:t>
        </x:is>
      </x:c>
      <x:c r="E499" s="4" t="inlineStr">
        <x:is>
          <x:t xml:space="preserve">Webcam</x:t>
        </x:is>
      </x:c>
      <x:c r="F499" s="4" t="inlineStr">
        <x:is>
          <x:t xml:space="preserve">Accessories</x:t>
        </x:is>
      </x:c>
      <x:c r="G499" s="4" t="inlineStr">
        <x:is>
          <x:t xml:space="preserve">Boston</x:t>
        </x:is>
      </x:c>
      <x:c r="H499" s="18" t="n">
        <x:v>2</x:v>
      </x:c>
      <x:c r="I499" s="19" t="n">
        <x:v>89.61</x:v>
      </x:c>
      <x:c r="J499" s="20" t="n">
        <x:v>0</x:v>
      </x:c>
      <x:c r="K499" s="4" t="inlineStr">
        <x:is>
          <x:t xml:space="preserve">Credit Card</x:t>
        </x:is>
      </x:c>
      <x:c r="L499" s="19" t="n">
        <x:v>179.22</x:v>
      </x:c>
      <x:c r="M499" s="19" t="n">
        <x:v>0</x:v>
      </x:c>
      <x:c r="N499" s="19" t="n">
        <x:v>179.22</x:v>
      </x:c>
      <x:c r="O499" s="4" t="n">
        <x:f>YEAR(C499)</x:f>
        <x:v>2025</x:v>
      </x:c>
      <x:c r="P499" s="4" t="str">
        <x:f>TEXT(C499,"yyyy-mm")</x:f>
        <x:v>2025-02</x:v>
      </x:c>
      <x:c r="Q499" s="4" t="str">
        <x:f>TEXT(C499,"mmmm")</x:f>
        <x:v>February</x:v>
      </x:c>
    </x:row>
    <x:row r="500" ht="20" customHeight="1">
      <x:c r="A500" s="4" t="inlineStr">
        <x:is>
          <x:t xml:space="preserve">LINE-00502</x:t>
        </x:is>
      </x:c>
      <x:c r="B500" s="4" t="inlineStr">
        <x:is>
          <x:t xml:space="preserve">ORD-2025-0315</x:t>
        </x:is>
      </x:c>
      <x:c r="C500" s="17" t="n">
        <x:v>45864</x:v>
      </x:c>
      <x:c r="D500" s="4" t="inlineStr">
        <x:is>
          <x:t xml:space="preserve">CUS-0074</x:t>
        </x:is>
      </x:c>
      <x:c r="E500" s="4" t="inlineStr">
        <x:is>
          <x:t xml:space="preserve">Webcam</x:t>
        </x:is>
      </x:c>
      <x:c r="F500" s="4" t="inlineStr">
        <x:is>
          <x:t xml:space="preserve">Accessories</x:t>
        </x:is>
      </x:c>
      <x:c r="G500" s="4" t="inlineStr">
        <x:is>
          <x:t xml:space="preserve">Boston</x:t>
        </x:is>
      </x:c>
      <x:c r="H500" s="18" t="n">
        <x:v>3</x:v>
      </x:c>
      <x:c r="I500" s="19" t="n">
        <x:v>83.51000000000001</x:v>
      </x:c>
      <x:c r="J500" s="20" t="n">
        <x:v>0.05</x:v>
      </x:c>
      <x:c r="K500" s="4" t="inlineStr">
        <x:is>
          <x:t xml:space="preserve">Bank Transfer</x:t>
        </x:is>
      </x:c>
      <x:c r="L500" s="19" t="n">
        <x:v>250.53</x:v>
      </x:c>
      <x:c r="M500" s="19" t="n">
        <x:v>12.53</x:v>
      </x:c>
      <x:c r="N500" s="19" t="n">
        <x:v>238</x:v>
      </x:c>
      <x:c r="O500" s="4" t="n">
        <x:f>YEAR(C500)</x:f>
        <x:v>2025</x:v>
      </x:c>
      <x:c r="P500" s="4" t="str">
        <x:f>TEXT(C500,"yyyy-mm")</x:f>
        <x:v>2025-07</x:v>
      </x:c>
      <x:c r="Q500" s="4" t="str">
        <x:f>TEXT(C500,"mmmm")</x:f>
        <x:v>July</x:v>
      </x:c>
    </x:row>
    <x:row r="501" ht="20" customHeight="1">
      <x:c r="A501" s="4" t="inlineStr">
        <x:is>
          <x:t xml:space="preserve">LINE-00503</x:t>
        </x:is>
      </x:c>
      <x:c r="B501" s="4" t="inlineStr">
        <x:is>
          <x:t xml:space="preserve">ORD-2025-0316</x:t>
        </x:is>
      </x:c>
      <x:c r="C501" s="17" t="n">
        <x:v>45795</x:v>
      </x:c>
      <x:c r="D501" s="4" t="inlineStr">
        <x:is>
          <x:t xml:space="preserve">CUS-0191</x:t>
        </x:is>
      </x:c>
      <x:c r="E501" s="4" t="inlineStr">
        <x:is>
          <x:t xml:space="preserve">USB-C Hub</x:t>
        </x:is>
      </x:c>
      <x:c r="F501" s="4" t="inlineStr">
        <x:is>
          <x:t xml:space="preserve">Accessories</x:t>
        </x:is>
      </x:c>
      <x:c r="G501" s="4" t="inlineStr">
        <x:is>
          <x:t xml:space="preserve">New York</x:t>
        </x:is>
      </x:c>
      <x:c r="H501" s="18" t="n">
        <x:v>1</x:v>
      </x:c>
      <x:c r="I501" s="19" t="n">
        <x:v>64.91</x:v>
      </x:c>
      <x:c r="J501" s="20" t="n">
        <x:v>0.05</x:v>
      </x:c>
      <x:c r="K501" s="4" t="inlineStr">
        <x:is>
          <x:t xml:space="preserve">PayPal</x:t>
        </x:is>
      </x:c>
      <x:c r="L501" s="19" t="n">
        <x:v>64.91</x:v>
      </x:c>
      <x:c r="M501" s="19" t="n">
        <x:v>3.25</x:v>
      </x:c>
      <x:c r="N501" s="19" t="n">
        <x:v>61.66</x:v>
      </x:c>
      <x:c r="O501" s="4" t="n">
        <x:f>YEAR(C501)</x:f>
        <x:v>2025</x:v>
      </x:c>
      <x:c r="P501" s="4" t="str">
        <x:f>TEXT(C501,"yyyy-mm")</x:f>
        <x:v>2025-05</x:v>
      </x:c>
      <x:c r="Q501" s="4" t="str">
        <x:f>TEXT(C501,"mmmm")</x:f>
        <x:v>May</x:v>
      </x:c>
    </x:row>
    <x:row r="502" ht="20" customHeight="1">
      <x:c r="A502" s="4" t="inlineStr">
        <x:is>
          <x:t xml:space="preserve">LINE-00504</x:t>
        </x:is>
      </x:c>
      <x:c r="B502" s="4" t="inlineStr">
        <x:is>
          <x:t xml:space="preserve">ORD-2025-0316</x:t>
        </x:is>
      </x:c>
      <x:c r="C502" s="17" t="n">
        <x:v>45795</x:v>
      </x:c>
      <x:c r="D502" s="4" t="inlineStr">
        <x:is>
          <x:t xml:space="preserve">CUS-0191</x:t>
        </x:is>
      </x:c>
      <x:c r="E502" s="4" t="inlineStr">
        <x:is>
          <x:t xml:space="preserve">Desk Lamp</x:t>
        </x:is>
      </x:c>
      <x:c r="F502" s="4" t="inlineStr">
        <x:is>
          <x:t xml:space="preserve">Furniture</x:t>
        </x:is>
      </x:c>
      <x:c r="G502" s="4" t="inlineStr">
        <x:is>
          <x:t xml:space="preserve">New York</x:t>
        </x:is>
      </x:c>
      <x:c r="H502" s="18" t="n">
        <x:v>1</x:v>
      </x:c>
      <x:c r="I502" s="19" t="n">
        <x:v>58.25</x:v>
      </x:c>
      <x:c r="J502" s="20" t="n">
        <x:v>0</x:v>
      </x:c>
      <x:c r="K502" s="4" t="inlineStr">
        <x:is>
          <x:t xml:space="preserve">PayPal</x:t>
        </x:is>
      </x:c>
      <x:c r="L502" s="19" t="n">
        <x:v>58.25</x:v>
      </x:c>
      <x:c r="M502" s="19" t="n">
        <x:v>0</x:v>
      </x:c>
      <x:c r="N502" s="19" t="n">
        <x:v>58.25</x:v>
      </x:c>
      <x:c r="O502" s="4" t="n">
        <x:f>YEAR(C502)</x:f>
        <x:v>2025</x:v>
      </x:c>
      <x:c r="P502" s="4" t="str">
        <x:f>TEXT(C502,"yyyy-mm")</x:f>
        <x:v>2025-05</x:v>
      </x:c>
      <x:c r="Q502" s="4" t="str">
        <x:f>TEXT(C502,"mmmm")</x:f>
        <x:v>May</x:v>
      </x:c>
    </x:row>
    <x:row r="503" ht="20" customHeight="1">
      <x:c r="A503" s="4" t="inlineStr">
        <x:is>
          <x:t xml:space="preserve">LINE-00506</x:t>
        </x:is>
      </x:c>
      <x:c r="B503" s="4" t="inlineStr">
        <x:is>
          <x:t xml:space="preserve">ORD-2025-0317</x:t>
        </x:is>
      </x:c>
      <x:c r="C503" s="17" t="n">
        <x:v>45884</x:v>
      </x:c>
      <x:c r="D503" s="4" t="inlineStr">
        <x:is>
          <x:t xml:space="preserve">CUS-0165</x:t>
        </x:is>
      </x:c>
      <x:c r="E503" s="4" t="inlineStr">
        <x:is>
          <x:t xml:space="preserve">Wireless Mouse</x:t>
        </x:is>
      </x:c>
      <x:c r="F503" s="4" t="inlineStr">
        <x:is>
          <x:t xml:space="preserve">Accessories</x:t>
        </x:is>
      </x:c>
      <x:c r="G503" s="4" t="inlineStr">
        <x:is>
          <x:t xml:space="preserve">Austin</x:t>
        </x:is>
      </x:c>
      <x:c r="H503" s="18" t="n">
        <x:v>2</x:v>
      </x:c>
      <x:c r="I503" s="19" t="n">
        <x:v>45.12</x:v>
      </x:c>
      <x:c r="J503" s="20" t="n">
        <x:v>0</x:v>
      </x:c>
      <x:c r="K503" s="4" t="inlineStr">
        <x:is>
          <x:t xml:space="preserve">Bank Transfer</x:t>
        </x:is>
      </x:c>
      <x:c r="L503" s="19" t="n">
        <x:v>90.23999999999999</x:v>
      </x:c>
      <x:c r="M503" s="19" t="n">
        <x:v>0</x:v>
      </x:c>
      <x:c r="N503" s="19" t="n">
        <x:v>90.23999999999999</x:v>
      </x:c>
      <x:c r="O503" s="4" t="n">
        <x:f>YEAR(C503)</x:f>
        <x:v>2025</x:v>
      </x:c>
      <x:c r="P503" s="4" t="str">
        <x:f>TEXT(C503,"yyyy-mm")</x:f>
        <x:v>2025-08</x:v>
      </x:c>
      <x:c r="Q503" s="4" t="str">
        <x:f>TEXT(C503,"mmmm")</x:f>
        <x:v>August</x:v>
      </x:c>
    </x:row>
    <x:row r="504" ht="20" customHeight="1">
      <x:c r="A504" s="4" t="inlineStr">
        <x:is>
          <x:t xml:space="preserve">LINE-00507</x:t>
        </x:is>
      </x:c>
      <x:c r="B504" s="4" t="inlineStr">
        <x:is>
          <x:t xml:space="preserve">ORD-2025-0318</x:t>
        </x:is>
      </x:c>
      <x:c r="C504" s="17" t="n">
        <x:v>45686</x:v>
      </x:c>
      <x:c r="D504" s="4" t="inlineStr">
        <x:is>
          <x:t xml:space="preserve">CUS-0264</x:t>
        </x:is>
      </x:c>
      <x:c r="E504" s="4" t="inlineStr">
        <x:is>
          <x:t xml:space="preserve">External SSD</x:t>
        </x:is>
      </x:c>
      <x:c r="F504" s="4" t="inlineStr">
        <x:is>
          <x:t xml:space="preserve">Storage</x:t>
        </x:is>
      </x:c>
      <x:c r="G504" s="4" t="inlineStr">
        <x:is>
          <x:t xml:space="preserve">Chicago</x:t>
        </x:is>
      </x:c>
      <x:c r="H504" s="18" t="n">
        <x:v>2</x:v>
      </x:c>
      <x:c r="I504" s="19" t="n">
        <x:v>156.73</x:v>
      </x:c>
      <x:c r="J504" s="20" t="n">
        <x:v>0.05</x:v>
      </x:c>
      <x:c r="K504" s="4" t="inlineStr">
        <x:is>
          <x:t xml:space="preserve">Credit Card</x:t>
        </x:is>
      </x:c>
      <x:c r="L504" s="19" t="n">
        <x:v>313.46</x:v>
      </x:c>
      <x:c r="M504" s="19" t="n">
        <x:v>15.67</x:v>
      </x:c>
      <x:c r="N504" s="19" t="n">
        <x:v>297.79</x:v>
      </x:c>
      <x:c r="O504" s="4" t="n">
        <x:f>YEAR(C504)</x:f>
        <x:v>2025</x:v>
      </x:c>
      <x:c r="P504" s="4" t="str">
        <x:f>TEXT(C504,"yyyy-mm")</x:f>
        <x:v>2025-01</x:v>
      </x:c>
      <x:c r="Q504" s="4" t="str">
        <x:f>TEXT(C504,"mmmm")</x:f>
        <x:v>January</x:v>
      </x:c>
    </x:row>
    <x:row r="505" ht="20" customHeight="1">
      <x:c r="A505" s="4" t="inlineStr">
        <x:is>
          <x:t xml:space="preserve">LINE-00508</x:t>
        </x:is>
      </x:c>
      <x:c r="B505" s="4" t="inlineStr">
        <x:is>
          <x:t xml:space="preserve">ORD-2025-0319</x:t>
        </x:is>
      </x:c>
      <x:c r="C505" s="17" t="n">
        <x:v>45949</x:v>
      </x:c>
      <x:c r="D505" s="4" t="inlineStr">
        <x:is>
          <x:t xml:space="preserve">CUS-0015</x:t>
        </x:is>
      </x:c>
      <x:c r="E505" s="4" t="inlineStr">
        <x:is>
          <x:t xml:space="preserve">Wireless Mouse</x:t>
        </x:is>
      </x:c>
      <x:c r="F505" s="4" t="inlineStr">
        <x:is>
          <x:t xml:space="preserve">Accessories</x:t>
        </x:is>
      </x:c>
      <x:c r="G505" s="4" t="inlineStr">
        <x:is>
          <x:t xml:space="preserve">Chicago</x:t>
        </x:is>
      </x:c>
      <x:c r="H505" s="18" t="n">
        <x:v>1</x:v>
      </x:c>
      <x:c r="I505" s="19" t="n">
        <x:v>41.76</x:v>
      </x:c>
      <x:c r="J505" s="20" t="n">
        <x:v>0</x:v>
      </x:c>
      <x:c r="K505" s="4" t="inlineStr">
        <x:is>
          <x:t xml:space="preserve">Debit Card</x:t>
        </x:is>
      </x:c>
      <x:c r="L505" s="19" t="n">
        <x:v>41.76</x:v>
      </x:c>
      <x:c r="M505" s="19" t="n">
        <x:v>0</x:v>
      </x:c>
      <x:c r="N505" s="19" t="n">
        <x:v>41.76</x:v>
      </x:c>
      <x:c r="O505" s="4" t="n">
        <x:f>YEAR(C505)</x:f>
        <x:v>2025</x:v>
      </x:c>
      <x:c r="P505" s="4" t="str">
        <x:f>TEXT(C505,"yyyy-mm")</x:f>
        <x:v>2025-10</x:v>
      </x:c>
      <x:c r="Q505" s="4" t="str">
        <x:f>TEXT(C505,"mmmm")</x:f>
        <x:v>October</x:v>
      </x:c>
    </x:row>
    <x:row r="506" ht="20" customHeight="1">
      <x:c r="A506" s="4" t="inlineStr">
        <x:is>
          <x:t xml:space="preserve">LINE-00509</x:t>
        </x:is>
      </x:c>
      <x:c r="B506" s="4" t="inlineStr">
        <x:is>
          <x:t xml:space="preserve">ORD-2025-0319</x:t>
        </x:is>
      </x:c>
      <x:c r="C506" s="17" t="n">
        <x:v>45949</x:v>
      </x:c>
      <x:c r="D506" s="4" t="inlineStr">
        <x:is>
          <x:t xml:space="preserve">CUS-0015</x:t>
        </x:is>
      </x:c>
      <x:c r="E506" s="4" t="inlineStr">
        <x:is>
          <x:t xml:space="preserve">Laptop</x:t>
        </x:is>
      </x:c>
      <x:c r="F506" s="4" t="inlineStr">
        <x:is>
          <x:t xml:space="preserve">Computers</x:t>
        </x:is>
      </x:c>
      <x:c r="G506" s="4" t="inlineStr">
        <x:is>
          <x:t xml:space="preserve">Chicago</x:t>
        </x:is>
      </x:c>
      <x:c r="H506" s="18" t="n">
        <x:v>1</x:v>
      </x:c>
      <x:c r="I506" s="19" t="n">
        <x:v>929.99</x:v>
      </x:c>
      <x:c r="J506" s="20" t="n">
        <x:v>0.05</x:v>
      </x:c>
      <x:c r="K506" s="4" t="inlineStr">
        <x:is>
          <x:t xml:space="preserve">Debit Card</x:t>
        </x:is>
      </x:c>
      <x:c r="L506" s="19" t="n">
        <x:v>929.99</x:v>
      </x:c>
      <x:c r="M506" s="19" t="n">
        <x:v>46.5</x:v>
      </x:c>
      <x:c r="N506" s="19" t="n">
        <x:v>883.49</x:v>
      </x:c>
      <x:c r="O506" s="4" t="n">
        <x:f>YEAR(C506)</x:f>
        <x:v>2025</x:v>
      </x:c>
      <x:c r="P506" s="4" t="str">
        <x:f>TEXT(C506,"yyyy-mm")</x:f>
        <x:v>2025-10</x:v>
      </x:c>
      <x:c r="Q506" s="4" t="str">
        <x:f>TEXT(C506,"mmmm")</x:f>
        <x:v>October</x:v>
      </x:c>
    </x:row>
    <x:row r="507" ht="20" customHeight="1">
      <x:c r="A507" s="4" t="inlineStr">
        <x:is>
          <x:t xml:space="preserve">LINE-00510</x:t>
        </x:is>
      </x:c>
      <x:c r="B507" s="4" t="inlineStr">
        <x:is>
          <x:t xml:space="preserve">ORD-2025-0319</x:t>
        </x:is>
      </x:c>
      <x:c r="C507" s="17" t="n">
        <x:v>45949</x:v>
      </x:c>
      <x:c r="D507" s="4" t="inlineStr">
        <x:is>
          <x:t xml:space="preserve">CUS-0015</x:t>
        </x:is>
      </x:c>
      <x:c r="E507" s="4" t="inlineStr">
        <x:is>
          <x:t xml:space="preserve">Desk Lamp</x:t>
        </x:is>
      </x:c>
      <x:c r="F507" s="4" t="inlineStr">
        <x:is>
          <x:t xml:space="preserve">Furniture</x:t>
        </x:is>
      </x:c>
      <x:c r="G507" s="4" t="inlineStr">
        <x:is>
          <x:t xml:space="preserve">Chicago</x:t>
        </x:is>
      </x:c>
      <x:c r="H507" s="18" t="n">
        <x:v>1</x:v>
      </x:c>
      <x:c r="I507" s="19" t="n">
        <x:v>58.72</x:v>
      </x:c>
      <x:c r="J507" s="20" t="n">
        <x:v>0.05</x:v>
      </x:c>
      <x:c r="K507" s="4" t="inlineStr">
        <x:is>
          <x:t xml:space="preserve">Debit Card</x:t>
        </x:is>
      </x:c>
      <x:c r="L507" s="19" t="n">
        <x:v>58.72</x:v>
      </x:c>
      <x:c r="M507" s="19" t="n">
        <x:v>2.94</x:v>
      </x:c>
      <x:c r="N507" s="19" t="n">
        <x:v>55.78</x:v>
      </x:c>
      <x:c r="O507" s="4" t="n">
        <x:f>YEAR(C507)</x:f>
        <x:v>2025</x:v>
      </x:c>
      <x:c r="P507" s="4" t="str">
        <x:f>TEXT(C507,"yyyy-mm")</x:f>
        <x:v>2025-10</x:v>
      </x:c>
      <x:c r="Q507" s="4" t="str">
        <x:f>TEXT(C507,"mmmm")</x:f>
        <x:v>October</x:v>
      </x:c>
    </x:row>
    <x:row r="508" ht="20" customHeight="1">
      <x:c r="A508" s="4" t="inlineStr">
        <x:is>
          <x:t xml:space="preserve">LINE-00511</x:t>
        </x:is>
      </x:c>
      <x:c r="B508" s="4" t="inlineStr">
        <x:is>
          <x:t xml:space="preserve">ORD-2025-0320</x:t>
        </x:is>
      </x:c>
      <x:c r="C508" s="17" t="n">
        <x:v>45781</x:v>
      </x:c>
      <x:c r="D508" s="4" t="inlineStr">
        <x:is>
          <x:t xml:space="preserve">CUS-0191</x:t>
        </x:is>
      </x:c>
      <x:c r="E508" s="4" t="inlineStr">
        <x:is>
          <x:t xml:space="preserve">Bluetooth Speaker</x:t>
        </x:is>
      </x:c>
      <x:c r="F508" s="4" t="inlineStr">
        <x:is>
          <x:t xml:space="preserve">Audio</x:t>
        </x:is>
      </x:c>
      <x:c r="G508" s="4" t="inlineStr">
        <x:is>
          <x:t xml:space="preserve">Seattle</x:t>
        </x:is>
      </x:c>
      <x:c r="H508" s="18" t="n">
        <x:v>2</x:v>
      </x:c>
      <x:c r="I508" s="19" t="n">
        <x:v>107.36</x:v>
      </x:c>
      <x:c r="J508" s="20" t="n">
        <x:v>0</x:v>
      </x:c>
      <x:c r="K508" s="4" t="inlineStr">
        <x:is>
          <x:t xml:space="preserve">Bank Transfer</x:t>
        </x:is>
      </x:c>
      <x:c r="L508" s="19" t="n">
        <x:v>214.72</x:v>
      </x:c>
      <x:c r="M508" s="19" t="n">
        <x:v>0</x:v>
      </x:c>
      <x:c r="N508" s="19" t="n">
        <x:v>214.72</x:v>
      </x:c>
      <x:c r="O508" s="4" t="n">
        <x:f>YEAR(C508)</x:f>
        <x:v>2025</x:v>
      </x:c>
      <x:c r="P508" s="4" t="str">
        <x:f>TEXT(C508,"yyyy-mm")</x:f>
        <x:v>2025-05</x:v>
      </x:c>
      <x:c r="Q508" s="4" t="str">
        <x:f>TEXT(C508,"mmmm")</x:f>
        <x:v>May</x:v>
      </x:c>
    </x:row>
    <x:row r="509" ht="20" customHeight="1">
      <x:c r="A509" s="4" t="inlineStr">
        <x:is>
          <x:t xml:space="preserve">LINE-00512</x:t>
        </x:is>
      </x:c>
      <x:c r="B509" s="4" t="inlineStr">
        <x:is>
          <x:t xml:space="preserve">ORD-2025-0321</x:t>
        </x:is>
      </x:c>
      <x:c r="C509" s="17" t="n">
        <x:v>45790</x:v>
      </x:c>
      <x:c r="D509" s="4" t="inlineStr">
        <x:is>
          <x:t xml:space="preserve">CUS-0047</x:t>
        </x:is>
      </x:c>
      <x:c r="E509" s="4" t="inlineStr">
        <x:is>
          <x:t xml:space="preserve">Keyboard</x:t>
        </x:is>
      </x:c>
      <x:c r="F509" s="4" t="inlineStr">
        <x:is>
          <x:t xml:space="preserve">Accessories</x:t>
        </x:is>
      </x:c>
      <x:c r="G509" s="4" t="inlineStr">
        <x:is>
          <x:t xml:space="preserve">Austin</x:t>
        </x:is>
      </x:c>
      <x:c r="H509" s="18" t="n">
        <x:v>3</x:v>
      </x:c>
      <x:c r="I509" s="19" t="n">
        <x:v>78.36</x:v>
      </x:c>
      <x:c r="J509" s="20" t="n">
        <x:v>0</x:v>
      </x:c>
      <x:c r="K509" s="4" t="inlineStr">
        <x:is>
          <x:t xml:space="preserve">Credit Card</x:t>
        </x:is>
      </x:c>
      <x:c r="L509" s="19" t="n">
        <x:v>235.08</x:v>
      </x:c>
      <x:c r="M509" s="19" t="n">
        <x:v>0</x:v>
      </x:c>
      <x:c r="N509" s="19" t="n">
        <x:v>235.08</x:v>
      </x:c>
      <x:c r="O509" s="4" t="n">
        <x:f>YEAR(C509)</x:f>
        <x:v>2025</x:v>
      </x:c>
      <x:c r="P509" s="4" t="str">
        <x:f>TEXT(C509,"yyyy-mm")</x:f>
        <x:v>2025-05</x:v>
      </x:c>
      <x:c r="Q509" s="4" t="str">
        <x:f>TEXT(C509,"mmmm")</x:f>
        <x:v>May</x:v>
      </x:c>
    </x:row>
    <x:row r="510" ht="20" customHeight="1">
      <x:c r="A510" s="4" t="inlineStr">
        <x:is>
          <x:t xml:space="preserve">LINE-00513</x:t>
        </x:is>
      </x:c>
      <x:c r="B510" s="4" t="inlineStr">
        <x:is>
          <x:t xml:space="preserve">ORD-2025-0322</x:t>
        </x:is>
      </x:c>
      <x:c r="C510" s="17" t="n">
        <x:v>45771</x:v>
      </x:c>
      <x:c r="D510" s="4" t="inlineStr">
        <x:is>
          <x:t xml:space="preserve">CUS-0332</x:t>
        </x:is>
      </x:c>
      <x:c r="E510" s="4" t="inlineStr">
        <x:is>
          <x:t xml:space="preserve">Headphones</x:t>
        </x:is>
      </x:c>
      <x:c r="F510" s="4" t="inlineStr">
        <x:is>
          <x:t xml:space="preserve">Audio</x:t>
        </x:is>
      </x:c>
      <x:c r="G510" s="4" t="inlineStr">
        <x:is>
          <x:t xml:space="preserve">Chicago</x:t>
        </x:is>
      </x:c>
      <x:c r="H510" s="18" t="n">
        <x:v>2</x:v>
      </x:c>
      <x:c r="I510" s="19" t="n">
        <x:v>137.58</x:v>
      </x:c>
      <x:c r="J510" s="20" t="n">
        <x:v>0.2</x:v>
      </x:c>
      <x:c r="K510" s="4" t="inlineStr">
        <x:is>
          <x:t xml:space="preserve">Debit Card</x:t>
        </x:is>
      </x:c>
      <x:c r="L510" s="19" t="n">
        <x:v>275.16</x:v>
      </x:c>
      <x:c r="M510" s="19" t="n">
        <x:v>55.03</x:v>
      </x:c>
      <x:c r="N510" s="19" t="n">
        <x:v>220.13</x:v>
      </x:c>
      <x:c r="O510" s="4" t="n">
        <x:f>YEAR(C510)</x:f>
        <x:v>2025</x:v>
      </x:c>
      <x:c r="P510" s="4" t="str">
        <x:f>TEXT(C510,"yyyy-mm")</x:f>
        <x:v>2025-04</x:v>
      </x:c>
      <x:c r="Q510" s="4" t="str">
        <x:f>TEXT(C510,"mmmm")</x:f>
        <x:v>April</x:v>
      </x:c>
    </x:row>
    <x:row r="511" ht="20" customHeight="1">
      <x:c r="A511" s="4" t="inlineStr">
        <x:is>
          <x:t xml:space="preserve">LINE-00514</x:t>
        </x:is>
      </x:c>
      <x:c r="B511" s="4" t="inlineStr">
        <x:is>
          <x:t xml:space="preserve">ORD-2025-0323</x:t>
        </x:is>
      </x:c>
      <x:c r="C511" s="17" t="n">
        <x:v>46007</x:v>
      </x:c>
      <x:c r="D511" s="4" t="inlineStr">
        <x:is>
          <x:t xml:space="preserve">CUS-0005</x:t>
        </x:is>
      </x:c>
      <x:c r="E511" s="4" t="inlineStr">
        <x:is>
          <x:t xml:space="preserve">USB Flash Drive</x:t>
        </x:is>
      </x:c>
      <x:c r="F511" s="4" t="inlineStr">
        <x:is>
          <x:t xml:space="preserve">Storage</x:t>
        </x:is>
      </x:c>
      <x:c r="G511" s="4" t="inlineStr">
        <x:is>
          <x:t xml:space="preserve">Seattle</x:t>
        </x:is>
      </x:c>
      <x:c r="H511" s="18" t="n">
        <x:v>1</x:v>
      </x:c>
      <x:c r="I511" s="19" t="n">
        <x:v>30.52</x:v>
      </x:c>
      <x:c r="J511" s="20" t="n">
        <x:v>0.15</x:v>
      </x:c>
      <x:c r="K511" s="4" t="inlineStr">
        <x:is>
          <x:t xml:space="preserve">Debit Card</x:t>
        </x:is>
      </x:c>
      <x:c r="L511" s="19" t="n">
        <x:v>30.52</x:v>
      </x:c>
      <x:c r="M511" s="19" t="n">
        <x:v>4.58</x:v>
      </x:c>
      <x:c r="N511" s="19" t="n">
        <x:v>25.94</x:v>
      </x:c>
      <x:c r="O511" s="4" t="n">
        <x:f>YEAR(C511)</x:f>
        <x:v>2025</x:v>
      </x:c>
      <x:c r="P511" s="4" t="str">
        <x:f>TEXT(C511,"yyyy-mm")</x:f>
        <x:v>2025-12</x:v>
      </x:c>
      <x:c r="Q511" s="4" t="str">
        <x:f>TEXT(C511,"mmmm")</x:f>
        <x:v>December</x:v>
      </x:c>
    </x:row>
    <x:row r="512" ht="20" customHeight="1">
      <x:c r="A512" s="4" t="inlineStr">
        <x:is>
          <x:t xml:space="preserve">LINE-00515</x:t>
        </x:is>
      </x:c>
      <x:c r="B512" s="4" t="inlineStr">
        <x:is>
          <x:t xml:space="preserve">ORD-2025-0323</x:t>
        </x:is>
      </x:c>
      <x:c r="C512" s="17" t="n">
        <x:v>46007</x:v>
      </x:c>
      <x:c r="D512" s="4" t="inlineStr">
        <x:is>
          <x:t xml:space="preserve">CUS-0005</x:t>
        </x:is>
      </x:c>
      <x:c r="E512" s="4" t="inlineStr">
        <x:is>
          <x:t xml:space="preserve">Laptop</x:t>
        </x:is>
      </x:c>
      <x:c r="F512" s="4" t="inlineStr">
        <x:is>
          <x:t xml:space="preserve">Computers</x:t>
        </x:is>
      </x:c>
      <x:c r="G512" s="4" t="inlineStr">
        <x:is>
          <x:t xml:space="preserve">Seattle</x:t>
        </x:is>
      </x:c>
      <x:c r="H512" s="18" t="n">
        <x:v>3</x:v>
      </x:c>
      <x:c r="I512" s="19" t="n">
        <x:v>981.8200000000001</x:v>
      </x:c>
      <x:c r="J512" s="20" t="n">
        <x:v>0</x:v>
      </x:c>
      <x:c r="K512" s="4" t="inlineStr">
        <x:is>
          <x:t xml:space="preserve">Debit Card</x:t>
        </x:is>
      </x:c>
      <x:c r="L512" s="19" t="n">
        <x:v>2945.46</x:v>
      </x:c>
      <x:c r="M512" s="19" t="n">
        <x:v>0</x:v>
      </x:c>
      <x:c r="N512" s="19" t="n">
        <x:v>2945.46</x:v>
      </x:c>
      <x:c r="O512" s="4" t="n">
        <x:f>YEAR(C512)</x:f>
        <x:v>2025</x:v>
      </x:c>
      <x:c r="P512" s="4" t="str">
        <x:f>TEXT(C512,"yyyy-mm")</x:f>
        <x:v>2025-12</x:v>
      </x:c>
      <x:c r="Q512" s="4" t="str">
        <x:f>TEXT(C512,"mmmm")</x:f>
        <x:v>December</x:v>
      </x:c>
    </x:row>
    <x:row r="513" ht="20" customHeight="1">
      <x:c r="A513" s="4" t="inlineStr">
        <x:is>
          <x:t xml:space="preserve">LINE-00516</x:t>
        </x:is>
      </x:c>
      <x:c r="B513" s="4" t="inlineStr">
        <x:is>
          <x:t xml:space="preserve">ORD-2025-0324</x:t>
        </x:is>
      </x:c>
      <x:c r="C513" s="17" t="n">
        <x:v>45850</x:v>
      </x:c>
      <x:c r="D513" s="4" t="inlineStr">
        <x:is>
          <x:t xml:space="preserve">CUS-0179</x:t>
        </x:is>
      </x:c>
      <x:c r="E513" s="4" t="inlineStr">
        <x:is>
          <x:t xml:space="preserve">USB-C Hub</x:t>
        </x:is>
      </x:c>
      <x:c r="F513" s="4" t="inlineStr">
        <x:is>
          <x:t xml:space="preserve">Accessories</x:t>
        </x:is>
      </x:c>
      <x:c r="G513" s="4" t="inlineStr">
        <x:is>
          <x:t xml:space="preserve">Seattle</x:t>
        </x:is>
      </x:c>
      <x:c r="H513" s="18" t="n">
        <x:v>2</x:v>
      </x:c>
      <x:c r="I513" s="19" t="n">
        <x:v>68.37</x:v>
      </x:c>
      <x:c r="J513" s="20" t="n">
        <x:v>0</x:v>
      </x:c>
      <x:c r="K513" s="4" t="inlineStr">
        <x:is>
          <x:t xml:space="preserve">PayPal</x:t>
        </x:is>
      </x:c>
      <x:c r="L513" s="19" t="n">
        <x:v>136.74</x:v>
      </x:c>
      <x:c r="M513" s="19" t="n">
        <x:v>0</x:v>
      </x:c>
      <x:c r="N513" s="19" t="n">
        <x:v>136.74</x:v>
      </x:c>
      <x:c r="O513" s="4" t="n">
        <x:f>YEAR(C513)</x:f>
        <x:v>2025</x:v>
      </x:c>
      <x:c r="P513" s="4" t="str">
        <x:f>TEXT(C513,"yyyy-mm")</x:f>
        <x:v>2025-07</x:v>
      </x:c>
      <x:c r="Q513" s="4" t="str">
        <x:f>TEXT(C513,"mmmm")</x:f>
        <x:v>July</x:v>
      </x:c>
    </x:row>
    <x:row r="514" ht="20" customHeight="1">
      <x:c r="A514" s="4" t="inlineStr">
        <x:is>
          <x:t xml:space="preserve">LINE-00517</x:t>
        </x:is>
      </x:c>
      <x:c r="B514" s="4" t="inlineStr">
        <x:is>
          <x:t xml:space="preserve">ORD-2025-0325</x:t>
        </x:is>
      </x:c>
      <x:c r="C514" s="17" t="n">
        <x:v>45710</x:v>
      </x:c>
      <x:c r="D514" s="4" t="inlineStr">
        <x:is>
          <x:t xml:space="preserve">CUS-0004</x:t>
        </x:is>
      </x:c>
      <x:c r="E514" s="4" t="inlineStr">
        <x:is>
          <x:t xml:space="preserve">USB Flash Drive</x:t>
        </x:is>
      </x:c>
      <x:c r="F514" s="4" t="inlineStr">
        <x:is>
          <x:t xml:space="preserve">Storage</x:t>
        </x:is>
      </x:c>
      <x:c r="G514" s="4" t="inlineStr">
        <x:is>
          <x:t xml:space="preserve">Boston</x:t>
        </x:is>
      </x:c>
      <x:c r="H514" s="18" t="n">
        <x:v>1</x:v>
      </x:c>
      <x:c r="I514" s="19" t="n">
        <x:v>30.89</x:v>
      </x:c>
      <x:c r="J514" s="20" t="n">
        <x:v>0.05</x:v>
      </x:c>
      <x:c r="K514" s="4" t="inlineStr">
        <x:is>
          <x:t xml:space="preserve">PayPal</x:t>
        </x:is>
      </x:c>
      <x:c r="L514" s="19" t="n">
        <x:v>30.89</x:v>
      </x:c>
      <x:c r="M514" s="19" t="n">
        <x:v>1.54</x:v>
      </x:c>
      <x:c r="N514" s="19" t="n">
        <x:v>29.35</x:v>
      </x:c>
      <x:c r="O514" s="4" t="n">
        <x:f>YEAR(C514)</x:f>
        <x:v>2025</x:v>
      </x:c>
      <x:c r="P514" s="4" t="str">
        <x:f>TEXT(C514,"yyyy-mm")</x:f>
        <x:v>2025-02</x:v>
      </x:c>
      <x:c r="Q514" s="4" t="str">
        <x:f>TEXT(C514,"mmmm")</x:f>
        <x:v>February</x:v>
      </x:c>
    </x:row>
    <x:row r="515" ht="20" customHeight="1">
      <x:c r="A515" s="4" t="inlineStr">
        <x:is>
          <x:t xml:space="preserve">LINE-00518</x:t>
        </x:is>
      </x:c>
      <x:c r="B515" s="4" t="inlineStr">
        <x:is>
          <x:t xml:space="preserve">ORD-2025-0325</x:t>
        </x:is>
      </x:c>
      <x:c r="C515" s="17" t="n">
        <x:v>45710</x:v>
      </x:c>
      <x:c r="D515" s="4" t="inlineStr">
        <x:is>
          <x:t xml:space="preserve">CUS-0004</x:t>
        </x:is>
      </x:c>
      <x:c r="E515" s="4" t="inlineStr">
        <x:is>
          <x:t xml:space="preserve">Desk Lamp</x:t>
        </x:is>
      </x:c>
      <x:c r="F515" s="4" t="inlineStr">
        <x:is>
          <x:t xml:space="preserve">Furniture</x:t>
        </x:is>
      </x:c>
      <x:c r="G515" s="4" t="inlineStr">
        <x:is>
          <x:t xml:space="preserve">Boston</x:t>
        </x:is>
      </x:c>
      <x:c r="H515" s="18" t="n">
        <x:v>1</x:v>
      </x:c>
      <x:c r="I515" s="19" t="n">
        <x:v>53.88</x:v>
      </x:c>
      <x:c r="J515" s="20" t="n">
        <x:v>0</x:v>
      </x:c>
      <x:c r="K515" s="4" t="inlineStr">
        <x:is>
          <x:t xml:space="preserve">PayPal</x:t>
        </x:is>
      </x:c>
      <x:c r="L515" s="19" t="n">
        <x:v>53.88</x:v>
      </x:c>
      <x:c r="M515" s="19" t="n">
        <x:v>0</x:v>
      </x:c>
      <x:c r="N515" s="19" t="n">
        <x:v>53.88</x:v>
      </x:c>
      <x:c r="O515" s="4" t="n">
        <x:f>YEAR(C515)</x:f>
        <x:v>2025</x:v>
      </x:c>
      <x:c r="P515" s="4" t="str">
        <x:f>TEXT(C515,"yyyy-mm")</x:f>
        <x:v>2025-02</x:v>
      </x:c>
      <x:c r="Q515" s="4" t="str">
        <x:f>TEXT(C515,"mmmm")</x:f>
        <x:v>February</x:v>
      </x:c>
    </x:row>
    <x:row r="516" ht="20" customHeight="1">
      <x:c r="A516" s="4" t="inlineStr">
        <x:is>
          <x:t xml:space="preserve">LINE-00519</x:t>
        </x:is>
      </x:c>
      <x:c r="B516" s="4" t="inlineStr">
        <x:is>
          <x:t xml:space="preserve">ORD-2025-0326</x:t>
        </x:is>
      </x:c>
      <x:c r="C516" s="17" t="n">
        <x:v>45799</x:v>
      </x:c>
      <x:c r="D516" s="4" t="inlineStr">
        <x:is>
          <x:t xml:space="preserve">CUS-0134</x:t>
        </x:is>
      </x:c>
      <x:c r="E516" s="4" t="inlineStr">
        <x:is>
          <x:t xml:space="preserve">External SSD</x:t>
        </x:is>
      </x:c>
      <x:c r="F516" s="4" t="inlineStr">
        <x:is>
          <x:t xml:space="preserve">Storage</x:t>
        </x:is>
      </x:c>
      <x:c r="G516" s="4" t="inlineStr">
        <x:is>
          <x:t xml:space="preserve">San Francisco</x:t>
        </x:is>
      </x:c>
      <x:c r="H516" s="18" t="n">
        <x:v>3</x:v>
      </x:c>
      <x:c r="I516" s="19" t="n">
        <x:v>159.59</x:v>
      </x:c>
      <x:c r="J516" s="20" t="n">
        <x:v>0.1</x:v>
      </x:c>
      <x:c r="K516" s="4" t="inlineStr">
        <x:is>
          <x:t xml:space="preserve">PayPal</x:t>
        </x:is>
      </x:c>
      <x:c r="L516" s="19" t="n">
        <x:v>478.77</x:v>
      </x:c>
      <x:c r="M516" s="19" t="n">
        <x:v>47.88</x:v>
      </x:c>
      <x:c r="N516" s="19" t="n">
        <x:v>430.89</x:v>
      </x:c>
      <x:c r="O516" s="4" t="n">
        <x:f>YEAR(C516)</x:f>
        <x:v>2025</x:v>
      </x:c>
      <x:c r="P516" s="4" t="str">
        <x:f>TEXT(C516,"yyyy-mm")</x:f>
        <x:v>2025-05</x:v>
      </x:c>
      <x:c r="Q516" s="4" t="str">
        <x:f>TEXT(C516,"mmmm")</x:f>
        <x:v>May</x:v>
      </x:c>
    </x:row>
    <x:row r="517" ht="20" customHeight="1">
      <x:c r="A517" s="4" t="inlineStr">
        <x:is>
          <x:t xml:space="preserve">LINE-00520</x:t>
        </x:is>
      </x:c>
      <x:c r="B517" s="4" t="inlineStr">
        <x:is>
          <x:t xml:space="preserve">ORD-2025-0327</x:t>
        </x:is>
      </x:c>
      <x:c r="C517" s="17" t="n">
        <x:v>45965</x:v>
      </x:c>
      <x:c r="D517" s="4" t="inlineStr">
        <x:is>
          <x:t xml:space="preserve">CUS-0207</x:t>
        </x:is>
      </x:c>
      <x:c r="E517" s="4" t="inlineStr">
        <x:is>
          <x:t xml:space="preserve">Desk Lamp</x:t>
        </x:is>
      </x:c>
      <x:c r="F517" s="4" t="inlineStr">
        <x:is>
          <x:t xml:space="preserve">Furniture</x:t>
        </x:is>
      </x:c>
      <x:c r="G517" s="4" t="inlineStr">
        <x:is>
          <x:t xml:space="preserve">San Francisco</x:t>
        </x:is>
      </x:c>
      <x:c r="H517" s="18" t="n">
        <x:v>2</x:v>
      </x:c>
      <x:c r="I517" s="19" t="n">
        <x:v>59.38</x:v>
      </x:c>
      <x:c r="J517" s="20" t="n">
        <x:v>0</x:v>
      </x:c>
      <x:c r="K517" s="4" t="inlineStr">
        <x:is>
          <x:t xml:space="preserve">PayPal</x:t>
        </x:is>
      </x:c>
      <x:c r="L517" s="19" t="n">
        <x:v>118.76</x:v>
      </x:c>
      <x:c r="M517" s="19" t="n">
        <x:v>0</x:v>
      </x:c>
      <x:c r="N517" s="19" t="n">
        <x:v>118.76</x:v>
      </x:c>
      <x:c r="O517" s="4" t="n">
        <x:f>YEAR(C517)</x:f>
        <x:v>2025</x:v>
      </x:c>
      <x:c r="P517" s="4" t="str">
        <x:f>TEXT(C517,"yyyy-mm")</x:f>
        <x:v>2025-11</x:v>
      </x:c>
      <x:c r="Q517" s="4" t="str">
        <x:f>TEXT(C517,"mmmm")</x:f>
        <x:v>November</x:v>
      </x:c>
    </x:row>
    <x:row r="518" ht="20" customHeight="1">
      <x:c r="A518" s="4" t="inlineStr">
        <x:is>
          <x:t xml:space="preserve">LINE-00521</x:t>
        </x:is>
      </x:c>
      <x:c r="B518" s="4" t="inlineStr">
        <x:is>
          <x:t xml:space="preserve">ORD-2025-0327</x:t>
        </x:is>
      </x:c>
      <x:c r="C518" s="17" t="n">
        <x:v>45965</x:v>
      </x:c>
      <x:c r="D518" s="4" t="inlineStr">
        <x:is>
          <x:t xml:space="preserve">CUS-0207</x:t>
        </x:is>
      </x:c>
      <x:c r="E518" s="4" t="inlineStr">
        <x:is>
          <x:t xml:space="preserve">Laptop</x:t>
        </x:is>
      </x:c>
      <x:c r="F518" s="4" t="inlineStr">
        <x:is>
          <x:t xml:space="preserve">Computers</x:t>
        </x:is>
      </x:c>
      <x:c r="G518" s="4" t="inlineStr">
        <x:is>
          <x:t xml:space="preserve">San Francisco</x:t>
        </x:is>
      </x:c>
      <x:c r="H518" s="18" t="n">
        <x:v>2</x:v>
      </x:c>
      <x:c r="I518" s="19" t="n">
        <x:v>933.02</x:v>
      </x:c>
      <x:c r="J518" s="20" t="n">
        <x:v>0</x:v>
      </x:c>
      <x:c r="K518" s="4" t="inlineStr">
        <x:is>
          <x:t xml:space="preserve">PayPal</x:t>
        </x:is>
      </x:c>
      <x:c r="L518" s="19" t="n">
        <x:v>1866.04</x:v>
      </x:c>
      <x:c r="M518" s="19" t="n">
        <x:v>0</x:v>
      </x:c>
      <x:c r="N518" s="19" t="n">
        <x:v>1866.04</x:v>
      </x:c>
      <x:c r="O518" s="4" t="n">
        <x:f>YEAR(C518)</x:f>
        <x:v>2025</x:v>
      </x:c>
      <x:c r="P518" s="4" t="str">
        <x:f>TEXT(C518,"yyyy-mm")</x:f>
        <x:v>2025-11</x:v>
      </x:c>
      <x:c r="Q518" s="4" t="str">
        <x:f>TEXT(C518,"mmmm")</x:f>
        <x:v>November</x:v>
      </x:c>
    </x:row>
    <x:row r="519" ht="20" customHeight="1">
      <x:c r="A519" s="4" t="inlineStr">
        <x:is>
          <x:t xml:space="preserve">LINE-00522</x:t>
        </x:is>
      </x:c>
      <x:c r="B519" s="4" t="inlineStr">
        <x:is>
          <x:t xml:space="preserve">ORD-2025-0328</x:t>
        </x:is>
      </x:c>
      <x:c r="C519" s="17" t="n">
        <x:v>46020</x:v>
      </x:c>
      <x:c r="D519" s="4" t="inlineStr">
        <x:is>
          <x:t xml:space="preserve">CUS-0293</x:t>
        </x:is>
      </x:c>
      <x:c r="E519" s="4" t="inlineStr">
        <x:is>
          <x:t xml:space="preserve">Wireless Mouse</x:t>
        </x:is>
      </x:c>
      <x:c r="F519" s="4" t="inlineStr">
        <x:is>
          <x:t xml:space="preserve">Accessories</x:t>
        </x:is>
      </x:c>
      <x:c r="G519" s="4" t="inlineStr">
        <x:is>
          <x:t xml:space="preserve">Chicago</x:t>
        </x:is>
      </x:c>
      <x:c r="H519" s="18" t="n">
        <x:v>2</x:v>
      </x:c>
      <x:c r="I519" s="19" t="n">
        <x:v>47.05</x:v>
      </x:c>
      <x:c r="J519" s="20" t="n">
        <x:v>0.15</x:v>
      </x:c>
      <x:c r="K519" s="4" t="inlineStr">
        <x:is>
          <x:t xml:space="preserve">PayPal</x:t>
        </x:is>
      </x:c>
      <x:c r="L519" s="19" t="n">
        <x:v>94.09999999999999</x:v>
      </x:c>
      <x:c r="M519" s="19" t="n">
        <x:v>14.11</x:v>
      </x:c>
      <x:c r="N519" s="19" t="n">
        <x:v>79.98999999999999</x:v>
      </x:c>
      <x:c r="O519" s="4" t="n">
        <x:f>YEAR(C519)</x:f>
        <x:v>2025</x:v>
      </x:c>
      <x:c r="P519" s="4" t="str">
        <x:f>TEXT(C519,"yyyy-mm")</x:f>
        <x:v>2025-12</x:v>
      </x:c>
      <x:c r="Q519" s="4" t="str">
        <x:f>TEXT(C519,"mmmm")</x:f>
        <x:v>December</x:v>
      </x:c>
    </x:row>
    <x:row r="520" ht="20" customHeight="1">
      <x:c r="A520" s="4" t="inlineStr">
        <x:is>
          <x:t xml:space="preserve">LINE-00523</x:t>
        </x:is>
      </x:c>
      <x:c r="B520" s="4" t="inlineStr">
        <x:is>
          <x:t xml:space="preserve">ORD-2025-0328</x:t>
        </x:is>
      </x:c>
      <x:c r="C520" s="17" t="n">
        <x:v>46020</x:v>
      </x:c>
      <x:c r="D520" s="4" t="inlineStr">
        <x:is>
          <x:t xml:space="preserve">CUS-0293</x:t>
        </x:is>
      </x:c>
      <x:c r="E520" s="4" t="inlineStr">
        <x:is>
          <x:t xml:space="preserve">Office Chair</x:t>
        </x:is>
      </x:c>
      <x:c r="F520" s="4" t="inlineStr">
        <x:is>
          <x:t xml:space="preserve">Furniture</x:t>
        </x:is>
      </x:c>
      <x:c r="G520" s="4" t="inlineStr">
        <x:is>
          <x:t xml:space="preserve">Chicago</x:t>
        </x:is>
      </x:c>
      <x:c r="H520" s="18" t="n">
        <x:v>2</x:v>
      </x:c>
      <x:c r="I520" s="19" t="n">
        <x:v>240.28</x:v>
      </x:c>
      <x:c r="J520" s="20" t="n">
        <x:v>0.1</x:v>
      </x:c>
      <x:c r="K520" s="4" t="inlineStr">
        <x:is>
          <x:t xml:space="preserve">PayPal</x:t>
        </x:is>
      </x:c>
      <x:c r="L520" s="19" t="n">
        <x:v>480.56</x:v>
      </x:c>
      <x:c r="M520" s="19" t="n">
        <x:v>48.06</x:v>
      </x:c>
      <x:c r="N520" s="19" t="n">
        <x:v>432.5</x:v>
      </x:c>
      <x:c r="O520" s="4" t="n">
        <x:f>YEAR(C520)</x:f>
        <x:v>2025</x:v>
      </x:c>
      <x:c r="P520" s="4" t="str">
        <x:f>TEXT(C520,"yyyy-mm")</x:f>
        <x:v>2025-12</x:v>
      </x:c>
      <x:c r="Q520" s="4" t="str">
        <x:f>TEXT(C520,"mmmm")</x:f>
        <x:v>December</x:v>
      </x:c>
    </x:row>
    <x:row r="521" ht="20" customHeight="1">
      <x:c r="A521" s="4" t="inlineStr">
        <x:is>
          <x:t xml:space="preserve">LINE-00524</x:t>
        </x:is>
      </x:c>
      <x:c r="B521" s="4" t="inlineStr">
        <x:is>
          <x:t xml:space="preserve">ORD-2025-0329</x:t>
        </x:is>
      </x:c>
      <x:c r="C521" s="17" t="n">
        <x:v>45994</x:v>
      </x:c>
      <x:c r="D521" s="4" t="inlineStr">
        <x:is>
          <x:t xml:space="preserve">CUS-0286</x:t>
        </x:is>
      </x:c>
      <x:c r="E521" s="4" t="inlineStr">
        <x:is>
          <x:t xml:space="preserve">Keyboard</x:t>
        </x:is>
      </x:c>
      <x:c r="F521" s="4" t="inlineStr">
        <x:is>
          <x:t xml:space="preserve">Accessories</x:t>
        </x:is>
      </x:c>
      <x:c r="G521" s="4" t="inlineStr">
        <x:is>
          <x:t xml:space="preserve">Chicago</x:t>
        </x:is>
      </x:c>
      <x:c r="H521" s="18" t="n">
        <x:v>3</x:v>
      </x:c>
      <x:c r="I521" s="19" t="n">
        <x:v>77.7</x:v>
      </x:c>
      <x:c r="J521" s="20" t="n">
        <x:v>0.05</x:v>
      </x:c>
      <x:c r="K521" s="4" t="inlineStr">
        <x:is>
          <x:t xml:space="preserve">PayPal</x:t>
        </x:is>
      </x:c>
      <x:c r="L521" s="19" t="n">
        <x:v>233.1</x:v>
      </x:c>
      <x:c r="M521" s="19" t="n">
        <x:v>11.66</x:v>
      </x:c>
      <x:c r="N521" s="19" t="n">
        <x:v>221.44</x:v>
      </x:c>
      <x:c r="O521" s="4" t="n">
        <x:f>YEAR(C521)</x:f>
        <x:v>2025</x:v>
      </x:c>
      <x:c r="P521" s="4" t="str">
        <x:f>TEXT(C521,"yyyy-mm")</x:f>
        <x:v>2025-12</x:v>
      </x:c>
      <x:c r="Q521" s="4" t="str">
        <x:f>TEXT(C521,"mmmm")</x:f>
        <x:v>December</x:v>
      </x:c>
    </x:row>
    <x:row r="522" ht="20" customHeight="1">
      <x:c r="A522" s="4" t="inlineStr">
        <x:is>
          <x:t xml:space="preserve">LINE-00525</x:t>
        </x:is>
      </x:c>
      <x:c r="B522" s="4" t="inlineStr">
        <x:is>
          <x:t xml:space="preserve">ORD-2025-0330</x:t>
        </x:is>
      </x:c>
      <x:c r="C522" s="17" t="n">
        <x:v>45751</x:v>
      </x:c>
      <x:c r="D522" s="4" t="inlineStr">
        <x:is>
          <x:t xml:space="preserve">CUS-0349</x:t>
        </x:is>
      </x:c>
      <x:c r="E522" s="4" t="inlineStr">
        <x:is>
          <x:t xml:space="preserve">Wireless Mouse</x:t>
        </x:is>
      </x:c>
      <x:c r="F522" s="4" t="inlineStr">
        <x:is>
          <x:t xml:space="preserve">Accessories</x:t>
        </x:is>
      </x:c>
      <x:c r="G522" s="4" t="inlineStr">
        <x:is>
          <x:t xml:space="preserve">Austin</x:t>
        </x:is>
      </x:c>
      <x:c r="H522" s="18" t="n">
        <x:v>3</x:v>
      </x:c>
      <x:c r="I522" s="19" t="n">
        <x:v>43.61</x:v>
      </x:c>
      <x:c r="J522" s="20" t="n">
        <x:v>0.1</x:v>
      </x:c>
      <x:c r="K522" s="4" t="inlineStr">
        <x:is>
          <x:t xml:space="preserve">Credit Card</x:t>
        </x:is>
      </x:c>
      <x:c r="L522" s="19" t="n">
        <x:v>130.83</x:v>
      </x:c>
      <x:c r="M522" s="19" t="n">
        <x:v>13.08</x:v>
      </x:c>
      <x:c r="N522" s="19" t="n">
        <x:v>117.75</x:v>
      </x:c>
      <x:c r="O522" s="4" t="n">
        <x:f>YEAR(C522)</x:f>
        <x:v>2025</x:v>
      </x:c>
      <x:c r="P522" s="4" t="str">
        <x:f>TEXT(C522,"yyyy-mm")</x:f>
        <x:v>2025-04</x:v>
      </x:c>
      <x:c r="Q522" s="4" t="str">
        <x:f>TEXT(C522,"mmmm")</x:f>
        <x:v>April</x:v>
      </x:c>
    </x:row>
    <x:row r="523" ht="20" customHeight="1">
      <x:c r="A523" s="4" t="inlineStr">
        <x:is>
          <x:t xml:space="preserve">LINE-00526</x:t>
        </x:is>
      </x:c>
      <x:c r="B523" s="4" t="inlineStr">
        <x:is>
          <x:t xml:space="preserve">ORD-2025-0331</x:t>
        </x:is>
      </x:c>
      <x:c r="C523" s="17" t="n">
        <x:v>45827</x:v>
      </x:c>
      <x:c r="D523" s="4" t="inlineStr">
        <x:is>
          <x:t xml:space="preserve">CUS-0191</x:t>
        </x:is>
      </x:c>
      <x:c r="E523" s="4" t="inlineStr">
        <x:is>
          <x:t xml:space="preserve">Monitor</x:t>
        </x:is>
      </x:c>
      <x:c r="F523" s="4" t="inlineStr">
        <x:is>
          <x:t xml:space="preserve">Computers</x:t>
        </x:is>
      </x:c>
      <x:c r="G523" s="4" t="inlineStr">
        <x:is>
          <x:t xml:space="preserve">Austin</x:t>
        </x:is>
      </x:c>
      <x:c r="H523" s="18" t="n">
        <x:v>2</x:v>
      </x:c>
      <x:c r="I523" s="19" t="n">
        <x:v>296.41</x:v>
      </x:c>
      <x:c r="J523" s="20" t="n">
        <x:v>0.05</x:v>
      </x:c>
      <x:c r="K523" s="4" t="inlineStr">
        <x:is>
          <x:t xml:space="preserve">Unknown</x:t>
        </x:is>
      </x:c>
      <x:c r="L523" s="19" t="n">
        <x:v>592.8200000000001</x:v>
      </x:c>
      <x:c r="M523" s="19" t="n">
        <x:v>29.64</x:v>
      </x:c>
      <x:c r="N523" s="19" t="n">
        <x:v>563.1799999999999</x:v>
      </x:c>
      <x:c r="O523" s="4" t="n">
        <x:f>YEAR(C523)</x:f>
        <x:v>2025</x:v>
      </x:c>
      <x:c r="P523" s="4" t="str">
        <x:f>TEXT(C523,"yyyy-mm")</x:f>
        <x:v>2025-06</x:v>
      </x:c>
      <x:c r="Q523" s="4" t="str">
        <x:f>TEXT(C523,"mmmm")</x:f>
        <x:v>June</x:v>
      </x:c>
    </x:row>
    <x:row r="524" ht="20" customHeight="1">
      <x:c r="A524" s="4" t="inlineStr">
        <x:is>
          <x:t xml:space="preserve">LINE-00527</x:t>
        </x:is>
      </x:c>
      <x:c r="B524" s="4" t="inlineStr">
        <x:is>
          <x:t xml:space="preserve">ORD-2025-0332</x:t>
        </x:is>
      </x:c>
      <x:c r="C524" s="17" t="n">
        <x:v>45975</x:v>
      </x:c>
      <x:c r="D524" s="4" t="inlineStr">
        <x:is>
          <x:t xml:space="preserve">CUS-0037</x:t>
        </x:is>
      </x:c>
      <x:c r="E524" s="4" t="inlineStr">
        <x:is>
          <x:t xml:space="preserve">Office Chair</x:t>
        </x:is>
      </x:c>
      <x:c r="F524" s="4" t="inlineStr">
        <x:is>
          <x:t xml:space="preserve">Furniture</x:t>
        </x:is>
      </x:c>
      <x:c r="G524" s="4" t="inlineStr">
        <x:is>
          <x:t xml:space="preserve">Seattle</x:t>
        </x:is>
      </x:c>
      <x:c r="H524" s="18" t="n">
        <x:v>2</x:v>
      </x:c>
      <x:c r="I524" s="19" t="n">
        <x:v>236.66</x:v>
      </x:c>
      <x:c r="J524" s="20" t="n">
        <x:v>0.15</x:v>
      </x:c>
      <x:c r="K524" s="4" t="inlineStr">
        <x:is>
          <x:t xml:space="preserve">Debit Card</x:t>
        </x:is>
      </x:c>
      <x:c r="L524" s="19" t="n">
        <x:v>473.32</x:v>
      </x:c>
      <x:c r="M524" s="19" t="n">
        <x:v>71</x:v>
      </x:c>
      <x:c r="N524" s="19" t="n">
        <x:v>402.32</x:v>
      </x:c>
      <x:c r="O524" s="4" t="n">
        <x:f>YEAR(C524)</x:f>
        <x:v>2025</x:v>
      </x:c>
      <x:c r="P524" s="4" t="str">
        <x:f>TEXT(C524,"yyyy-mm")</x:f>
        <x:v>2025-11</x:v>
      </x:c>
      <x:c r="Q524" s="4" t="str">
        <x:f>TEXT(C524,"mmmm")</x:f>
        <x:v>November</x:v>
      </x:c>
    </x:row>
    <x:row r="525" ht="20" customHeight="1">
      <x:c r="A525" s="4" t="inlineStr">
        <x:is>
          <x:t xml:space="preserve">LINE-00528</x:t>
        </x:is>
      </x:c>
      <x:c r="B525" s="4" t="inlineStr">
        <x:is>
          <x:t xml:space="preserve">ORD-2025-0332</x:t>
        </x:is>
      </x:c>
      <x:c r="C525" s="17" t="n">
        <x:v>45975</x:v>
      </x:c>
      <x:c r="D525" s="4" t="inlineStr">
        <x:is>
          <x:t xml:space="preserve">CUS-0037</x:t>
        </x:is>
      </x:c>
      <x:c r="E525" s="4" t="inlineStr">
        <x:is>
          <x:t xml:space="preserve">Headphones</x:t>
        </x:is>
      </x:c>
      <x:c r="F525" s="4" t="inlineStr">
        <x:is>
          <x:t xml:space="preserve">Audio</x:t>
        </x:is>
      </x:c>
      <x:c r="G525" s="4" t="inlineStr">
        <x:is>
          <x:t xml:space="preserve">Seattle</x:t>
        </x:is>
      </x:c>
      <x:c r="H525" s="18" t="n">
        <x:v>1</x:v>
      </x:c>
      <x:c r="I525" s="19" t="n">
        <x:v>140.24</x:v>
      </x:c>
      <x:c r="J525" s="20" t="n">
        <x:v>0</x:v>
      </x:c>
      <x:c r="K525" s="4" t="inlineStr">
        <x:is>
          <x:t xml:space="preserve">Debit Card</x:t>
        </x:is>
      </x:c>
      <x:c r="L525" s="19" t="n">
        <x:v>140.24</x:v>
      </x:c>
      <x:c r="M525" s="19" t="n">
        <x:v>0</x:v>
      </x:c>
      <x:c r="N525" s="19" t="n">
        <x:v>140.24</x:v>
      </x:c>
      <x:c r="O525" s="4" t="n">
        <x:f>YEAR(C525)</x:f>
        <x:v>2025</x:v>
      </x:c>
      <x:c r="P525" s="4" t="str">
        <x:f>TEXT(C525,"yyyy-mm")</x:f>
        <x:v>2025-11</x:v>
      </x:c>
      <x:c r="Q525" s="4" t="str">
        <x:f>TEXT(C525,"mmmm")</x:f>
        <x:v>November</x:v>
      </x:c>
    </x:row>
    <x:row r="526" ht="20" customHeight="1">
      <x:c r="A526" s="4" t="inlineStr">
        <x:is>
          <x:t xml:space="preserve">LINE-00529</x:t>
        </x:is>
      </x:c>
      <x:c r="B526" s="4" t="inlineStr">
        <x:is>
          <x:t xml:space="preserve">ORD-2025-0333</x:t>
        </x:is>
      </x:c>
      <x:c r="C526" s="17" t="n">
        <x:v>45949</x:v>
      </x:c>
      <x:c r="D526" s="4" t="inlineStr">
        <x:is>
          <x:t xml:space="preserve">CUS-0235</x:t>
        </x:is>
      </x:c>
      <x:c r="E526" s="4" t="inlineStr">
        <x:is>
          <x:t xml:space="preserve">Keyboard</x:t>
        </x:is>
      </x:c>
      <x:c r="F526" s="4" t="inlineStr">
        <x:is>
          <x:t xml:space="preserve">Accessories</x:t>
        </x:is>
      </x:c>
      <x:c r="G526" s="4" t="inlineStr">
        <x:is>
          <x:t xml:space="preserve">Chicago</x:t>
        </x:is>
      </x:c>
      <x:c r="H526" s="18" t="n">
        <x:v>1</x:v>
      </x:c>
      <x:c r="I526" s="19" t="n">
        <x:v>80.84</x:v>
      </x:c>
      <x:c r="J526" s="20" t="n">
        <x:v>0</x:v>
      </x:c>
      <x:c r="K526" s="4" t="inlineStr">
        <x:is>
          <x:t xml:space="preserve">PayPal</x:t>
        </x:is>
      </x:c>
      <x:c r="L526" s="19" t="n">
        <x:v>80.84</x:v>
      </x:c>
      <x:c r="M526" s="19" t="n">
        <x:v>0</x:v>
      </x:c>
      <x:c r="N526" s="19" t="n">
        <x:v>80.84</x:v>
      </x:c>
      <x:c r="O526" s="4" t="n">
        <x:f>YEAR(C526)</x:f>
        <x:v>2025</x:v>
      </x:c>
      <x:c r="P526" s="4" t="str">
        <x:f>TEXT(C526,"yyyy-mm")</x:f>
        <x:v>2025-10</x:v>
      </x:c>
      <x:c r="Q526" s="4" t="str">
        <x:f>TEXT(C526,"mmmm")</x:f>
        <x:v>October</x:v>
      </x:c>
    </x:row>
    <x:row r="527" ht="20" customHeight="1">
      <x:c r="A527" s="4" t="inlineStr">
        <x:is>
          <x:t xml:space="preserve">LINE-00530</x:t>
        </x:is>
      </x:c>
      <x:c r="B527" s="4" t="inlineStr">
        <x:is>
          <x:t xml:space="preserve">ORD-2025-0333</x:t>
        </x:is>
      </x:c>
      <x:c r="C527" s="17" t="n">
        <x:v>45949</x:v>
      </x:c>
      <x:c r="D527" s="4" t="inlineStr">
        <x:is>
          <x:t xml:space="preserve">CUS-0235</x:t>
        </x:is>
      </x:c>
      <x:c r="E527" s="4" t="inlineStr">
        <x:is>
          <x:t xml:space="preserve">Monitor</x:t>
        </x:is>
      </x:c>
      <x:c r="F527" s="4" t="inlineStr">
        <x:is>
          <x:t xml:space="preserve">Computers</x:t>
        </x:is>
      </x:c>
      <x:c r="G527" s="4" t="inlineStr">
        <x:is>
          <x:t xml:space="preserve">Chicago</x:t>
        </x:is>
      </x:c>
      <x:c r="H527" s="18" t="n">
        <x:v>1</x:v>
      </x:c>
      <x:c r="I527" s="19" t="n">
        <x:v>277.85</x:v>
      </x:c>
      <x:c r="J527" s="20" t="n">
        <x:v>0</x:v>
      </x:c>
      <x:c r="K527" s="4" t="inlineStr">
        <x:is>
          <x:t xml:space="preserve">PayPal</x:t>
        </x:is>
      </x:c>
      <x:c r="L527" s="19" t="n">
        <x:v>277.85</x:v>
      </x:c>
      <x:c r="M527" s="19" t="n">
        <x:v>0</x:v>
      </x:c>
      <x:c r="N527" s="19" t="n">
        <x:v>277.85</x:v>
      </x:c>
      <x:c r="O527" s="4" t="n">
        <x:f>YEAR(C527)</x:f>
        <x:v>2025</x:v>
      </x:c>
      <x:c r="P527" s="4" t="str">
        <x:f>TEXT(C527,"yyyy-mm")</x:f>
        <x:v>2025-10</x:v>
      </x:c>
      <x:c r="Q527" s="4" t="str">
        <x:f>TEXT(C527,"mmmm")</x:f>
        <x:v>October</x:v>
      </x:c>
    </x:row>
    <x:row r="528" ht="20" customHeight="1">
      <x:c r="A528" s="4" t="inlineStr">
        <x:is>
          <x:t xml:space="preserve">LINE-00531</x:t>
        </x:is>
      </x:c>
      <x:c r="B528" s="4" t="inlineStr">
        <x:is>
          <x:t xml:space="preserve">ORD-2025-0333</x:t>
        </x:is>
      </x:c>
      <x:c r="C528" s="17" t="n">
        <x:v>45949</x:v>
      </x:c>
      <x:c r="D528" s="4" t="inlineStr">
        <x:is>
          <x:t xml:space="preserve">CUS-0235</x:t>
        </x:is>
      </x:c>
      <x:c r="E528" s="4" t="inlineStr">
        <x:is>
          <x:t xml:space="preserve">Bluetooth Speaker</x:t>
        </x:is>
      </x:c>
      <x:c r="F528" s="4" t="inlineStr">
        <x:is>
          <x:t xml:space="preserve">Audio</x:t>
        </x:is>
      </x:c>
      <x:c r="G528" s="4" t="inlineStr">
        <x:is>
          <x:t xml:space="preserve">Chicago</x:t>
        </x:is>
      </x:c>
      <x:c r="H528" s="18" t="n">
        <x:v>3</x:v>
      </x:c>
      <x:c r="I528" s="19" t="n">
        <x:v>111.34</x:v>
      </x:c>
      <x:c r="J528" s="20" t="n">
        <x:v>0</x:v>
      </x:c>
      <x:c r="K528" s="4" t="inlineStr">
        <x:is>
          <x:t xml:space="preserve">PayPal</x:t>
        </x:is>
      </x:c>
      <x:c r="L528" s="19" t="n">
        <x:v>334.02</x:v>
      </x:c>
      <x:c r="M528" s="19" t="n">
        <x:v>0</x:v>
      </x:c>
      <x:c r="N528" s="19" t="n">
        <x:v>334.02</x:v>
      </x:c>
      <x:c r="O528" s="4" t="n">
        <x:f>YEAR(C528)</x:f>
        <x:v>2025</x:v>
      </x:c>
      <x:c r="P528" s="4" t="str">
        <x:f>TEXT(C528,"yyyy-mm")</x:f>
        <x:v>2025-10</x:v>
      </x:c>
      <x:c r="Q528" s="4" t="str">
        <x:f>TEXT(C528,"mmmm")</x:f>
        <x:v>October</x:v>
      </x:c>
    </x:row>
    <x:row r="529" ht="20" customHeight="1">
      <x:c r="A529" s="4" t="inlineStr">
        <x:is>
          <x:t xml:space="preserve">LINE-00532</x:t>
        </x:is>
      </x:c>
      <x:c r="B529" s="4" t="inlineStr">
        <x:is>
          <x:t xml:space="preserve">ORD-2025-0334</x:t>
        </x:is>
      </x:c>
      <x:c r="C529" s="17" t="n">
        <x:v>45703</x:v>
      </x:c>
      <x:c r="D529" s="4" t="inlineStr">
        <x:is>
          <x:t xml:space="preserve">CUS-0067</x:t>
        </x:is>
      </x:c>
      <x:c r="E529" s="4" t="inlineStr">
        <x:is>
          <x:t xml:space="preserve">Headphones</x:t>
        </x:is>
      </x:c>
      <x:c r="F529" s="4" t="inlineStr">
        <x:is>
          <x:t xml:space="preserve">Audio</x:t>
        </x:is>
      </x:c>
      <x:c r="G529" s="4" t="inlineStr">
        <x:is>
          <x:t xml:space="preserve">Boston</x:t>
        </x:is>
      </x:c>
      <x:c r="H529" s="18" t="n">
        <x:v>5</x:v>
      </x:c>
      <x:c r="I529" s="19" t="n">
        <x:v>127.57</x:v>
      </x:c>
      <x:c r="J529" s="20" t="n">
        <x:v>0</x:v>
      </x:c>
      <x:c r="K529" s="4" t="inlineStr">
        <x:is>
          <x:t xml:space="preserve">Bank Transfer</x:t>
        </x:is>
      </x:c>
      <x:c r="L529" s="19" t="n">
        <x:v>637.85</x:v>
      </x:c>
      <x:c r="M529" s="19" t="n">
        <x:v>0</x:v>
      </x:c>
      <x:c r="N529" s="19" t="n">
        <x:v>637.85</x:v>
      </x:c>
      <x:c r="O529" s="4" t="n">
        <x:f>YEAR(C529)</x:f>
        <x:v>2025</x:v>
      </x:c>
      <x:c r="P529" s="4" t="str">
        <x:f>TEXT(C529,"yyyy-mm")</x:f>
        <x:v>2025-02</x:v>
      </x:c>
      <x:c r="Q529" s="4" t="str">
        <x:f>TEXT(C529,"mmmm")</x:f>
        <x:v>February</x:v>
      </x:c>
    </x:row>
    <x:row r="530" ht="20" customHeight="1">
      <x:c r="A530" s="4" t="inlineStr">
        <x:is>
          <x:t xml:space="preserve">LINE-00533</x:t>
        </x:is>
      </x:c>
      <x:c r="B530" s="4" t="inlineStr">
        <x:is>
          <x:t xml:space="preserve">ORD-2025-0334</x:t>
        </x:is>
      </x:c>
      <x:c r="C530" s="17" t="n">
        <x:v>45703</x:v>
      </x:c>
      <x:c r="D530" s="4" t="inlineStr">
        <x:is>
          <x:t xml:space="preserve">CUS-0067</x:t>
        </x:is>
      </x:c>
      <x:c r="E530" s="4" t="inlineStr">
        <x:is>
          <x:t xml:space="preserve">Desk Lamp</x:t>
        </x:is>
      </x:c>
      <x:c r="F530" s="4" t="inlineStr">
        <x:is>
          <x:t xml:space="preserve">Furniture</x:t>
        </x:is>
      </x:c>
      <x:c r="G530" s="4" t="inlineStr">
        <x:is>
          <x:t xml:space="preserve">Boston</x:t>
        </x:is>
      </x:c>
      <x:c r="H530" s="18" t="n">
        <x:v>1</x:v>
      </x:c>
      <x:c r="I530" s="19" t="n">
        <x:v>53.88</x:v>
      </x:c>
      <x:c r="J530" s="20" t="n">
        <x:v>0</x:v>
      </x:c>
      <x:c r="K530" s="4" t="inlineStr">
        <x:is>
          <x:t xml:space="preserve">Bank Transfer</x:t>
        </x:is>
      </x:c>
      <x:c r="L530" s="19" t="n">
        <x:v>53.88</x:v>
      </x:c>
      <x:c r="M530" s="19" t="n">
        <x:v>0</x:v>
      </x:c>
      <x:c r="N530" s="19" t="n">
        <x:v>53.88</x:v>
      </x:c>
      <x:c r="O530" s="4" t="n">
        <x:f>YEAR(C530)</x:f>
        <x:v>2025</x:v>
      </x:c>
      <x:c r="P530" s="4" t="str">
        <x:f>TEXT(C530,"yyyy-mm")</x:f>
        <x:v>2025-02</x:v>
      </x:c>
      <x:c r="Q530" s="4" t="str">
        <x:f>TEXT(C530,"mmmm")</x:f>
        <x:v>February</x:v>
      </x:c>
    </x:row>
    <x:row r="531" ht="20" customHeight="1">
      <x:c r="A531" s="4" t="inlineStr">
        <x:is>
          <x:t xml:space="preserve">LINE-00534</x:t>
        </x:is>
      </x:c>
      <x:c r="B531" s="4" t="inlineStr">
        <x:is>
          <x:t xml:space="preserve">ORD-2025-0335</x:t>
        </x:is>
      </x:c>
      <x:c r="C531" s="17" t="n">
        <x:v>45822</x:v>
      </x:c>
      <x:c r="D531" s="4" t="inlineStr">
        <x:is>
          <x:t xml:space="preserve">CUS-0272</x:t>
        </x:is>
      </x:c>
      <x:c r="E531" s="4" t="inlineStr">
        <x:is>
          <x:t xml:space="preserve">Office Chair</x:t>
        </x:is>
      </x:c>
      <x:c r="F531" s="4" t="inlineStr">
        <x:is>
          <x:t xml:space="preserve">Furniture</x:t>
        </x:is>
      </x:c>
      <x:c r="G531" s="4" t="inlineStr">
        <x:is>
          <x:t xml:space="preserve">Chicago</x:t>
        </x:is>
      </x:c>
      <x:c r="H531" s="18" t="n">
        <x:v>1</x:v>
      </x:c>
      <x:c r="I531" s="19" t="n">
        <x:v>254.48</x:v>
      </x:c>
      <x:c r="J531" s="20" t="n">
        <x:v>0</x:v>
      </x:c>
      <x:c r="K531" s="4" t="inlineStr">
        <x:is>
          <x:t xml:space="preserve">Credit Card</x:t>
        </x:is>
      </x:c>
      <x:c r="L531" s="19" t="n">
        <x:v>254.48</x:v>
      </x:c>
      <x:c r="M531" s="19" t="n">
        <x:v>0</x:v>
      </x:c>
      <x:c r="N531" s="19" t="n">
        <x:v>254.48</x:v>
      </x:c>
      <x:c r="O531" s="4" t="n">
        <x:f>YEAR(C531)</x:f>
        <x:v>2025</x:v>
      </x:c>
      <x:c r="P531" s="4" t="str">
        <x:f>TEXT(C531,"yyyy-mm")</x:f>
        <x:v>2025-06</x:v>
      </x:c>
      <x:c r="Q531" s="4" t="str">
        <x:f>TEXT(C531,"mmmm")</x:f>
        <x:v>June</x:v>
      </x:c>
    </x:row>
    <x:row r="532" ht="20" customHeight="1">
      <x:c r="A532" s="4" t="inlineStr">
        <x:is>
          <x:t xml:space="preserve">LINE-00535</x:t>
        </x:is>
      </x:c>
      <x:c r="B532" s="4" t="inlineStr">
        <x:is>
          <x:t xml:space="preserve">ORD-2025-0335</x:t>
        </x:is>
      </x:c>
      <x:c r="C532" s="17" t="n">
        <x:v>45822</x:v>
      </x:c>
      <x:c r="D532" s="4" t="inlineStr">
        <x:is>
          <x:t xml:space="preserve">CUS-0272</x:t>
        </x:is>
      </x:c>
      <x:c r="E532" s="4" t="inlineStr">
        <x:is>
          <x:t xml:space="preserve">Wireless Mouse</x:t>
        </x:is>
      </x:c>
      <x:c r="F532" s="4" t="inlineStr">
        <x:is>
          <x:t xml:space="preserve">Accessories</x:t>
        </x:is>
      </x:c>
      <x:c r="G532" s="4" t="inlineStr">
        <x:is>
          <x:t xml:space="preserve">Chicago</x:t>
        </x:is>
      </x:c>
      <x:c r="H532" s="18" t="n">
        <x:v>1</x:v>
      </x:c>
      <x:c r="I532" s="19" t="n">
        <x:v>45.02</x:v>
      </x:c>
      <x:c r="J532" s="20" t="n">
        <x:v>0</x:v>
      </x:c>
      <x:c r="K532" s="4" t="inlineStr">
        <x:is>
          <x:t xml:space="preserve">Credit Card</x:t>
        </x:is>
      </x:c>
      <x:c r="L532" s="19" t="n">
        <x:v>45.02</x:v>
      </x:c>
      <x:c r="M532" s="19" t="n">
        <x:v>0</x:v>
      </x:c>
      <x:c r="N532" s="19" t="n">
        <x:v>45.02</x:v>
      </x:c>
      <x:c r="O532" s="4" t="n">
        <x:f>YEAR(C532)</x:f>
        <x:v>2025</x:v>
      </x:c>
      <x:c r="P532" s="4" t="str">
        <x:f>TEXT(C532,"yyyy-mm")</x:f>
        <x:v>2025-06</x:v>
      </x:c>
      <x:c r="Q532" s="4" t="str">
        <x:f>TEXT(C532,"mmmm")</x:f>
        <x:v>June</x:v>
      </x:c>
    </x:row>
    <x:row r="533" ht="20" customHeight="1">
      <x:c r="A533" s="4" t="inlineStr">
        <x:is>
          <x:t xml:space="preserve">LINE-00536</x:t>
        </x:is>
      </x:c>
      <x:c r="B533" s="4" t="inlineStr">
        <x:is>
          <x:t xml:space="preserve">ORD-2025-0336</x:t>
        </x:is>
      </x:c>
      <x:c r="C533" s="17" t="n">
        <x:v>45691</x:v>
      </x:c>
      <x:c r="D533" s="4" t="inlineStr">
        <x:is>
          <x:t xml:space="preserve">CUS-0024</x:t>
        </x:is>
      </x:c>
      <x:c r="E533" s="4" t="inlineStr">
        <x:is>
          <x:t xml:space="preserve">External SSD</x:t>
        </x:is>
      </x:c>
      <x:c r="F533" s="4" t="inlineStr">
        <x:is>
          <x:t xml:space="preserve">Storage</x:t>
        </x:is>
      </x:c>
      <x:c r="G533" s="4" t="inlineStr">
        <x:is>
          <x:t xml:space="preserve">Austin</x:t>
        </x:is>
      </x:c>
      <x:c r="H533" s="18" t="n">
        <x:v>2</x:v>
      </x:c>
      <x:c r="I533" s="19" t="n">
        <x:v>146.11</x:v>
      </x:c>
      <x:c r="J533" s="20" t="n">
        <x:v>0.15</x:v>
      </x:c>
      <x:c r="K533" s="4" t="inlineStr">
        <x:is>
          <x:t xml:space="preserve">PayPal</x:t>
        </x:is>
      </x:c>
      <x:c r="L533" s="19" t="n">
        <x:v>292.22</x:v>
      </x:c>
      <x:c r="M533" s="19" t="n">
        <x:v>43.83</x:v>
      </x:c>
      <x:c r="N533" s="19" t="n">
        <x:v>248.39</x:v>
      </x:c>
      <x:c r="O533" s="4" t="n">
        <x:f>YEAR(C533)</x:f>
        <x:v>2025</x:v>
      </x:c>
      <x:c r="P533" s="4" t="str">
        <x:f>TEXT(C533,"yyyy-mm")</x:f>
        <x:v>2025-02</x:v>
      </x:c>
      <x:c r="Q533" s="4" t="str">
        <x:f>TEXT(C533,"mmmm")</x:f>
        <x:v>February</x:v>
      </x:c>
    </x:row>
    <x:row r="534" ht="20" customHeight="1">
      <x:c r="A534" s="4" t="inlineStr">
        <x:is>
          <x:t xml:space="preserve">LINE-00537</x:t>
        </x:is>
      </x:c>
      <x:c r="B534" s="4" t="inlineStr">
        <x:is>
          <x:t xml:space="preserve">ORD-2025-0337</x:t>
        </x:is>
      </x:c>
      <x:c r="C534" s="17" t="n">
        <x:v>45726</x:v>
      </x:c>
      <x:c r="D534" s="4" t="inlineStr">
        <x:is>
          <x:t xml:space="preserve">CUS-0176</x:t>
        </x:is>
      </x:c>
      <x:c r="E534" s="4" t="inlineStr">
        <x:is>
          <x:t xml:space="preserve">Keyboard</x:t>
        </x:is>
      </x:c>
      <x:c r="F534" s="4" t="inlineStr">
        <x:is>
          <x:t xml:space="preserve">Accessories</x:t>
        </x:is>
      </x:c>
      <x:c r="G534" s="4" t="inlineStr">
        <x:is>
          <x:t xml:space="preserve">Seattle</x:t>
        </x:is>
      </x:c>
      <x:c r="H534" s="18" t="n">
        <x:v>1</x:v>
      </x:c>
      <x:c r="I534" s="19" t="n">
        <x:v>71.69</x:v>
      </x:c>
      <x:c r="J534" s="20" t="n">
        <x:v>0.2</x:v>
      </x:c>
      <x:c r="K534" s="4" t="inlineStr">
        <x:is>
          <x:t xml:space="preserve">PayPal</x:t>
        </x:is>
      </x:c>
      <x:c r="L534" s="19" t="n">
        <x:v>71.69</x:v>
      </x:c>
      <x:c r="M534" s="19" t="n">
        <x:v>14.34</x:v>
      </x:c>
      <x:c r="N534" s="19" t="n">
        <x:v>57.35</x:v>
      </x:c>
      <x:c r="O534" s="4" t="n">
        <x:f>YEAR(C534)</x:f>
        <x:v>2025</x:v>
      </x:c>
      <x:c r="P534" s="4" t="str">
        <x:f>TEXT(C534,"yyyy-mm")</x:f>
        <x:v>2025-03</x:v>
      </x:c>
      <x:c r="Q534" s="4" t="str">
        <x:f>TEXT(C534,"mmmm")</x:f>
        <x:v>March</x:v>
      </x:c>
    </x:row>
    <x:row r="535" ht="20" customHeight="1">
      <x:c r="A535" s="4" t="inlineStr">
        <x:is>
          <x:t xml:space="preserve">LINE-00538</x:t>
        </x:is>
      </x:c>
      <x:c r="B535" s="4" t="inlineStr">
        <x:is>
          <x:t xml:space="preserve">ORD-2025-0337</x:t>
        </x:is>
      </x:c>
      <x:c r="C535" s="17" t="n">
        <x:v>45726</x:v>
      </x:c>
      <x:c r="D535" s="4" t="inlineStr">
        <x:is>
          <x:t xml:space="preserve">CUS-0176</x:t>
        </x:is>
      </x:c>
      <x:c r="E535" s="4" t="inlineStr">
        <x:is>
          <x:t xml:space="preserve">Headphones</x:t>
        </x:is>
      </x:c>
      <x:c r="F535" s="4" t="inlineStr">
        <x:is>
          <x:t xml:space="preserve">Audio</x:t>
        </x:is>
      </x:c>
      <x:c r="G535" s="4" t="inlineStr">
        <x:is>
          <x:t xml:space="preserve">Seattle</x:t>
        </x:is>
      </x:c>
      <x:c r="H535" s="18" t="n">
        <x:v>1</x:v>
      </x:c>
      <x:c r="I535" s="19" t="n">
        <x:v>120.06</x:v>
      </x:c>
      <x:c r="J535" s="20" t="n">
        <x:v>0.05</x:v>
      </x:c>
      <x:c r="K535" s="4" t="inlineStr">
        <x:is>
          <x:t xml:space="preserve">PayPal</x:t>
        </x:is>
      </x:c>
      <x:c r="L535" s="19" t="n">
        <x:v>120.06</x:v>
      </x:c>
      <x:c r="M535" s="19" t="n">
        <x:v>6</x:v>
      </x:c>
      <x:c r="N535" s="19" t="n">
        <x:v>114.06</x:v>
      </x:c>
      <x:c r="O535" s="4" t="n">
        <x:f>YEAR(C535)</x:f>
        <x:v>2025</x:v>
      </x:c>
      <x:c r="P535" s="4" t="str">
        <x:f>TEXT(C535,"yyyy-mm")</x:f>
        <x:v>2025-03</x:v>
      </x:c>
      <x:c r="Q535" s="4" t="str">
        <x:f>TEXT(C535,"mmmm")</x:f>
        <x:v>March</x:v>
      </x:c>
    </x:row>
    <x:row r="536" ht="20" customHeight="1">
      <x:c r="A536" s="4" t="inlineStr">
        <x:is>
          <x:t xml:space="preserve">LINE-00539</x:t>
        </x:is>
      </x:c>
      <x:c r="B536" s="4" t="inlineStr">
        <x:is>
          <x:t xml:space="preserve">ORD-2025-0338</x:t>
        </x:is>
      </x:c>
      <x:c r="C536" s="17" t="n">
        <x:v>45721</x:v>
      </x:c>
      <x:c r="D536" s="4" t="inlineStr">
        <x:is>
          <x:t xml:space="preserve">CUS-0188</x:t>
        </x:is>
      </x:c>
      <x:c r="E536" s="4" t="inlineStr">
        <x:is>
          <x:t xml:space="preserve">Office Chair</x:t>
        </x:is>
      </x:c>
      <x:c r="F536" s="4" t="inlineStr">
        <x:is>
          <x:t xml:space="preserve">Furniture</x:t>
        </x:is>
      </x:c>
      <x:c r="G536" s="4" t="inlineStr">
        <x:is>
          <x:t xml:space="preserve">San Francisco</x:t>
        </x:is>
      </x:c>
      <x:c r="H536" s="18" t="n">
        <x:v>1</x:v>
      </x:c>
      <x:c r="I536" s="19" t="n">
        <x:v>241.33</x:v>
      </x:c>
      <x:c r="J536" s="20" t="n">
        <x:v>0</x:v>
      </x:c>
      <x:c r="K536" s="4" t="inlineStr">
        <x:is>
          <x:t xml:space="preserve">Credit Card</x:t>
        </x:is>
      </x:c>
      <x:c r="L536" s="19" t="n">
        <x:v>241.33</x:v>
      </x:c>
      <x:c r="M536" s="19" t="n">
        <x:v>0</x:v>
      </x:c>
      <x:c r="N536" s="19" t="n">
        <x:v>241.33</x:v>
      </x:c>
      <x:c r="O536" s="4" t="n">
        <x:f>YEAR(C536)</x:f>
        <x:v>2025</x:v>
      </x:c>
      <x:c r="P536" s="4" t="str">
        <x:f>TEXT(C536,"yyyy-mm")</x:f>
        <x:v>2025-03</x:v>
      </x:c>
      <x:c r="Q536" s="4" t="str">
        <x:f>TEXT(C536,"mmmm")</x:f>
        <x:v>March</x:v>
      </x:c>
    </x:row>
    <x:row r="537" ht="20" customHeight="1">
      <x:c r="A537" s="4" t="inlineStr">
        <x:is>
          <x:t xml:space="preserve">LINE-00540</x:t>
        </x:is>
      </x:c>
      <x:c r="B537" s="4" t="inlineStr">
        <x:is>
          <x:t xml:space="preserve">ORD-2025-0339</x:t>
        </x:is>
      </x:c>
      <x:c r="C537" s="17" t="n">
        <x:v>45682</x:v>
      </x:c>
      <x:c r="D537" s="4" t="inlineStr">
        <x:is>
          <x:t xml:space="preserve">CUS-0339</x:t>
        </x:is>
      </x:c>
      <x:c r="E537" s="4" t="inlineStr">
        <x:is>
          <x:t xml:space="preserve">Monitor</x:t>
        </x:is>
      </x:c>
      <x:c r="F537" s="4" t="inlineStr">
        <x:is>
          <x:t xml:space="preserve">Computers</x:t>
        </x:is>
      </x:c>
      <x:c r="G537" s="4" t="inlineStr">
        <x:is>
          <x:t xml:space="preserve">New York</x:t>
        </x:is>
      </x:c>
      <x:c r="H537" s="18" t="n">
        <x:v>2</x:v>
      </x:c>
      <x:c r="I537" s="19" t="n">
        <x:v>274.64</x:v>
      </x:c>
      <x:c r="J537" s="20" t="n">
        <x:v>0.05</x:v>
      </x:c>
      <x:c r="K537" s="4" t="inlineStr">
        <x:is>
          <x:t xml:space="preserve">Credit Card</x:t>
        </x:is>
      </x:c>
      <x:c r="L537" s="19" t="n">
        <x:v>549.28</x:v>
      </x:c>
      <x:c r="M537" s="19" t="n">
        <x:v>27.46</x:v>
      </x:c>
      <x:c r="N537" s="19" t="n">
        <x:v>521.8200000000001</x:v>
      </x:c>
      <x:c r="O537" s="4" t="n">
        <x:f>YEAR(C537)</x:f>
        <x:v>2025</x:v>
      </x:c>
      <x:c r="P537" s="4" t="str">
        <x:f>TEXT(C537,"yyyy-mm")</x:f>
        <x:v>2025-01</x:v>
      </x:c>
      <x:c r="Q537" s="4" t="str">
        <x:f>TEXT(C537,"mmmm")</x:f>
        <x:v>January</x:v>
      </x:c>
    </x:row>
    <x:row r="538" ht="20" customHeight="1">
      <x:c r="A538" s="4" t="inlineStr">
        <x:is>
          <x:t xml:space="preserve">LINE-00541</x:t>
        </x:is>
      </x:c>
      <x:c r="B538" s="4" t="inlineStr">
        <x:is>
          <x:t xml:space="preserve">ORD-2025-0340</x:t>
        </x:is>
      </x:c>
      <x:c r="C538" s="17" t="n">
        <x:v>45900</x:v>
      </x:c>
      <x:c r="D538" s="4" t="inlineStr">
        <x:is>
          <x:t xml:space="preserve">CUS-0079</x:t>
        </x:is>
      </x:c>
      <x:c r="E538" s="4" t="inlineStr">
        <x:is>
          <x:t xml:space="preserve">Office Chair</x:t>
        </x:is>
      </x:c>
      <x:c r="F538" s="4" t="inlineStr">
        <x:is>
          <x:t xml:space="preserve">Furniture</x:t>
        </x:is>
      </x:c>
      <x:c r="G538" s="4" t="inlineStr">
        <x:is>
          <x:t xml:space="preserve">Chicago</x:t>
        </x:is>
      </x:c>
      <x:c r="H538" s="18" t="n">
        <x:v>1</x:v>
      </x:c>
      <x:c r="I538" s="19" t="n">
        <x:v>240.78</x:v>
      </x:c>
      <x:c r="J538" s="20" t="n">
        <x:v>0.05</x:v>
      </x:c>
      <x:c r="K538" s="4" t="inlineStr">
        <x:is>
          <x:t xml:space="preserve">Credit Card</x:t>
        </x:is>
      </x:c>
      <x:c r="L538" s="19" t="n">
        <x:v>240.78</x:v>
      </x:c>
      <x:c r="M538" s="19" t="n">
        <x:v>12.04</x:v>
      </x:c>
      <x:c r="N538" s="19" t="n">
        <x:v>228.74</x:v>
      </x:c>
      <x:c r="O538" s="4" t="n">
        <x:f>YEAR(C538)</x:f>
        <x:v>2025</x:v>
      </x:c>
      <x:c r="P538" s="4" t="str">
        <x:f>TEXT(C538,"yyyy-mm")</x:f>
        <x:v>2025-08</x:v>
      </x:c>
      <x:c r="Q538" s="4" t="str">
        <x:f>TEXT(C538,"mmmm")</x:f>
        <x:v>August</x:v>
      </x:c>
    </x:row>
    <x:row r="539" ht="20" customHeight="1">
      <x:c r="A539" s="4" t="inlineStr">
        <x:is>
          <x:t xml:space="preserve">LINE-00542</x:t>
        </x:is>
      </x:c>
      <x:c r="B539" s="4" t="inlineStr">
        <x:is>
          <x:t xml:space="preserve">ORD-2025-0341</x:t>
        </x:is>
      </x:c>
      <x:c r="C539" s="17" t="n">
        <x:v>46016</x:v>
      </x:c>
      <x:c r="D539" s="4" t="inlineStr">
        <x:is>
          <x:t xml:space="preserve">CUS-0071</x:t>
        </x:is>
      </x:c>
      <x:c r="E539" s="4" t="inlineStr">
        <x:is>
          <x:t xml:space="preserve">USB Flash Drive</x:t>
        </x:is>
      </x:c>
      <x:c r="F539" s="4" t="inlineStr">
        <x:is>
          <x:t xml:space="preserve">Storage</x:t>
        </x:is>
      </x:c>
      <x:c r="G539" s="4" t="inlineStr">
        <x:is>
          <x:t xml:space="preserve">Seattle</x:t>
        </x:is>
      </x:c>
      <x:c r="H539" s="18" t="n">
        <x:v>1</x:v>
      </x:c>
      <x:c r="I539" s="19" t="n">
        <x:v>31.37</x:v>
      </x:c>
      <x:c r="J539" s="20" t="n">
        <x:v>0.05</x:v>
      </x:c>
      <x:c r="K539" s="4" t="inlineStr">
        <x:is>
          <x:t xml:space="preserve">Credit Card</x:t>
        </x:is>
      </x:c>
      <x:c r="L539" s="19" t="n">
        <x:v>31.37</x:v>
      </x:c>
      <x:c r="M539" s="19" t="n">
        <x:v>1.57</x:v>
      </x:c>
      <x:c r="N539" s="19" t="n">
        <x:v>29.8</x:v>
      </x:c>
      <x:c r="O539" s="4" t="n">
        <x:f>YEAR(C539)</x:f>
        <x:v>2025</x:v>
      </x:c>
      <x:c r="P539" s="4" t="str">
        <x:f>TEXT(C539,"yyyy-mm")</x:f>
        <x:v>2025-12</x:v>
      </x:c>
      <x:c r="Q539" s="4" t="str">
        <x:f>TEXT(C539,"mmmm")</x:f>
        <x:v>December</x:v>
      </x:c>
    </x:row>
    <x:row r="540" ht="20" customHeight="1">
      <x:c r="A540" s="4" t="inlineStr">
        <x:is>
          <x:t xml:space="preserve">LINE-00543</x:t>
        </x:is>
      </x:c>
      <x:c r="B540" s="4" t="inlineStr">
        <x:is>
          <x:t xml:space="preserve">ORD-2025-0341</x:t>
        </x:is>
      </x:c>
      <x:c r="C540" s="17" t="n">
        <x:v>46016</x:v>
      </x:c>
      <x:c r="D540" s="4" t="inlineStr">
        <x:is>
          <x:t xml:space="preserve">CUS-0071</x:t>
        </x:is>
      </x:c>
      <x:c r="E540" s="4" t="inlineStr">
        <x:is>
          <x:t xml:space="preserve">Monitor</x:t>
        </x:is>
      </x:c>
      <x:c r="F540" s="4" t="inlineStr">
        <x:is>
          <x:t xml:space="preserve">Computers</x:t>
        </x:is>
      </x:c>
      <x:c r="G540" s="4" t="inlineStr">
        <x:is>
          <x:t xml:space="preserve">Seattle</x:t>
        </x:is>
      </x:c>
      <x:c r="H540" s="18" t="n">
        <x:v>2</x:v>
      </x:c>
      <x:c r="I540" s="19" t="n">
        <x:v>292.45</x:v>
      </x:c>
      <x:c r="J540" s="20" t="n">
        <x:v>0.1</x:v>
      </x:c>
      <x:c r="K540" s="4" t="inlineStr">
        <x:is>
          <x:t xml:space="preserve">Credit Card</x:t>
        </x:is>
      </x:c>
      <x:c r="L540" s="19" t="n">
        <x:v>584.9</x:v>
      </x:c>
      <x:c r="M540" s="19" t="n">
        <x:v>58.49</x:v>
      </x:c>
      <x:c r="N540" s="19" t="n">
        <x:v>526.41</x:v>
      </x:c>
      <x:c r="O540" s="4" t="n">
        <x:f>YEAR(C540)</x:f>
        <x:v>2025</x:v>
      </x:c>
      <x:c r="P540" s="4" t="str">
        <x:f>TEXT(C540,"yyyy-mm")</x:f>
        <x:v>2025-12</x:v>
      </x:c>
      <x:c r="Q540" s="4" t="str">
        <x:f>TEXT(C540,"mmmm")</x:f>
        <x:v>December</x:v>
      </x:c>
    </x:row>
    <x:row r="541" ht="20" customHeight="1">
      <x:c r="A541" s="4" t="inlineStr">
        <x:is>
          <x:t xml:space="preserve">LINE-00544</x:t>
        </x:is>
      </x:c>
      <x:c r="B541" s="4" t="inlineStr">
        <x:is>
          <x:t xml:space="preserve">ORD-2025-0342</x:t>
        </x:is>
      </x:c>
      <x:c r="C541" s="17" t="n">
        <x:v>45761</x:v>
      </x:c>
      <x:c r="D541" s="4" t="inlineStr">
        <x:is>
          <x:t xml:space="preserve">CUS-0184</x:t>
        </x:is>
      </x:c>
      <x:c r="E541" s="4" t="inlineStr">
        <x:is>
          <x:t xml:space="preserve">Laptop</x:t>
        </x:is>
      </x:c>
      <x:c r="F541" s="4" t="inlineStr">
        <x:is>
          <x:t xml:space="preserve">Computers</x:t>
        </x:is>
      </x:c>
      <x:c r="G541" s="4" t="inlineStr">
        <x:is>
          <x:t xml:space="preserve">San Francisco</x:t>
        </x:is>
      </x:c>
      <x:c r="H541" s="18" t="n">
        <x:v>2</x:v>
      </x:c>
      <x:c r="I541" s="19" t="n">
        <x:v>1012.37</x:v>
      </x:c>
      <x:c r="J541" s="20" t="n">
        <x:v>0.05</x:v>
      </x:c>
      <x:c r="K541" s="4" t="inlineStr">
        <x:is>
          <x:t xml:space="preserve">Bank Transfer</x:t>
        </x:is>
      </x:c>
      <x:c r="L541" s="19" t="n">
        <x:v>2024.74</x:v>
      </x:c>
      <x:c r="M541" s="19" t="n">
        <x:v>101.24</x:v>
      </x:c>
      <x:c r="N541" s="19" t="n">
        <x:v>1923.5</x:v>
      </x:c>
      <x:c r="O541" s="4" t="n">
        <x:f>YEAR(C541)</x:f>
        <x:v>2025</x:v>
      </x:c>
      <x:c r="P541" s="4" t="str">
        <x:f>TEXT(C541,"yyyy-mm")</x:f>
        <x:v>2025-04</x:v>
      </x:c>
      <x:c r="Q541" s="4" t="str">
        <x:f>TEXT(C541,"mmmm")</x:f>
        <x:v>April</x:v>
      </x:c>
    </x:row>
    <x:row r="542" ht="20" customHeight="1">
      <x:c r="A542" s="4" t="inlineStr">
        <x:is>
          <x:t xml:space="preserve">LINE-00545</x:t>
        </x:is>
      </x:c>
      <x:c r="B542" s="4" t="inlineStr">
        <x:is>
          <x:t xml:space="preserve">ORD-2025-0343</x:t>
        </x:is>
      </x:c>
      <x:c r="C542" s="17" t="n">
        <x:v>45904</x:v>
      </x:c>
      <x:c r="D542" s="4" t="inlineStr">
        <x:is>
          <x:t xml:space="preserve">CUS-0170</x:t>
        </x:is>
      </x:c>
      <x:c r="E542" s="4" t="inlineStr">
        <x:is>
          <x:t xml:space="preserve">Monitor</x:t>
        </x:is>
      </x:c>
      <x:c r="F542" s="4" t="inlineStr">
        <x:is>
          <x:t xml:space="preserve">Computers</x:t>
        </x:is>
      </x:c>
      <x:c r="G542" s="4" t="inlineStr">
        <x:is>
          <x:t xml:space="preserve">Chicago</x:t>
        </x:is>
      </x:c>
      <x:c r="H542" s="18" t="n">
        <x:v>4</x:v>
      </x:c>
      <x:c r="I542" s="19" t="n">
        <x:v>295.02</x:v>
      </x:c>
      <x:c r="J542" s="20" t="n">
        <x:v>0.05</x:v>
      </x:c>
      <x:c r="K542" s="4" t="inlineStr">
        <x:is>
          <x:t xml:space="preserve">Credit Card</x:t>
        </x:is>
      </x:c>
      <x:c r="L542" s="19" t="n">
        <x:v>1180.08</x:v>
      </x:c>
      <x:c r="M542" s="19" t="n">
        <x:v>59</x:v>
      </x:c>
      <x:c r="N542" s="19" t="n">
        <x:v>1121.08</x:v>
      </x:c>
      <x:c r="O542" s="4" t="n">
        <x:f>YEAR(C542)</x:f>
        <x:v>2025</x:v>
      </x:c>
      <x:c r="P542" s="4" t="str">
        <x:f>TEXT(C542,"yyyy-mm")</x:f>
        <x:v>2025-09</x:v>
      </x:c>
      <x:c r="Q542" s="4" t="str">
        <x:f>TEXT(C542,"mmmm")</x:f>
        <x:v>September</x:v>
      </x:c>
    </x:row>
    <x:row r="543" ht="20" customHeight="1">
      <x:c r="A543" s="4" t="inlineStr">
        <x:is>
          <x:t xml:space="preserve">LINE-00546</x:t>
        </x:is>
      </x:c>
      <x:c r="B543" s="4" t="inlineStr">
        <x:is>
          <x:t xml:space="preserve">ORD-2025-0344</x:t>
        </x:is>
      </x:c>
      <x:c r="C543" s="17" t="n">
        <x:v>45734</x:v>
      </x:c>
      <x:c r="D543" s="4" t="inlineStr">
        <x:is>
          <x:t xml:space="preserve">CUS-0047</x:t>
        </x:is>
      </x:c>
      <x:c r="E543" s="4" t="inlineStr">
        <x:is>
          <x:t xml:space="preserve">Monitor</x:t>
        </x:is>
      </x:c>
      <x:c r="F543" s="4" t="inlineStr">
        <x:is>
          <x:t xml:space="preserve">Computers</x:t>
        </x:is>
      </x:c>
      <x:c r="G543" s="4" t="inlineStr">
        <x:is>
          <x:t xml:space="preserve">Boston</x:t>
        </x:is>
      </x:c>
      <x:c r="H543" s="18" t="n">
        <x:v>2</x:v>
      </x:c>
      <x:c r="I543" s="19" t="n">
        <x:v>278.06</x:v>
      </x:c>
      <x:c r="J543" s="20" t="n">
        <x:v>0.2</x:v>
      </x:c>
      <x:c r="K543" s="4" t="inlineStr">
        <x:is>
          <x:t xml:space="preserve">Credit Card</x:t>
        </x:is>
      </x:c>
      <x:c r="L543" s="19" t="n">
        <x:v>556.12</x:v>
      </x:c>
      <x:c r="M543" s="19" t="n">
        <x:v>111.22</x:v>
      </x:c>
      <x:c r="N543" s="19" t="n">
        <x:v>444.9</x:v>
      </x:c>
      <x:c r="O543" s="4" t="n">
        <x:f>YEAR(C543)</x:f>
        <x:v>2025</x:v>
      </x:c>
      <x:c r="P543" s="4" t="str">
        <x:f>TEXT(C543,"yyyy-mm")</x:f>
        <x:v>2025-03</x:v>
      </x:c>
      <x:c r="Q543" s="4" t="str">
        <x:f>TEXT(C543,"mmmm")</x:f>
        <x:v>March</x:v>
      </x:c>
    </x:row>
    <x:row r="544" ht="20" customHeight="1">
      <x:c r="A544" s="4" t="inlineStr">
        <x:is>
          <x:t xml:space="preserve">LINE-00547</x:t>
        </x:is>
      </x:c>
      <x:c r="B544" s="4" t="inlineStr">
        <x:is>
          <x:t xml:space="preserve">ORD-2025-0344</x:t>
        </x:is>
      </x:c>
      <x:c r="C544" s="17" t="n">
        <x:v>45734</x:v>
      </x:c>
      <x:c r="D544" s="4" t="inlineStr">
        <x:is>
          <x:t xml:space="preserve">CUS-0047</x:t>
        </x:is>
      </x:c>
      <x:c r="E544" s="4" t="inlineStr">
        <x:is>
          <x:t xml:space="preserve">USB-C Hub</x:t>
        </x:is>
      </x:c>
      <x:c r="F544" s="4" t="inlineStr">
        <x:is>
          <x:t xml:space="preserve">Accessories</x:t>
        </x:is>
      </x:c>
      <x:c r="G544" s="4" t="inlineStr">
        <x:is>
          <x:t xml:space="preserve">Boston</x:t>
        </x:is>
      </x:c>
      <x:c r="H544" s="18" t="n">
        <x:v>1</x:v>
      </x:c>
      <x:c r="I544" s="19" t="n">
        <x:v>60.32</x:v>
      </x:c>
      <x:c r="J544" s="20" t="n">
        <x:v>0.1</x:v>
      </x:c>
      <x:c r="K544" s="4" t="inlineStr">
        <x:is>
          <x:t xml:space="preserve">Credit Card</x:t>
        </x:is>
      </x:c>
      <x:c r="L544" s="19" t="n">
        <x:v>60.32</x:v>
      </x:c>
      <x:c r="M544" s="19" t="n">
        <x:v>6.03</x:v>
      </x:c>
      <x:c r="N544" s="19" t="n">
        <x:v>54.29</x:v>
      </x:c>
      <x:c r="O544" s="4" t="n">
        <x:f>YEAR(C544)</x:f>
        <x:v>2025</x:v>
      </x:c>
      <x:c r="P544" s="4" t="str">
        <x:f>TEXT(C544,"yyyy-mm")</x:f>
        <x:v>2025-03</x:v>
      </x:c>
      <x:c r="Q544" s="4" t="str">
        <x:f>TEXT(C544,"mmmm")</x:f>
        <x:v>March</x:v>
      </x:c>
    </x:row>
    <x:row r="545" ht="20" customHeight="1">
      <x:c r="A545" s="4" t="inlineStr">
        <x:is>
          <x:t xml:space="preserve">LINE-00548</x:t>
        </x:is>
      </x:c>
      <x:c r="B545" s="4" t="inlineStr">
        <x:is>
          <x:t xml:space="preserve">ORD-2025-0345</x:t>
        </x:is>
      </x:c>
      <x:c r="C545" s="17" t="n">
        <x:v>45678</x:v>
      </x:c>
      <x:c r="D545" s="4" t="inlineStr">
        <x:is>
          <x:t xml:space="preserve">CUS-0149</x:t>
        </x:is>
      </x:c>
      <x:c r="E545" s="4" t="inlineStr">
        <x:is>
          <x:t xml:space="preserve">Monitor</x:t>
        </x:is>
      </x:c>
      <x:c r="F545" s="4" t="inlineStr">
        <x:is>
          <x:t xml:space="preserve">Computers</x:t>
        </x:is>
      </x:c>
      <x:c r="G545" s="4" t="inlineStr">
        <x:is>
          <x:t xml:space="preserve">Austin</x:t>
        </x:is>
      </x:c>
      <x:c r="H545" s="18" t="n">
        <x:v>1</x:v>
      </x:c>
      <x:c r="I545" s="19" t="n">
        <x:v>291.57</x:v>
      </x:c>
      <x:c r="J545" s="20" t="n">
        <x:v>0</x:v>
      </x:c>
      <x:c r="K545" s="4" t="inlineStr">
        <x:is>
          <x:t xml:space="preserve">PayPal</x:t>
        </x:is>
      </x:c>
      <x:c r="L545" s="19" t="n">
        <x:v>291.57</x:v>
      </x:c>
      <x:c r="M545" s="19" t="n">
        <x:v>0</x:v>
      </x:c>
      <x:c r="N545" s="19" t="n">
        <x:v>291.57</x:v>
      </x:c>
      <x:c r="O545" s="4" t="n">
        <x:f>YEAR(C545)</x:f>
        <x:v>2025</x:v>
      </x:c>
      <x:c r="P545" s="4" t="str">
        <x:f>TEXT(C545,"yyyy-mm")</x:f>
        <x:v>2025-01</x:v>
      </x:c>
      <x:c r="Q545" s="4" t="str">
        <x:f>TEXT(C545,"mmmm")</x:f>
        <x:v>January</x:v>
      </x:c>
    </x:row>
    <x:row r="546" ht="20" customHeight="1">
      <x:c r="A546" s="4" t="inlineStr">
        <x:is>
          <x:t xml:space="preserve">LINE-00549</x:t>
        </x:is>
      </x:c>
      <x:c r="B546" s="4" t="inlineStr">
        <x:is>
          <x:t xml:space="preserve">ORD-2025-0346</x:t>
        </x:is>
      </x:c>
      <x:c r="C546" s="17" t="n">
        <x:v>45728</x:v>
      </x:c>
      <x:c r="D546" s="4" t="inlineStr">
        <x:is>
          <x:t xml:space="preserve">CUS-0340</x:t>
        </x:is>
      </x:c>
      <x:c r="E546" s="4" t="inlineStr">
        <x:is>
          <x:t xml:space="preserve">Bluetooth Speaker</x:t>
        </x:is>
      </x:c>
      <x:c r="F546" s="4" t="inlineStr">
        <x:is>
          <x:t xml:space="preserve">Audio</x:t>
        </x:is>
      </x:c>
      <x:c r="G546" s="4" t="inlineStr">
        <x:is>
          <x:t xml:space="preserve">San Francisco</x:t>
        </x:is>
      </x:c>
      <x:c r="H546" s="18" t="n">
        <x:v>5</x:v>
      </x:c>
      <x:c r="I546" s="19" t="n">
        <x:v>105.92</x:v>
      </x:c>
      <x:c r="J546" s="20" t="n">
        <x:v>0.1</x:v>
      </x:c>
      <x:c r="K546" s="4" t="inlineStr">
        <x:is>
          <x:t xml:space="preserve">Debit Card</x:t>
        </x:is>
      </x:c>
      <x:c r="L546" s="19" t="n">
        <x:v>529.6</x:v>
      </x:c>
      <x:c r="M546" s="19" t="n">
        <x:v>52.96</x:v>
      </x:c>
      <x:c r="N546" s="19" t="n">
        <x:v>476.64</x:v>
      </x:c>
      <x:c r="O546" s="4" t="n">
        <x:f>YEAR(C546)</x:f>
        <x:v>2025</x:v>
      </x:c>
      <x:c r="P546" s="4" t="str">
        <x:f>TEXT(C546,"yyyy-mm")</x:f>
        <x:v>2025-03</x:v>
      </x:c>
      <x:c r="Q546" s="4" t="str">
        <x:f>TEXT(C546,"mmmm")</x:f>
        <x:v>March</x:v>
      </x:c>
    </x:row>
    <x:row r="547" ht="20" customHeight="1">
      <x:c r="A547" s="4" t="inlineStr">
        <x:is>
          <x:t xml:space="preserve">LINE-00550</x:t>
        </x:is>
      </x:c>
      <x:c r="B547" s="4" t="inlineStr">
        <x:is>
          <x:t xml:space="preserve">ORD-2025-0347</x:t>
        </x:is>
      </x:c>
      <x:c r="C547" s="17" t="n">
        <x:v>45848</x:v>
      </x:c>
      <x:c r="D547" s="4" t="inlineStr">
        <x:is>
          <x:t xml:space="preserve">CUS-0176</x:t>
        </x:is>
      </x:c>
      <x:c r="E547" s="4" t="inlineStr">
        <x:is>
          <x:t xml:space="preserve">Bluetooth Speaker</x:t>
        </x:is>
      </x:c>
      <x:c r="F547" s="4" t="inlineStr">
        <x:is>
          <x:t xml:space="preserve">Audio</x:t>
        </x:is>
      </x:c>
      <x:c r="G547" s="4" t="inlineStr">
        <x:is>
          <x:t xml:space="preserve">Chicago</x:t>
        </x:is>
      </x:c>
      <x:c r="H547" s="18" t="n">
        <x:v>1</x:v>
      </x:c>
      <x:c r="I547" s="19" t="n">
        <x:v>107.99</x:v>
      </x:c>
      <x:c r="J547" s="20" t="n">
        <x:v>0.1</x:v>
      </x:c>
      <x:c r="K547" s="4" t="inlineStr">
        <x:is>
          <x:t xml:space="preserve">Credit Card</x:t>
        </x:is>
      </x:c>
      <x:c r="L547" s="19" t="n">
        <x:v>107.99</x:v>
      </x:c>
      <x:c r="M547" s="19" t="n">
        <x:v>10.8</x:v>
      </x:c>
      <x:c r="N547" s="19" t="n">
        <x:v>97.19</x:v>
      </x:c>
      <x:c r="O547" s="4" t="n">
        <x:f>YEAR(C547)</x:f>
        <x:v>2025</x:v>
      </x:c>
      <x:c r="P547" s="4" t="str">
        <x:f>TEXT(C547,"yyyy-mm")</x:f>
        <x:v>2025-07</x:v>
      </x:c>
      <x:c r="Q547" s="4" t="str">
        <x:f>TEXT(C547,"mmmm")</x:f>
        <x:v>July</x:v>
      </x:c>
    </x:row>
    <x:row r="548" ht="20" customHeight="1">
      <x:c r="A548" s="4" t="inlineStr">
        <x:is>
          <x:t xml:space="preserve">LINE-00551</x:t>
        </x:is>
      </x:c>
      <x:c r="B548" s="4" t="inlineStr">
        <x:is>
          <x:t xml:space="preserve">ORD-2025-0348</x:t>
        </x:is>
      </x:c>
      <x:c r="C548" s="17" t="n">
        <x:v>45873</x:v>
      </x:c>
      <x:c r="D548" s="4" t="inlineStr">
        <x:is>
          <x:t xml:space="preserve">CUS-0333</x:t>
        </x:is>
      </x:c>
      <x:c r="E548" s="4" t="inlineStr">
        <x:is>
          <x:t xml:space="preserve">Desk Lamp</x:t>
        </x:is>
      </x:c>
      <x:c r="F548" s="4" t="inlineStr">
        <x:is>
          <x:t xml:space="preserve">Furniture</x:t>
        </x:is>
      </x:c>
      <x:c r="G548" s="4" t="inlineStr">
        <x:is>
          <x:t xml:space="preserve">Chicago</x:t>
        </x:is>
      </x:c>
      <x:c r="H548" s="18" t="n">
        <x:v>1</x:v>
      </x:c>
      <x:c r="I548" s="19" t="n">
        <x:v>58.89</x:v>
      </x:c>
      <x:c r="J548" s="20" t="n">
        <x:v>0</x:v>
      </x:c>
      <x:c r="K548" s="4" t="inlineStr">
        <x:is>
          <x:t xml:space="preserve">Credit Card</x:t>
        </x:is>
      </x:c>
      <x:c r="L548" s="19" t="n">
        <x:v>58.89</x:v>
      </x:c>
      <x:c r="M548" s="19" t="n">
        <x:v>0</x:v>
      </x:c>
      <x:c r="N548" s="19" t="n">
        <x:v>58.89</x:v>
      </x:c>
      <x:c r="O548" s="4" t="n">
        <x:f>YEAR(C548)</x:f>
        <x:v>2025</x:v>
      </x:c>
      <x:c r="P548" s="4" t="str">
        <x:f>TEXT(C548,"yyyy-mm")</x:f>
        <x:v>2025-08</x:v>
      </x:c>
      <x:c r="Q548" s="4" t="str">
        <x:f>TEXT(C548,"mmmm")</x:f>
        <x:v>August</x:v>
      </x:c>
    </x:row>
    <x:row r="549" ht="20" customHeight="1">
      <x:c r="A549" s="4" t="inlineStr">
        <x:is>
          <x:t xml:space="preserve">LINE-00552</x:t>
        </x:is>
      </x:c>
      <x:c r="B549" s="4" t="inlineStr">
        <x:is>
          <x:t xml:space="preserve">ORD-2025-0349</x:t>
        </x:is>
      </x:c>
      <x:c r="C549" s="17" t="n">
        <x:v>45871</x:v>
      </x:c>
      <x:c r="D549" s="4" t="inlineStr">
        <x:is>
          <x:t xml:space="preserve">CUS-0303</x:t>
        </x:is>
      </x:c>
      <x:c r="E549" s="4" t="inlineStr">
        <x:is>
          <x:t xml:space="preserve">Headphones</x:t>
        </x:is>
      </x:c>
      <x:c r="F549" s="4" t="inlineStr">
        <x:is>
          <x:t xml:space="preserve">Audio</x:t>
        </x:is>
      </x:c>
      <x:c r="G549" s="4" t="inlineStr">
        <x:is>
          <x:t xml:space="preserve">Seattle</x:t>
        </x:is>
      </x:c>
      <x:c r="H549" s="18" t="n">
        <x:v>3</x:v>
      </x:c>
      <x:c r="I549" s="19" t="n">
        <x:v>132.32</x:v>
      </x:c>
      <x:c r="J549" s="20" t="n">
        <x:v>0.1</x:v>
      </x:c>
      <x:c r="K549" s="4" t="inlineStr">
        <x:is>
          <x:t xml:space="preserve">Bank Transfer</x:t>
        </x:is>
      </x:c>
      <x:c r="L549" s="19" t="n">
        <x:v>396.96</x:v>
      </x:c>
      <x:c r="M549" s="19" t="n">
        <x:v>39.7</x:v>
      </x:c>
      <x:c r="N549" s="19" t="n">
        <x:v>357.26</x:v>
      </x:c>
      <x:c r="O549" s="4" t="n">
        <x:f>YEAR(C549)</x:f>
        <x:v>2025</x:v>
      </x:c>
      <x:c r="P549" s="4" t="str">
        <x:f>TEXT(C549,"yyyy-mm")</x:f>
        <x:v>2025-08</x:v>
      </x:c>
      <x:c r="Q549" s="4" t="str">
        <x:f>TEXT(C549,"mmmm")</x:f>
        <x:v>August</x:v>
      </x:c>
    </x:row>
    <x:row r="550" ht="20" customHeight="1">
      <x:c r="A550" s="4" t="inlineStr">
        <x:is>
          <x:t xml:space="preserve">LINE-00553</x:t>
        </x:is>
      </x:c>
      <x:c r="B550" s="4" t="inlineStr">
        <x:is>
          <x:t xml:space="preserve">ORD-2025-0350</x:t>
        </x:is>
      </x:c>
      <x:c r="C550" s="17" t="n">
        <x:v>45724</x:v>
      </x:c>
      <x:c r="D550" s="4" t="inlineStr">
        <x:is>
          <x:t xml:space="preserve">CUS-0248</x:t>
        </x:is>
      </x:c>
      <x:c r="E550" s="4" t="inlineStr">
        <x:is>
          <x:t xml:space="preserve">Bluetooth Speaker</x:t>
        </x:is>
      </x:c>
      <x:c r="F550" s="4" t="inlineStr">
        <x:is>
          <x:t xml:space="preserve">Audio</x:t>
        </x:is>
      </x:c>
      <x:c r="G550" s="4" t="inlineStr">
        <x:is>
          <x:t xml:space="preserve">Seattle</x:t>
        </x:is>
      </x:c>
      <x:c r="H550" s="18" t="n">
        <x:v>1</x:v>
      </x:c>
      <x:c r="I550" s="19" t="n">
        <x:v>106.73</x:v>
      </x:c>
      <x:c r="J550" s="20" t="n">
        <x:v>0.1</x:v>
      </x:c>
      <x:c r="K550" s="4" t="inlineStr">
        <x:is>
          <x:t xml:space="preserve">Credit Card</x:t>
        </x:is>
      </x:c>
      <x:c r="L550" s="19" t="n">
        <x:v>106.73</x:v>
      </x:c>
      <x:c r="M550" s="19" t="n">
        <x:v>10.67</x:v>
      </x:c>
      <x:c r="N550" s="19" t="n">
        <x:v>96.06</x:v>
      </x:c>
      <x:c r="O550" s="4" t="n">
        <x:f>YEAR(C550)</x:f>
        <x:v>2025</x:v>
      </x:c>
      <x:c r="P550" s="4" t="str">
        <x:f>TEXT(C550,"yyyy-mm")</x:f>
        <x:v>2025-03</x:v>
      </x:c>
      <x:c r="Q550" s="4" t="str">
        <x:f>TEXT(C550,"mmmm")</x:f>
        <x:v>March</x:v>
      </x:c>
    </x:row>
    <x:row r="551" ht="20" customHeight="1">
      <x:c r="A551" s="4" t="inlineStr">
        <x:is>
          <x:t xml:space="preserve">LINE-00554</x:t>
        </x:is>
      </x:c>
      <x:c r="B551" s="4" t="inlineStr">
        <x:is>
          <x:t xml:space="preserve">ORD-2025-0350</x:t>
        </x:is>
      </x:c>
      <x:c r="C551" s="17" t="n">
        <x:v>45724</x:v>
      </x:c>
      <x:c r="D551" s="4" t="inlineStr">
        <x:is>
          <x:t xml:space="preserve">CUS-0248</x:t>
        </x:is>
      </x:c>
      <x:c r="E551" s="4" t="inlineStr">
        <x:is>
          <x:t xml:space="preserve">Laptop</x:t>
        </x:is>
      </x:c>
      <x:c r="F551" s="4" t="inlineStr">
        <x:is>
          <x:t xml:space="preserve">Computers</x:t>
        </x:is>
      </x:c>
      <x:c r="G551" s="4" t="inlineStr">
        <x:is>
          <x:t xml:space="preserve">Seattle</x:t>
        </x:is>
      </x:c>
      <x:c r="H551" s="18" t="n">
        <x:v>2</x:v>
      </x:c>
      <x:c r="I551" s="19" t="n">
        <x:v>990.66</x:v>
      </x:c>
      <x:c r="J551" s="20" t="n">
        <x:v>0.05</x:v>
      </x:c>
      <x:c r="K551" s="4" t="inlineStr">
        <x:is>
          <x:t xml:space="preserve">Credit Card</x:t>
        </x:is>
      </x:c>
      <x:c r="L551" s="19" t="n">
        <x:v>1981.32</x:v>
      </x:c>
      <x:c r="M551" s="19" t="n">
        <x:v>99.06999999999999</x:v>
      </x:c>
      <x:c r="N551" s="19" t="n">
        <x:v>1882.25</x:v>
      </x:c>
      <x:c r="O551" s="4" t="n">
        <x:f>YEAR(C551)</x:f>
        <x:v>2025</x:v>
      </x:c>
      <x:c r="P551" s="4" t="str">
        <x:f>TEXT(C551,"yyyy-mm")</x:f>
        <x:v>2025-03</x:v>
      </x:c>
      <x:c r="Q551" s="4" t="str">
        <x:f>TEXT(C551,"mmmm")</x:f>
        <x:v>March</x:v>
      </x:c>
    </x:row>
    <x:row r="552" ht="20" customHeight="1">
      <x:c r="A552" s="4" t="inlineStr">
        <x:is>
          <x:t xml:space="preserve">LINE-00555</x:t>
        </x:is>
      </x:c>
      <x:c r="B552" s="4" t="inlineStr">
        <x:is>
          <x:t xml:space="preserve">ORD-2025-0350</x:t>
        </x:is>
      </x:c>
      <x:c r="C552" s="17" t="n">
        <x:v>45724</x:v>
      </x:c>
      <x:c r="D552" s="4" t="inlineStr">
        <x:is>
          <x:t xml:space="preserve">CUS-0248</x:t>
        </x:is>
      </x:c>
      <x:c r="E552" s="4" t="inlineStr">
        <x:is>
          <x:t xml:space="preserve">Monitor</x:t>
        </x:is>
      </x:c>
      <x:c r="F552" s="4" t="inlineStr">
        <x:is>
          <x:t xml:space="preserve">Computers</x:t>
        </x:is>
      </x:c>
      <x:c r="G552" s="4" t="inlineStr">
        <x:is>
          <x:t xml:space="preserve">Seattle</x:t>
        </x:is>
      </x:c>
      <x:c r="H552" s="18" t="n">
        <x:v>2</x:v>
      </x:c>
      <x:c r="I552" s="19" t="n">
        <x:v>301.41</x:v>
      </x:c>
      <x:c r="J552" s="20" t="n">
        <x:v>0.05</x:v>
      </x:c>
      <x:c r="K552" s="4" t="inlineStr">
        <x:is>
          <x:t xml:space="preserve">Credit Card</x:t>
        </x:is>
      </x:c>
      <x:c r="L552" s="19" t="n">
        <x:v>602.8200000000001</x:v>
      </x:c>
      <x:c r="M552" s="19" t="n">
        <x:v>30.14</x:v>
      </x:c>
      <x:c r="N552" s="19" t="n">
        <x:v>572.6799999999999</x:v>
      </x:c>
      <x:c r="O552" s="4" t="n">
        <x:f>YEAR(C552)</x:f>
        <x:v>2025</x:v>
      </x:c>
      <x:c r="P552" s="4" t="str">
        <x:f>TEXT(C552,"yyyy-mm")</x:f>
        <x:v>2025-03</x:v>
      </x:c>
      <x:c r="Q552" s="4" t="str">
        <x:f>TEXT(C552,"mmmm")</x:f>
        <x:v>March</x:v>
      </x:c>
    </x:row>
    <x:row r="553" ht="20" customHeight="1">
      <x:c r="A553" s="4" t="inlineStr">
        <x:is>
          <x:t xml:space="preserve">LINE-00556</x:t>
        </x:is>
      </x:c>
      <x:c r="B553" s="4" t="inlineStr">
        <x:is>
          <x:t xml:space="preserve">ORD-2025-0351</x:t>
        </x:is>
      </x:c>
      <x:c r="C553" s="17" t="n">
        <x:v>45831</x:v>
      </x:c>
      <x:c r="D553" s="4" t="inlineStr">
        <x:is>
          <x:t xml:space="preserve">CUS-0266</x:t>
        </x:is>
      </x:c>
      <x:c r="E553" s="4" t="inlineStr">
        <x:is>
          <x:t xml:space="preserve">Desk Lamp</x:t>
        </x:is>
      </x:c>
      <x:c r="F553" s="4" t="inlineStr">
        <x:is>
          <x:t xml:space="preserve">Furniture</x:t>
        </x:is>
      </x:c>
      <x:c r="G553" s="4" t="inlineStr">
        <x:is>
          <x:t xml:space="preserve">Boston</x:t>
        </x:is>
      </x:c>
      <x:c r="H553" s="18" t="n">
        <x:v>1</x:v>
      </x:c>
      <x:c r="I553" s="19" t="n">
        <x:v>53.64</x:v>
      </x:c>
      <x:c r="J553" s="20" t="n">
        <x:v>0.05</x:v>
      </x:c>
      <x:c r="K553" s="4" t="inlineStr">
        <x:is>
          <x:t xml:space="preserve">Credit Card</x:t>
        </x:is>
      </x:c>
      <x:c r="L553" s="19" t="n">
        <x:v>53.64</x:v>
      </x:c>
      <x:c r="M553" s="19" t="n">
        <x:v>2.68</x:v>
      </x:c>
      <x:c r="N553" s="19" t="n">
        <x:v>50.96</x:v>
      </x:c>
      <x:c r="O553" s="4" t="n">
        <x:f>YEAR(C553)</x:f>
        <x:v>2025</x:v>
      </x:c>
      <x:c r="P553" s="4" t="str">
        <x:f>TEXT(C553,"yyyy-mm")</x:f>
        <x:v>2025-06</x:v>
      </x:c>
      <x:c r="Q553" s="4" t="str">
        <x:f>TEXT(C553,"mmmm")</x:f>
        <x:v>June</x:v>
      </x:c>
    </x:row>
    <x:row r="554" ht="20" customHeight="1">
      <x:c r="A554" s="4" t="inlineStr">
        <x:is>
          <x:t xml:space="preserve">LINE-00557</x:t>
        </x:is>
      </x:c>
      <x:c r="B554" s="4" t="inlineStr">
        <x:is>
          <x:t xml:space="preserve">ORD-2025-0352</x:t>
        </x:is>
      </x:c>
      <x:c r="C554" s="17" t="n">
        <x:v>45855</x:v>
      </x:c>
      <x:c r="D554" s="4" t="inlineStr">
        <x:is>
          <x:t xml:space="preserve">CUS-0077</x:t>
        </x:is>
      </x:c>
      <x:c r="E554" s="4" t="inlineStr">
        <x:is>
          <x:t xml:space="preserve">Keyboard</x:t>
        </x:is>
      </x:c>
      <x:c r="F554" s="4" t="inlineStr">
        <x:is>
          <x:t xml:space="preserve">Accessories</x:t>
        </x:is>
      </x:c>
      <x:c r="G554" s="4" t="inlineStr">
        <x:is>
          <x:t xml:space="preserve">Boston</x:t>
        </x:is>
      </x:c>
      <x:c r="H554" s="18" t="n">
        <x:v>2</x:v>
      </x:c>
      <x:c r="I554" s="19" t="n">
        <x:v>74.63</x:v>
      </x:c>
      <x:c r="J554" s="20" t="n">
        <x:v>0.05</x:v>
      </x:c>
      <x:c r="K554" s="4" t="inlineStr">
        <x:is>
          <x:t xml:space="preserve">Credit Card</x:t>
        </x:is>
      </x:c>
      <x:c r="L554" s="19" t="n">
        <x:v>149.26</x:v>
      </x:c>
      <x:c r="M554" s="19" t="n">
        <x:v>7.46</x:v>
      </x:c>
      <x:c r="N554" s="19" t="n">
        <x:v>141.8</x:v>
      </x:c>
      <x:c r="O554" s="4" t="n">
        <x:f>YEAR(C554)</x:f>
        <x:v>2025</x:v>
      </x:c>
      <x:c r="P554" s="4" t="str">
        <x:f>TEXT(C554,"yyyy-mm")</x:f>
        <x:v>2025-07</x:v>
      </x:c>
      <x:c r="Q554" s="4" t="str">
        <x:f>TEXT(C554,"mmmm")</x:f>
        <x:v>July</x:v>
      </x:c>
    </x:row>
    <x:row r="555" ht="20" customHeight="1">
      <x:c r="A555" s="4" t="inlineStr">
        <x:is>
          <x:t xml:space="preserve">LINE-00558</x:t>
        </x:is>
      </x:c>
      <x:c r="B555" s="4" t="inlineStr">
        <x:is>
          <x:t xml:space="preserve">ORD-2025-0353</x:t>
        </x:is>
      </x:c>
      <x:c r="C555" s="17" t="n">
        <x:v>45742</x:v>
      </x:c>
      <x:c r="D555" s="4" t="inlineStr">
        <x:is>
          <x:t xml:space="preserve">CUS-0039</x:t>
        </x:is>
      </x:c>
      <x:c r="E555" s="4" t="inlineStr">
        <x:is>
          <x:t xml:space="preserve">USB-C Hub</x:t>
        </x:is>
      </x:c>
      <x:c r="F555" s="4" t="inlineStr">
        <x:is>
          <x:t xml:space="preserve">Accessories</x:t>
        </x:is>
      </x:c>
      <x:c r="G555" s="4" t="inlineStr">
        <x:is>
          <x:t xml:space="preserve">Seattle</x:t>
        </x:is>
      </x:c>
      <x:c r="H555" s="18" t="n">
        <x:v>1</x:v>
      </x:c>
      <x:c r="I555" s="19" t="n">
        <x:v>62.12</x:v>
      </x:c>
      <x:c r="J555" s="20" t="n">
        <x:v>0.05</x:v>
      </x:c>
      <x:c r="K555" s="4" t="inlineStr">
        <x:is>
          <x:t xml:space="preserve">PayPal</x:t>
        </x:is>
      </x:c>
      <x:c r="L555" s="19" t="n">
        <x:v>62.12</x:v>
      </x:c>
      <x:c r="M555" s="19" t="n">
        <x:v>3.11</x:v>
      </x:c>
      <x:c r="N555" s="19" t="n">
        <x:v>59.01</x:v>
      </x:c>
      <x:c r="O555" s="4" t="n">
        <x:f>YEAR(C555)</x:f>
        <x:v>2025</x:v>
      </x:c>
      <x:c r="P555" s="4" t="str">
        <x:f>TEXT(C555,"yyyy-mm")</x:f>
        <x:v>2025-03</x:v>
      </x:c>
      <x:c r="Q555" s="4" t="str">
        <x:f>TEXT(C555,"mmmm")</x:f>
        <x:v>March</x:v>
      </x:c>
    </x:row>
    <x:row r="556" ht="20" customHeight="1">
      <x:c r="A556" s="4" t="inlineStr">
        <x:is>
          <x:t xml:space="preserve">LINE-00560</x:t>
        </x:is>
      </x:c>
      <x:c r="B556" s="4" t="inlineStr">
        <x:is>
          <x:t xml:space="preserve">ORD-2025-0355</x:t>
        </x:is>
      </x:c>
      <x:c r="C556" s="17" t="n">
        <x:v>45718</x:v>
      </x:c>
      <x:c r="D556" s="4" t="inlineStr">
        <x:is>
          <x:t xml:space="preserve">CUS-0255</x:t>
        </x:is>
      </x:c>
      <x:c r="E556" s="4" t="inlineStr">
        <x:is>
          <x:t xml:space="preserve">Headphones</x:t>
        </x:is>
      </x:c>
      <x:c r="F556" s="4" t="inlineStr">
        <x:is>
          <x:t xml:space="preserve">Audio</x:t>
        </x:is>
      </x:c>
      <x:c r="G556" s="4" t="inlineStr">
        <x:is>
          <x:t xml:space="preserve">San Francisco</x:t>
        </x:is>
      </x:c>
      <x:c r="H556" s="18" t="n">
        <x:v>1</x:v>
      </x:c>
      <x:c r="I556" s="19" t="n">
        <x:v>131.02</x:v>
      </x:c>
      <x:c r="J556" s="20" t="n">
        <x:v>0.1</x:v>
      </x:c>
      <x:c r="K556" s="4" t="inlineStr">
        <x:is>
          <x:t xml:space="preserve">Credit Card</x:t>
        </x:is>
      </x:c>
      <x:c r="L556" s="19" t="n">
        <x:v>131.02</x:v>
      </x:c>
      <x:c r="M556" s="19" t="n">
        <x:v>13.1</x:v>
      </x:c>
      <x:c r="N556" s="19" t="n">
        <x:v>117.92</x:v>
      </x:c>
      <x:c r="O556" s="4" t="n">
        <x:f>YEAR(C556)</x:f>
        <x:v>2025</x:v>
      </x:c>
      <x:c r="P556" s="4" t="str">
        <x:f>TEXT(C556,"yyyy-mm")</x:f>
        <x:v>2025-03</x:v>
      </x:c>
      <x:c r="Q556" s="4" t="str">
        <x:f>TEXT(C556,"mmmm")</x:f>
        <x:v>March</x:v>
      </x:c>
    </x:row>
    <x:row r="557" ht="20" customHeight="1">
      <x:c r="A557" s="4" t="inlineStr">
        <x:is>
          <x:t xml:space="preserve">LINE-00561</x:t>
        </x:is>
      </x:c>
      <x:c r="B557" s="4" t="inlineStr">
        <x:is>
          <x:t xml:space="preserve">ORD-2025-0356</x:t>
        </x:is>
      </x:c>
      <x:c r="C557" s="17" t="n">
        <x:v>45967</x:v>
      </x:c>
      <x:c r="D557" s="4" t="inlineStr">
        <x:is>
          <x:t xml:space="preserve">CUS-0317</x:t>
        </x:is>
      </x:c>
      <x:c r="E557" s="4" t="inlineStr">
        <x:is>
          <x:t xml:space="preserve">External SSD</x:t>
        </x:is>
      </x:c>
      <x:c r="F557" s="4" t="inlineStr">
        <x:is>
          <x:t xml:space="preserve">Storage</x:t>
        </x:is>
      </x:c>
      <x:c r="G557" s="4" t="inlineStr">
        <x:is>
          <x:t xml:space="preserve">San Francisco</x:t>
        </x:is>
      </x:c>
      <x:c r="H557" s="18" t="n">
        <x:v>5</x:v>
      </x:c>
      <x:c r="I557" s="19" t="n">
        <x:v>146.72</x:v>
      </x:c>
      <x:c r="J557" s="20" t="n">
        <x:v>0</x:v>
      </x:c>
      <x:c r="K557" s="4" t="inlineStr">
        <x:is>
          <x:t xml:space="preserve">PayPal</x:t>
        </x:is>
      </x:c>
      <x:c r="L557" s="19" t="n">
        <x:v>733.6</x:v>
      </x:c>
      <x:c r="M557" s="19" t="n">
        <x:v>0</x:v>
      </x:c>
      <x:c r="N557" s="19" t="n">
        <x:v>733.6</x:v>
      </x:c>
      <x:c r="O557" s="4" t="n">
        <x:f>YEAR(C557)</x:f>
        <x:v>2025</x:v>
      </x:c>
      <x:c r="P557" s="4" t="str">
        <x:f>TEXT(C557,"yyyy-mm")</x:f>
        <x:v>2025-11</x:v>
      </x:c>
      <x:c r="Q557" s="4" t="str">
        <x:f>TEXT(C557,"mmmm")</x:f>
        <x:v>November</x:v>
      </x:c>
    </x:row>
    <x:row r="558" ht="20" customHeight="1">
      <x:c r="A558" s="4" t="inlineStr">
        <x:is>
          <x:t xml:space="preserve">LINE-00562</x:t>
        </x:is>
      </x:c>
      <x:c r="B558" s="4" t="inlineStr">
        <x:is>
          <x:t xml:space="preserve">ORD-2025-0356</x:t>
        </x:is>
      </x:c>
      <x:c r="C558" s="17" t="n">
        <x:v>45967</x:v>
      </x:c>
      <x:c r="D558" s="4" t="inlineStr">
        <x:is>
          <x:t xml:space="preserve">CUS-0317</x:t>
        </x:is>
      </x:c>
      <x:c r="E558" s="4" t="inlineStr">
        <x:is>
          <x:t xml:space="preserve">Wireless Mouse</x:t>
        </x:is>
      </x:c>
      <x:c r="F558" s="4" t="inlineStr">
        <x:is>
          <x:t xml:space="preserve">Accessories</x:t>
        </x:is>
      </x:c>
      <x:c r="G558" s="4" t="inlineStr">
        <x:is>
          <x:t xml:space="preserve">San Francisco</x:t>
        </x:is>
      </x:c>
      <x:c r="H558" s="18" t="n">
        <x:v>1</x:v>
      </x:c>
      <x:c r="I558" s="19" t="n">
        <x:v>44.67</x:v>
      </x:c>
      <x:c r="J558" s="20" t="n">
        <x:v>0.05</x:v>
      </x:c>
      <x:c r="K558" s="4" t="inlineStr">
        <x:is>
          <x:t xml:space="preserve">PayPal</x:t>
        </x:is>
      </x:c>
      <x:c r="L558" s="19" t="n">
        <x:v>44.67</x:v>
      </x:c>
      <x:c r="M558" s="19" t="n">
        <x:v>2.23</x:v>
      </x:c>
      <x:c r="N558" s="19" t="n">
        <x:v>42.44</x:v>
      </x:c>
      <x:c r="O558" s="4" t="n">
        <x:f>YEAR(C558)</x:f>
        <x:v>2025</x:v>
      </x:c>
      <x:c r="P558" s="4" t="str">
        <x:f>TEXT(C558,"yyyy-mm")</x:f>
        <x:v>2025-11</x:v>
      </x:c>
      <x:c r="Q558" s="4" t="str">
        <x:f>TEXT(C558,"mmmm")</x:f>
        <x:v>November</x:v>
      </x:c>
    </x:row>
    <x:row r="559" ht="20" customHeight="1">
      <x:c r="A559" s="4" t="inlineStr">
        <x:is>
          <x:t xml:space="preserve">LINE-00563</x:t>
        </x:is>
      </x:c>
      <x:c r="B559" s="4" t="inlineStr">
        <x:is>
          <x:t xml:space="preserve">ORD-2025-0356</x:t>
        </x:is>
      </x:c>
      <x:c r="C559" s="17" t="n">
        <x:v>45967</x:v>
      </x:c>
      <x:c r="D559" s="4" t="inlineStr">
        <x:is>
          <x:t xml:space="preserve">CUS-0317</x:t>
        </x:is>
      </x:c>
      <x:c r="E559" s="4" t="inlineStr">
        <x:is>
          <x:t xml:space="preserve">Bluetooth Speaker</x:t>
        </x:is>
      </x:c>
      <x:c r="F559" s="4" t="inlineStr">
        <x:is>
          <x:t xml:space="preserve">Audio</x:t>
        </x:is>
      </x:c>
      <x:c r="G559" s="4" t="inlineStr">
        <x:is>
          <x:t xml:space="preserve">San Francisco</x:t>
        </x:is>
      </x:c>
      <x:c r="H559" s="18" t="n">
        <x:v>2</x:v>
      </x:c>
      <x:c r="I559" s="19" t="n">
        <x:v>109.53</x:v>
      </x:c>
      <x:c r="J559" s="20" t="n">
        <x:v>0.05</x:v>
      </x:c>
      <x:c r="K559" s="4" t="inlineStr">
        <x:is>
          <x:t xml:space="preserve">PayPal</x:t>
        </x:is>
      </x:c>
      <x:c r="L559" s="19" t="n">
        <x:v>219.06</x:v>
      </x:c>
      <x:c r="M559" s="19" t="n">
        <x:v>10.95</x:v>
      </x:c>
      <x:c r="N559" s="19" t="n">
        <x:v>208.11</x:v>
      </x:c>
      <x:c r="O559" s="4" t="n">
        <x:f>YEAR(C559)</x:f>
        <x:v>2025</x:v>
      </x:c>
      <x:c r="P559" s="4" t="str">
        <x:f>TEXT(C559,"yyyy-mm")</x:f>
        <x:v>2025-11</x:v>
      </x:c>
      <x:c r="Q559" s="4" t="str">
        <x:f>TEXT(C559,"mmmm")</x:f>
        <x:v>November</x:v>
      </x:c>
    </x:row>
    <x:row r="560" ht="20" customHeight="1">
      <x:c r="A560" s="4" t="inlineStr">
        <x:is>
          <x:t xml:space="preserve">LINE-00564</x:t>
        </x:is>
      </x:c>
      <x:c r="B560" s="4" t="inlineStr">
        <x:is>
          <x:t xml:space="preserve">ORD-2025-0357</x:t>
        </x:is>
      </x:c>
      <x:c r="C560" s="17" t="n">
        <x:v>45889</x:v>
      </x:c>
      <x:c r="D560" s="4" t="inlineStr">
        <x:is>
          <x:t xml:space="preserve">CUS-0059</x:t>
        </x:is>
      </x:c>
      <x:c r="E560" s="4" t="inlineStr">
        <x:is>
          <x:t xml:space="preserve">Webcam</x:t>
        </x:is>
      </x:c>
      <x:c r="F560" s="4" t="inlineStr">
        <x:is>
          <x:t xml:space="preserve">Accessories</x:t>
        </x:is>
      </x:c>
      <x:c r="G560" s="4" t="inlineStr">
        <x:is>
          <x:t xml:space="preserve">New York</x:t>
        </x:is>
      </x:c>
      <x:c r="H560" s="18" t="n">
        <x:v>3</x:v>
      </x:c>
      <x:c r="I560" s="19" t="n">
        <x:v>96.69</x:v>
      </x:c>
      <x:c r="J560" s="20" t="n">
        <x:v>0</x:v>
      </x:c>
      <x:c r="K560" s="4" t="inlineStr">
        <x:is>
          <x:t xml:space="preserve">Debit Card</x:t>
        </x:is>
      </x:c>
      <x:c r="L560" s="19" t="n">
        <x:v>290.07</x:v>
      </x:c>
      <x:c r="M560" s="19" t="n">
        <x:v>0</x:v>
      </x:c>
      <x:c r="N560" s="19" t="n">
        <x:v>290.07</x:v>
      </x:c>
      <x:c r="O560" s="4" t="n">
        <x:f>YEAR(C560)</x:f>
        <x:v>2025</x:v>
      </x:c>
      <x:c r="P560" s="4" t="str">
        <x:f>TEXT(C560,"yyyy-mm")</x:f>
        <x:v>2025-08</x:v>
      </x:c>
      <x:c r="Q560" s="4" t="str">
        <x:f>TEXT(C560,"mmmm")</x:f>
        <x:v>August</x:v>
      </x:c>
    </x:row>
    <x:row r="561" ht="20" customHeight="1">
      <x:c r="A561" s="4" t="inlineStr">
        <x:is>
          <x:t xml:space="preserve">LINE-00565</x:t>
        </x:is>
      </x:c>
      <x:c r="B561" s="4" t="inlineStr">
        <x:is>
          <x:t xml:space="preserve">ORD-2025-0358</x:t>
        </x:is>
      </x:c>
      <x:c r="C561" s="17" t="n">
        <x:v>45925</x:v>
      </x:c>
      <x:c r="D561" s="4" t="inlineStr">
        <x:is>
          <x:t xml:space="preserve">CUS-0192</x:t>
        </x:is>
      </x:c>
      <x:c r="E561" s="4" t="inlineStr">
        <x:is>
          <x:t xml:space="preserve">Keyboard</x:t>
        </x:is>
      </x:c>
      <x:c r="F561" s="4" t="inlineStr">
        <x:is>
          <x:t xml:space="preserve">Accessories</x:t>
        </x:is>
      </x:c>
      <x:c r="G561" s="4" t="inlineStr">
        <x:is>
          <x:t xml:space="preserve">San Francisco</x:t>
        </x:is>
      </x:c>
      <x:c r="H561" s="18" t="n">
        <x:v>2</x:v>
      </x:c>
      <x:c r="I561" s="19" t="n">
        <x:v>78.86</x:v>
      </x:c>
      <x:c r="J561" s="20" t="n">
        <x:v>0.1</x:v>
      </x:c>
      <x:c r="K561" s="4" t="inlineStr">
        <x:is>
          <x:t xml:space="preserve">Credit Card</x:t>
        </x:is>
      </x:c>
      <x:c r="L561" s="19" t="n">
        <x:v>157.72</x:v>
      </x:c>
      <x:c r="M561" s="19" t="n">
        <x:v>15.77</x:v>
      </x:c>
      <x:c r="N561" s="19" t="n">
        <x:v>141.95</x:v>
      </x:c>
      <x:c r="O561" s="4" t="n">
        <x:f>YEAR(C561)</x:f>
        <x:v>2025</x:v>
      </x:c>
      <x:c r="P561" s="4" t="str">
        <x:f>TEXT(C561,"yyyy-mm")</x:f>
        <x:v>2025-09</x:v>
      </x:c>
      <x:c r="Q561" s="4" t="str">
        <x:f>TEXT(C561,"mmmm")</x:f>
        <x:v>September</x:v>
      </x:c>
    </x:row>
    <x:row r="562" ht="20" customHeight="1">
      <x:c r="A562" s="4" t="inlineStr">
        <x:is>
          <x:t xml:space="preserve">LINE-00566</x:t>
        </x:is>
      </x:c>
      <x:c r="B562" s="4" t="inlineStr">
        <x:is>
          <x:t xml:space="preserve">ORD-2025-0359</x:t>
        </x:is>
      </x:c>
      <x:c r="C562" s="17" t="n">
        <x:v>45867</x:v>
      </x:c>
      <x:c r="D562" s="4" t="inlineStr">
        <x:is>
          <x:t xml:space="preserve">CUS-0055</x:t>
        </x:is>
      </x:c>
      <x:c r="E562" s="4" t="inlineStr">
        <x:is>
          <x:t xml:space="preserve">Headphones</x:t>
        </x:is>
      </x:c>
      <x:c r="F562" s="4" t="inlineStr">
        <x:is>
          <x:t xml:space="preserve">Audio</x:t>
        </x:is>
      </x:c>
      <x:c r="G562" s="4" t="inlineStr">
        <x:is>
          <x:t xml:space="preserve">Austin</x:t>
        </x:is>
      </x:c>
      <x:c r="H562" s="18" t="n">
        <x:v>1</x:v>
      </x:c>
      <x:c r="I562" s="19" t="n">
        <x:v>136.75</x:v>
      </x:c>
      <x:c r="J562" s="20" t="n">
        <x:v>0</x:v>
      </x:c>
      <x:c r="K562" s="4" t="inlineStr">
        <x:is>
          <x:t xml:space="preserve">Debit Card</x:t>
        </x:is>
      </x:c>
      <x:c r="L562" s="19" t="n">
        <x:v>136.75</x:v>
      </x:c>
      <x:c r="M562" s="19" t="n">
        <x:v>0</x:v>
      </x:c>
      <x:c r="N562" s="19" t="n">
        <x:v>136.75</x:v>
      </x:c>
      <x:c r="O562" s="4" t="n">
        <x:f>YEAR(C562)</x:f>
        <x:v>2025</x:v>
      </x:c>
      <x:c r="P562" s="4" t="str">
        <x:f>TEXT(C562,"yyyy-mm")</x:f>
        <x:v>2025-07</x:v>
      </x:c>
      <x:c r="Q562" s="4" t="str">
        <x:f>TEXT(C562,"mmmm")</x:f>
        <x:v>July</x:v>
      </x:c>
    </x:row>
    <x:row r="563" ht="20" customHeight="1">
      <x:c r="A563" s="4" t="inlineStr">
        <x:is>
          <x:t xml:space="preserve">LINE-00567</x:t>
        </x:is>
      </x:c>
      <x:c r="B563" s="4" t="inlineStr">
        <x:is>
          <x:t xml:space="preserve">ORD-2025-0360</x:t>
        </x:is>
      </x:c>
      <x:c r="C563" s="17" t="n">
        <x:v>45831</x:v>
      </x:c>
      <x:c r="D563" s="4" t="inlineStr">
        <x:is>
          <x:t xml:space="preserve">CUS-0056</x:t>
        </x:is>
      </x:c>
      <x:c r="E563" s="4" t="inlineStr">
        <x:is>
          <x:t xml:space="preserve">Office Chair</x:t>
        </x:is>
      </x:c>
      <x:c r="F563" s="4" t="inlineStr">
        <x:is>
          <x:t xml:space="preserve">Furniture</x:t>
        </x:is>
      </x:c>
      <x:c r="G563" s="4" t="inlineStr">
        <x:is>
          <x:t xml:space="preserve">Seattle</x:t>
        </x:is>
      </x:c>
      <x:c r="H563" s="18" t="n">
        <x:v>3</x:v>
      </x:c>
      <x:c r="I563" s="19" t="n">
        <x:v>238.1</x:v>
      </x:c>
      <x:c r="J563" s="20" t="n">
        <x:v>0.05</x:v>
      </x:c>
      <x:c r="K563" s="4" t="inlineStr">
        <x:is>
          <x:t xml:space="preserve">Credit Card</x:t>
        </x:is>
      </x:c>
      <x:c r="L563" s="19" t="n">
        <x:v>714.3</x:v>
      </x:c>
      <x:c r="M563" s="19" t="n">
        <x:v>35.71</x:v>
      </x:c>
      <x:c r="N563" s="19" t="n">
        <x:v>678.59</x:v>
      </x:c>
      <x:c r="O563" s="4" t="n">
        <x:f>YEAR(C563)</x:f>
        <x:v>2025</x:v>
      </x:c>
      <x:c r="P563" s="4" t="str">
        <x:f>TEXT(C563,"yyyy-mm")</x:f>
        <x:v>2025-06</x:v>
      </x:c>
      <x:c r="Q563" s="4" t="str">
        <x:f>TEXT(C563,"mmmm")</x:f>
        <x:v>June</x:v>
      </x:c>
    </x:row>
    <x:row r="564" ht="20" customHeight="1">
      <x:c r="A564" s="4" t="inlineStr">
        <x:is>
          <x:t xml:space="preserve">LINE-00568</x:t>
        </x:is>
      </x:c>
      <x:c r="B564" s="4" t="inlineStr">
        <x:is>
          <x:t xml:space="preserve">ORD-2025-0360</x:t>
        </x:is>
      </x:c>
      <x:c r="C564" s="17" t="n">
        <x:v>45831</x:v>
      </x:c>
      <x:c r="D564" s="4" t="inlineStr">
        <x:is>
          <x:t xml:space="preserve">CUS-0056</x:t>
        </x:is>
      </x:c>
      <x:c r="E564" s="4" t="inlineStr">
        <x:is>
          <x:t xml:space="preserve">USB Flash Drive</x:t>
        </x:is>
      </x:c>
      <x:c r="F564" s="4" t="inlineStr">
        <x:is>
          <x:t xml:space="preserve">Storage</x:t>
        </x:is>
      </x:c>
      <x:c r="G564" s="4" t="inlineStr">
        <x:is>
          <x:t xml:space="preserve">Seattle</x:t>
        </x:is>
      </x:c>
      <x:c r="H564" s="18" t="n">
        <x:v>5</x:v>
      </x:c>
      <x:c r="I564" s="19" t="n">
        <x:v>28.25</x:v>
      </x:c>
      <x:c r="J564" s="20" t="n">
        <x:v>0.05</x:v>
      </x:c>
      <x:c r="K564" s="4" t="inlineStr">
        <x:is>
          <x:t xml:space="preserve">Credit Card</x:t>
        </x:is>
      </x:c>
      <x:c r="L564" s="19" t="n">
        <x:v>141.25</x:v>
      </x:c>
      <x:c r="M564" s="19" t="n">
        <x:v>7.06</x:v>
      </x:c>
      <x:c r="N564" s="19" t="n">
        <x:v>134.19</x:v>
      </x:c>
      <x:c r="O564" s="4" t="n">
        <x:f>YEAR(C564)</x:f>
        <x:v>2025</x:v>
      </x:c>
      <x:c r="P564" s="4" t="str">
        <x:f>TEXT(C564,"yyyy-mm")</x:f>
        <x:v>2025-06</x:v>
      </x:c>
      <x:c r="Q564" s="4" t="str">
        <x:f>TEXT(C564,"mmmm")</x:f>
        <x:v>June</x:v>
      </x:c>
    </x:row>
    <x:row r="565" ht="20" customHeight="1">
      <x:c r="A565" s="4" t="inlineStr">
        <x:is>
          <x:t xml:space="preserve">LINE-00569</x:t>
        </x:is>
      </x:c>
      <x:c r="B565" s="4" t="inlineStr">
        <x:is>
          <x:t xml:space="preserve">ORD-2025-0360</x:t>
        </x:is>
      </x:c>
      <x:c r="C565" s="17" t="n">
        <x:v>45831</x:v>
      </x:c>
      <x:c r="D565" s="4" t="inlineStr">
        <x:is>
          <x:t xml:space="preserve">CUS-0056</x:t>
        </x:is>
      </x:c>
      <x:c r="E565" s="4" t="inlineStr">
        <x:is>
          <x:t xml:space="preserve">Monitor</x:t>
        </x:is>
      </x:c>
      <x:c r="F565" s="4" t="inlineStr">
        <x:is>
          <x:t xml:space="preserve">Computers</x:t>
        </x:is>
      </x:c>
      <x:c r="G565" s="4" t="inlineStr">
        <x:is>
          <x:t xml:space="preserve">Seattle</x:t>
        </x:is>
      </x:c>
      <x:c r="H565" s="18" t="n">
        <x:v>2</x:v>
      </x:c>
      <x:c r="I565" s="19" t="n">
        <x:v>259.78</x:v>
      </x:c>
      <x:c r="J565" s="20" t="n">
        <x:v>0.15</x:v>
      </x:c>
      <x:c r="K565" s="4" t="inlineStr">
        <x:is>
          <x:t xml:space="preserve">Credit Card</x:t>
        </x:is>
      </x:c>
      <x:c r="L565" s="19" t="n">
        <x:v>519.5599999999999</x:v>
      </x:c>
      <x:c r="M565" s="19" t="n">
        <x:v>77.93000000000001</x:v>
      </x:c>
      <x:c r="N565" s="19" t="n">
        <x:v>441.63</x:v>
      </x:c>
      <x:c r="O565" s="4" t="n">
        <x:f>YEAR(C565)</x:f>
        <x:v>2025</x:v>
      </x:c>
      <x:c r="P565" s="4" t="str">
        <x:f>TEXT(C565,"yyyy-mm")</x:f>
        <x:v>2025-06</x:v>
      </x:c>
      <x:c r="Q565" s="4" t="str">
        <x:f>TEXT(C565,"mmmm")</x:f>
        <x:v>June</x:v>
      </x:c>
    </x:row>
    <x:row r="566" ht="20" customHeight="1">
      <x:c r="A566" s="4" t="inlineStr">
        <x:is>
          <x:t xml:space="preserve">LINE-00570</x:t>
        </x:is>
      </x:c>
      <x:c r="B566" s="4" t="inlineStr">
        <x:is>
          <x:t xml:space="preserve">ORD-2025-0361</x:t>
        </x:is>
      </x:c>
      <x:c r="C566" s="17" t="n">
        <x:v>45957</x:v>
      </x:c>
      <x:c r="D566" s="4" t="inlineStr">
        <x:is>
          <x:t xml:space="preserve">CUS-0248</x:t>
        </x:is>
      </x:c>
      <x:c r="E566" s="4" t="inlineStr">
        <x:is>
          <x:t xml:space="preserve">Keyboard</x:t>
        </x:is>
      </x:c>
      <x:c r="F566" s="4" t="inlineStr">
        <x:is>
          <x:t xml:space="preserve">Accessories</x:t>
        </x:is>
      </x:c>
      <x:c r="G566" s="4" t="inlineStr">
        <x:is>
          <x:t xml:space="preserve">Boston</x:t>
        </x:is>
      </x:c>
      <x:c r="H566" s="18" t="n">
        <x:v>1</x:v>
      </x:c>
      <x:c r="I566" s="19" t="n">
        <x:v>76.89</x:v>
      </x:c>
      <x:c r="J566" s="20" t="n">
        <x:v>0.05</x:v>
      </x:c>
      <x:c r="K566" s="4" t="inlineStr">
        <x:is>
          <x:t xml:space="preserve">Debit Card</x:t>
        </x:is>
      </x:c>
      <x:c r="L566" s="19" t="n">
        <x:v>76.89</x:v>
      </x:c>
      <x:c r="M566" s="19" t="n">
        <x:v>3.84</x:v>
      </x:c>
      <x:c r="N566" s="19" t="n">
        <x:v>73.05</x:v>
      </x:c>
      <x:c r="O566" s="4" t="n">
        <x:f>YEAR(C566)</x:f>
        <x:v>2025</x:v>
      </x:c>
      <x:c r="P566" s="4" t="str">
        <x:f>TEXT(C566,"yyyy-mm")</x:f>
        <x:v>2025-10</x:v>
      </x:c>
      <x:c r="Q566" s="4" t="str">
        <x:f>TEXT(C566,"mmmm")</x:f>
        <x:v>October</x:v>
      </x:c>
    </x:row>
    <x:row r="567" ht="20" customHeight="1">
      <x:c r="A567" s="4" t="inlineStr">
        <x:is>
          <x:t xml:space="preserve">LINE-00571</x:t>
        </x:is>
      </x:c>
      <x:c r="B567" s="4" t="inlineStr">
        <x:is>
          <x:t xml:space="preserve">ORD-2025-0361</x:t>
        </x:is>
      </x:c>
      <x:c r="C567" s="17" t="n">
        <x:v>45957</x:v>
      </x:c>
      <x:c r="D567" s="4" t="inlineStr">
        <x:is>
          <x:t xml:space="preserve">CUS-0248</x:t>
        </x:is>
      </x:c>
      <x:c r="E567" s="4" t="inlineStr">
        <x:is>
          <x:t xml:space="preserve">Desk Lamp</x:t>
        </x:is>
      </x:c>
      <x:c r="F567" s="4" t="inlineStr">
        <x:is>
          <x:t xml:space="preserve">Furniture</x:t>
        </x:is>
      </x:c>
      <x:c r="G567" s="4" t="inlineStr">
        <x:is>
          <x:t xml:space="preserve">Boston</x:t>
        </x:is>
      </x:c>
      <x:c r="H567" s="18" t="n">
        <x:v>1</x:v>
      </x:c>
      <x:c r="I567" s="19" t="n">
        <x:v>58.36</x:v>
      </x:c>
      <x:c r="J567" s="20" t="n">
        <x:v>0</x:v>
      </x:c>
      <x:c r="K567" s="4" t="inlineStr">
        <x:is>
          <x:t xml:space="preserve">Debit Card</x:t>
        </x:is>
      </x:c>
      <x:c r="L567" s="19" t="n">
        <x:v>58.36</x:v>
      </x:c>
      <x:c r="M567" s="19" t="n">
        <x:v>0</x:v>
      </x:c>
      <x:c r="N567" s="19" t="n">
        <x:v>58.36</x:v>
      </x:c>
      <x:c r="O567" s="4" t="n">
        <x:f>YEAR(C567)</x:f>
        <x:v>2025</x:v>
      </x:c>
      <x:c r="P567" s="4" t="str">
        <x:f>TEXT(C567,"yyyy-mm")</x:f>
        <x:v>2025-10</x:v>
      </x:c>
      <x:c r="Q567" s="4" t="str">
        <x:f>TEXT(C567,"mmmm")</x:f>
        <x:v>October</x:v>
      </x:c>
    </x:row>
    <x:row r="568" ht="20" customHeight="1">
      <x:c r="A568" s="4" t="inlineStr">
        <x:is>
          <x:t xml:space="preserve">LINE-00572</x:t>
        </x:is>
      </x:c>
      <x:c r="B568" s="4" t="inlineStr">
        <x:is>
          <x:t xml:space="preserve">ORD-2025-0362</x:t>
        </x:is>
      </x:c>
      <x:c r="C568" s="17" t="n">
        <x:v>45969</x:v>
      </x:c>
      <x:c r="D568" s="4" t="inlineStr">
        <x:is>
          <x:t xml:space="preserve">CUS-0128</x:t>
        </x:is>
      </x:c>
      <x:c r="E568" s="4" t="inlineStr">
        <x:is>
          <x:t xml:space="preserve">USB-C Hub</x:t>
        </x:is>
      </x:c>
      <x:c r="F568" s="4" t="inlineStr">
        <x:is>
          <x:t xml:space="preserve">Accessories</x:t>
        </x:is>
      </x:c>
      <x:c r="G568" s="4" t="inlineStr">
        <x:is>
          <x:t xml:space="preserve">Austin</x:t>
        </x:is>
      </x:c>
      <x:c r="H568" s="18" t="n">
        <x:v>1</x:v>
      </x:c>
      <x:c r="I568" s="19" t="n">
        <x:v>66.06999999999999</x:v>
      </x:c>
      <x:c r="J568" s="20" t="n">
        <x:v>0.15</x:v>
      </x:c>
      <x:c r="K568" s="4" t="inlineStr">
        <x:is>
          <x:t xml:space="preserve">Bank Transfer</x:t>
        </x:is>
      </x:c>
      <x:c r="L568" s="19" t="n">
        <x:v>66.06999999999999</x:v>
      </x:c>
      <x:c r="M568" s="19" t="n">
        <x:v>9.91</x:v>
      </x:c>
      <x:c r="N568" s="19" t="n">
        <x:v>56.16</x:v>
      </x:c>
      <x:c r="O568" s="4" t="n">
        <x:f>YEAR(C568)</x:f>
        <x:v>2025</x:v>
      </x:c>
      <x:c r="P568" s="4" t="str">
        <x:f>TEXT(C568,"yyyy-mm")</x:f>
        <x:v>2025-11</x:v>
      </x:c>
      <x:c r="Q568" s="4" t="str">
        <x:f>TEXT(C568,"mmmm")</x:f>
        <x:v>November</x:v>
      </x:c>
    </x:row>
    <x:row r="569" ht="20" customHeight="1">
      <x:c r="A569" s="4" t="inlineStr">
        <x:is>
          <x:t xml:space="preserve">LINE-00573</x:t>
        </x:is>
      </x:c>
      <x:c r="B569" s="4" t="inlineStr">
        <x:is>
          <x:t xml:space="preserve">ORD-2025-0362</x:t>
        </x:is>
      </x:c>
      <x:c r="C569" s="17" t="n">
        <x:v>45969</x:v>
      </x:c>
      <x:c r="D569" s="4" t="inlineStr">
        <x:is>
          <x:t xml:space="preserve">CUS-0128</x:t>
        </x:is>
      </x:c>
      <x:c r="E569" s="4" t="inlineStr">
        <x:is>
          <x:t xml:space="preserve">Bluetooth Speaker</x:t>
        </x:is>
      </x:c>
      <x:c r="F569" s="4" t="inlineStr">
        <x:is>
          <x:t xml:space="preserve">Audio</x:t>
        </x:is>
      </x:c>
      <x:c r="G569" s="4" t="inlineStr">
        <x:is>
          <x:t xml:space="preserve">Austin</x:t>
        </x:is>
      </x:c>
      <x:c r="H569" s="18" t="n">
        <x:v>2</x:v>
      </x:c>
      <x:c r="I569" s="19" t="n">
        <x:v>116.04</x:v>
      </x:c>
      <x:c r="J569" s="20" t="n">
        <x:v>0.05</x:v>
      </x:c>
      <x:c r="K569" s="4" t="inlineStr">
        <x:is>
          <x:t xml:space="preserve">Bank Transfer</x:t>
        </x:is>
      </x:c>
      <x:c r="L569" s="19" t="n">
        <x:v>232.08</x:v>
      </x:c>
      <x:c r="M569" s="19" t="n">
        <x:v>11.6</x:v>
      </x:c>
      <x:c r="N569" s="19" t="n">
        <x:v>220.48</x:v>
      </x:c>
      <x:c r="O569" s="4" t="n">
        <x:f>YEAR(C569)</x:f>
        <x:v>2025</x:v>
      </x:c>
      <x:c r="P569" s="4" t="str">
        <x:f>TEXT(C569,"yyyy-mm")</x:f>
        <x:v>2025-11</x:v>
      </x:c>
      <x:c r="Q569" s="4" t="str">
        <x:f>TEXT(C569,"mmmm")</x:f>
        <x:v>November</x:v>
      </x:c>
    </x:row>
    <x:row r="570" ht="20" customHeight="1">
      <x:c r="A570" s="4" t="inlineStr">
        <x:is>
          <x:t xml:space="preserve">LINE-00574</x:t>
        </x:is>
      </x:c>
      <x:c r="B570" s="4" t="inlineStr">
        <x:is>
          <x:t xml:space="preserve">ORD-2025-0362</x:t>
        </x:is>
      </x:c>
      <x:c r="C570" s="17" t="n">
        <x:v>45969</x:v>
      </x:c>
      <x:c r="D570" s="4" t="inlineStr">
        <x:is>
          <x:t xml:space="preserve">CUS-0128</x:t>
        </x:is>
      </x:c>
      <x:c r="E570" s="4" t="inlineStr">
        <x:is>
          <x:t xml:space="preserve">Keyboard</x:t>
        </x:is>
      </x:c>
      <x:c r="F570" s="4" t="inlineStr">
        <x:is>
          <x:t xml:space="preserve">Accessories</x:t>
        </x:is>
      </x:c>
      <x:c r="G570" s="4" t="inlineStr">
        <x:is>
          <x:t xml:space="preserve">Austin</x:t>
        </x:is>
      </x:c>
      <x:c r="H570" s="18" t="n">
        <x:v>1</x:v>
      </x:c>
      <x:c r="I570" s="19" t="n">
        <x:v>77.84</x:v>
      </x:c>
      <x:c r="J570" s="20" t="n">
        <x:v>0.05</x:v>
      </x:c>
      <x:c r="K570" s="4" t="inlineStr">
        <x:is>
          <x:t xml:space="preserve">Bank Transfer</x:t>
        </x:is>
      </x:c>
      <x:c r="L570" s="19" t="n">
        <x:v>77.84</x:v>
      </x:c>
      <x:c r="M570" s="19" t="n">
        <x:v>3.89</x:v>
      </x:c>
      <x:c r="N570" s="19" t="n">
        <x:v>73.95</x:v>
      </x:c>
      <x:c r="O570" s="4" t="n">
        <x:f>YEAR(C570)</x:f>
        <x:v>2025</x:v>
      </x:c>
      <x:c r="P570" s="4" t="str">
        <x:f>TEXT(C570,"yyyy-mm")</x:f>
        <x:v>2025-11</x:v>
      </x:c>
      <x:c r="Q570" s="4" t="str">
        <x:f>TEXT(C570,"mmmm")</x:f>
        <x:v>November</x:v>
      </x:c>
    </x:row>
    <x:row r="571" ht="20" customHeight="1">
      <x:c r="A571" s="4" t="inlineStr">
        <x:is>
          <x:t xml:space="preserve">LINE-00575</x:t>
        </x:is>
      </x:c>
      <x:c r="B571" s="4" t="inlineStr">
        <x:is>
          <x:t xml:space="preserve">ORD-2025-0363</x:t>
        </x:is>
      </x:c>
      <x:c r="C571" s="17" t="n">
        <x:v>45769</x:v>
      </x:c>
      <x:c r="D571" s="4" t="inlineStr">
        <x:is>
          <x:t xml:space="preserve">CUS-0103</x:t>
        </x:is>
      </x:c>
      <x:c r="E571" s="4" t="inlineStr">
        <x:is>
          <x:t xml:space="preserve">Office Chair</x:t>
        </x:is>
      </x:c>
      <x:c r="F571" s="4" t="inlineStr">
        <x:is>
          <x:t xml:space="preserve">Furniture</x:t>
        </x:is>
      </x:c>
      <x:c r="G571" s="4" t="inlineStr">
        <x:is>
          <x:t xml:space="preserve">Chicago</x:t>
        </x:is>
      </x:c>
      <x:c r="H571" s="18" t="n">
        <x:v>5</x:v>
      </x:c>
      <x:c r="I571" s="19" t="n">
        <x:v>245.76</x:v>
      </x:c>
      <x:c r="J571" s="20" t="n">
        <x:v>0.15</x:v>
      </x:c>
      <x:c r="K571" s="4" t="inlineStr">
        <x:is>
          <x:t xml:space="preserve">PayPal</x:t>
        </x:is>
      </x:c>
      <x:c r="L571" s="19" t="n">
        <x:v>1228.8</x:v>
      </x:c>
      <x:c r="M571" s="19" t="n">
        <x:v>184.32</x:v>
      </x:c>
      <x:c r="N571" s="19" t="n">
        <x:v>1044.48</x:v>
      </x:c>
      <x:c r="O571" s="4" t="n">
        <x:f>YEAR(C571)</x:f>
        <x:v>2025</x:v>
      </x:c>
      <x:c r="P571" s="4" t="str">
        <x:f>TEXT(C571,"yyyy-mm")</x:f>
        <x:v>2025-04</x:v>
      </x:c>
      <x:c r="Q571" s="4" t="str">
        <x:f>TEXT(C571,"mmmm")</x:f>
        <x:v>April</x:v>
      </x:c>
    </x:row>
    <x:row r="572" ht="20" customHeight="1">
      <x:c r="A572" s="4" t="inlineStr">
        <x:is>
          <x:t xml:space="preserve">LINE-00576</x:t>
        </x:is>
      </x:c>
      <x:c r="B572" s="4" t="inlineStr">
        <x:is>
          <x:t xml:space="preserve">ORD-2025-0363</x:t>
        </x:is>
      </x:c>
      <x:c r="C572" s="17" t="n">
        <x:v>45769</x:v>
      </x:c>
      <x:c r="D572" s="4" t="inlineStr">
        <x:is>
          <x:t xml:space="preserve">CUS-0103</x:t>
        </x:is>
      </x:c>
      <x:c r="E572" s="4" t="inlineStr">
        <x:is>
          <x:t xml:space="preserve">Keyboard</x:t>
        </x:is>
      </x:c>
      <x:c r="F572" s="4" t="inlineStr">
        <x:is>
          <x:t xml:space="preserve">Accessories</x:t>
        </x:is>
      </x:c>
      <x:c r="G572" s="4" t="inlineStr">
        <x:is>
          <x:t xml:space="preserve">Chicago</x:t>
        </x:is>
      </x:c>
      <x:c r="H572" s="18" t="n">
        <x:v>2</x:v>
      </x:c>
      <x:c r="I572" s="19" t="n">
        <x:v>77.33</x:v>
      </x:c>
      <x:c r="J572" s="20" t="n">
        <x:v>0</x:v>
      </x:c>
      <x:c r="K572" s="4" t="inlineStr">
        <x:is>
          <x:t xml:space="preserve">PayPal</x:t>
        </x:is>
      </x:c>
      <x:c r="L572" s="19" t="n">
        <x:v>154.66</x:v>
      </x:c>
      <x:c r="M572" s="19" t="n">
        <x:v>0</x:v>
      </x:c>
      <x:c r="N572" s="19" t="n">
        <x:v>154.66</x:v>
      </x:c>
      <x:c r="O572" s="4" t="n">
        <x:f>YEAR(C572)</x:f>
        <x:v>2025</x:v>
      </x:c>
      <x:c r="P572" s="4" t="str">
        <x:f>TEXT(C572,"yyyy-mm")</x:f>
        <x:v>2025-04</x:v>
      </x:c>
      <x:c r="Q572" s="4" t="str">
        <x:f>TEXT(C572,"mmmm")</x:f>
        <x:v>April</x:v>
      </x:c>
    </x:row>
    <x:row r="573" ht="20" customHeight="1">
      <x:c r="A573" s="4" t="inlineStr">
        <x:is>
          <x:t xml:space="preserve">LINE-00577</x:t>
        </x:is>
      </x:c>
      <x:c r="B573" s="4" t="inlineStr">
        <x:is>
          <x:t xml:space="preserve">ORD-2025-0364</x:t>
        </x:is>
      </x:c>
      <x:c r="C573" s="17" t="n">
        <x:v>45717</x:v>
      </x:c>
      <x:c r="D573" s="4" t="inlineStr">
        <x:is>
          <x:t xml:space="preserve">CUS-0181</x:t>
        </x:is>
      </x:c>
      <x:c r="E573" s="4" t="inlineStr">
        <x:is>
          <x:t xml:space="preserve">Office Chair</x:t>
        </x:is>
      </x:c>
      <x:c r="F573" s="4" t="inlineStr">
        <x:is>
          <x:t xml:space="preserve">Furniture</x:t>
        </x:is>
      </x:c>
      <x:c r="G573" s="4" t="inlineStr">
        <x:is>
          <x:t xml:space="preserve">Boston</x:t>
        </x:is>
      </x:c>
      <x:c r="H573" s="18" t="n">
        <x:v>2</x:v>
      </x:c>
      <x:c r="I573" s="19" t="n">
        <x:v>255.12</x:v>
      </x:c>
      <x:c r="J573" s="20" t="n">
        <x:v>0.05</x:v>
      </x:c>
      <x:c r="K573" s="4" t="inlineStr">
        <x:is>
          <x:t xml:space="preserve">Bank Transfer</x:t>
        </x:is>
      </x:c>
      <x:c r="L573" s="19" t="n">
        <x:v>510.24</x:v>
      </x:c>
      <x:c r="M573" s="19" t="n">
        <x:v>25.51</x:v>
      </x:c>
      <x:c r="N573" s="19" t="n">
        <x:v>484.73</x:v>
      </x:c>
      <x:c r="O573" s="4" t="n">
        <x:f>YEAR(C573)</x:f>
        <x:v>2025</x:v>
      </x:c>
      <x:c r="P573" s="4" t="str">
        <x:f>TEXT(C573,"yyyy-mm")</x:f>
        <x:v>2025-03</x:v>
      </x:c>
      <x:c r="Q573" s="4" t="str">
        <x:f>TEXT(C573,"mmmm")</x:f>
        <x:v>March</x:v>
      </x:c>
    </x:row>
    <x:row r="574" ht="20" customHeight="1">
      <x:c r="A574" s="4" t="inlineStr">
        <x:is>
          <x:t xml:space="preserve">LINE-00578</x:t>
        </x:is>
      </x:c>
      <x:c r="B574" s="4" t="inlineStr">
        <x:is>
          <x:t xml:space="preserve">ORD-2025-0364</x:t>
        </x:is>
      </x:c>
      <x:c r="C574" s="17" t="n">
        <x:v>45717</x:v>
      </x:c>
      <x:c r="D574" s="4" t="inlineStr">
        <x:is>
          <x:t xml:space="preserve">CUS-0181</x:t>
        </x:is>
      </x:c>
      <x:c r="E574" s="4" t="inlineStr">
        <x:is>
          <x:t xml:space="preserve">Headphones</x:t>
        </x:is>
      </x:c>
      <x:c r="F574" s="4" t="inlineStr">
        <x:is>
          <x:t xml:space="preserve">Audio</x:t>
        </x:is>
      </x:c>
      <x:c r="G574" s="4" t="inlineStr">
        <x:is>
          <x:t xml:space="preserve">Boston</x:t>
        </x:is>
      </x:c>
      <x:c r="H574" s="18" t="n">
        <x:v>4</x:v>
      </x:c>
      <x:c r="I574" s="19" t="n">
        <x:v>128.39</x:v>
      </x:c>
      <x:c r="J574" s="20" t="n">
        <x:v>0</x:v>
      </x:c>
      <x:c r="K574" s="4" t="inlineStr">
        <x:is>
          <x:t xml:space="preserve">Bank Transfer</x:t>
        </x:is>
      </x:c>
      <x:c r="L574" s="19" t="n">
        <x:v>513.5599999999999</x:v>
      </x:c>
      <x:c r="M574" s="19" t="n">
        <x:v>0</x:v>
      </x:c>
      <x:c r="N574" s="19" t="n">
        <x:v>513.5599999999999</x:v>
      </x:c>
      <x:c r="O574" s="4" t="n">
        <x:f>YEAR(C574)</x:f>
        <x:v>2025</x:v>
      </x:c>
      <x:c r="P574" s="4" t="str">
        <x:f>TEXT(C574,"yyyy-mm")</x:f>
        <x:v>2025-03</x:v>
      </x:c>
      <x:c r="Q574" s="4" t="str">
        <x:f>TEXT(C574,"mmmm")</x:f>
        <x:v>March</x:v>
      </x:c>
    </x:row>
    <x:row r="575" ht="20" customHeight="1">
      <x:c r="A575" s="4" t="inlineStr">
        <x:is>
          <x:t xml:space="preserve">LINE-00579</x:t>
        </x:is>
      </x:c>
      <x:c r="B575" s="4" t="inlineStr">
        <x:is>
          <x:t xml:space="preserve">ORD-2025-0365</x:t>
        </x:is>
      </x:c>
      <x:c r="C575" s="17" t="n">
        <x:v>45712</x:v>
      </x:c>
      <x:c r="D575" s="4" t="inlineStr">
        <x:is>
          <x:t xml:space="preserve">CUS-0013</x:t>
        </x:is>
      </x:c>
      <x:c r="E575" s="4" t="inlineStr">
        <x:is>
          <x:t xml:space="preserve">Laptop</x:t>
        </x:is>
      </x:c>
      <x:c r="F575" s="4" t="inlineStr">
        <x:is>
          <x:t xml:space="preserve">Computers</x:t>
        </x:is>
      </x:c>
      <x:c r="G575" s="4" t="inlineStr">
        <x:is>
          <x:t xml:space="preserve">Seattle</x:t>
        </x:is>
      </x:c>
      <x:c r="H575" s="18" t="n">
        <x:v>1</x:v>
      </x:c>
      <x:c r="I575" s="19" t="n">
        <x:v>988.03</x:v>
      </x:c>
      <x:c r="J575" s="20" t="n">
        <x:v>0</x:v>
      </x:c>
      <x:c r="K575" s="4" t="inlineStr">
        <x:is>
          <x:t xml:space="preserve">Debit Card</x:t>
        </x:is>
      </x:c>
      <x:c r="L575" s="19" t="n">
        <x:v>988.03</x:v>
      </x:c>
      <x:c r="M575" s="19" t="n">
        <x:v>0</x:v>
      </x:c>
      <x:c r="N575" s="19" t="n">
        <x:v>988.03</x:v>
      </x:c>
      <x:c r="O575" s="4" t="n">
        <x:f>YEAR(C575)</x:f>
        <x:v>2025</x:v>
      </x:c>
      <x:c r="P575" s="4" t="str">
        <x:f>TEXT(C575,"yyyy-mm")</x:f>
        <x:v>2025-02</x:v>
      </x:c>
      <x:c r="Q575" s="4" t="str">
        <x:f>TEXT(C575,"mmmm")</x:f>
        <x:v>February</x:v>
      </x:c>
    </x:row>
    <x:row r="576" ht="20" customHeight="1">
      <x:c r="A576" s="4" t="inlineStr">
        <x:is>
          <x:t xml:space="preserve">LINE-00580</x:t>
        </x:is>
      </x:c>
      <x:c r="B576" s="4" t="inlineStr">
        <x:is>
          <x:t xml:space="preserve">ORD-2025-0366</x:t>
        </x:is>
      </x:c>
      <x:c r="C576" s="17" t="n">
        <x:v>45804</x:v>
      </x:c>
      <x:c r="D576" s="4" t="inlineStr">
        <x:is>
          <x:t xml:space="preserve">CUS-0350</x:t>
        </x:is>
      </x:c>
      <x:c r="E576" s="4" t="inlineStr">
        <x:is>
          <x:t xml:space="preserve">Desk Lamp</x:t>
        </x:is>
      </x:c>
      <x:c r="F576" s="4" t="inlineStr">
        <x:is>
          <x:t xml:space="preserve">Furniture</x:t>
        </x:is>
      </x:c>
      <x:c r="G576" s="4" t="inlineStr">
        <x:is>
          <x:t xml:space="preserve">Austin</x:t>
        </x:is>
      </x:c>
      <x:c r="H576" s="18" t="n">
        <x:v>1</x:v>
      </x:c>
      <x:c r="I576" s="19" t="n">
        <x:v>55.36</x:v>
      </x:c>
      <x:c r="J576" s="20" t="n">
        <x:v>0</x:v>
      </x:c>
      <x:c r="K576" s="4" t="inlineStr">
        <x:is>
          <x:t xml:space="preserve">Debit Card</x:t>
        </x:is>
      </x:c>
      <x:c r="L576" s="19" t="n">
        <x:v>55.36</x:v>
      </x:c>
      <x:c r="M576" s="19" t="n">
        <x:v>0</x:v>
      </x:c>
      <x:c r="N576" s="19" t="n">
        <x:v>55.36</x:v>
      </x:c>
      <x:c r="O576" s="4" t="n">
        <x:f>YEAR(C576)</x:f>
        <x:v>2025</x:v>
      </x:c>
      <x:c r="P576" s="4" t="str">
        <x:f>TEXT(C576,"yyyy-mm")</x:f>
        <x:v>2025-05</x:v>
      </x:c>
      <x:c r="Q576" s="4" t="str">
        <x:f>TEXT(C576,"mmmm")</x:f>
        <x:v>May</x:v>
      </x:c>
    </x:row>
    <x:row r="577" ht="20" customHeight="1">
      <x:c r="A577" s="4" t="inlineStr">
        <x:is>
          <x:t xml:space="preserve">LINE-00581</x:t>
        </x:is>
      </x:c>
      <x:c r="B577" s="4" t="inlineStr">
        <x:is>
          <x:t xml:space="preserve">ORD-2025-0366</x:t>
        </x:is>
      </x:c>
      <x:c r="C577" s="17" t="n">
        <x:v>45804</x:v>
      </x:c>
      <x:c r="D577" s="4" t="inlineStr">
        <x:is>
          <x:t xml:space="preserve">CUS-0350</x:t>
        </x:is>
      </x:c>
      <x:c r="E577" s="4" t="inlineStr">
        <x:is>
          <x:t xml:space="preserve">USB-C Hub</x:t>
        </x:is>
      </x:c>
      <x:c r="F577" s="4" t="inlineStr">
        <x:is>
          <x:t xml:space="preserve">Accessories</x:t>
        </x:is>
      </x:c>
      <x:c r="G577" s="4" t="inlineStr">
        <x:is>
          <x:t xml:space="preserve">Austin</x:t>
        </x:is>
      </x:c>
      <x:c r="H577" s="18" t="n">
        <x:v>2</x:v>
      </x:c>
      <x:c r="I577" s="19" t="n">
        <x:v>66.20999999999999</x:v>
      </x:c>
      <x:c r="J577" s="20" t="n">
        <x:v>0.05</x:v>
      </x:c>
      <x:c r="K577" s="4" t="inlineStr">
        <x:is>
          <x:t xml:space="preserve">Debit Card</x:t>
        </x:is>
      </x:c>
      <x:c r="L577" s="19" t="n">
        <x:v>132.42</x:v>
      </x:c>
      <x:c r="M577" s="19" t="n">
        <x:v>6.62</x:v>
      </x:c>
      <x:c r="N577" s="19" t="n">
        <x:v>125.8</x:v>
      </x:c>
      <x:c r="O577" s="4" t="n">
        <x:f>YEAR(C577)</x:f>
        <x:v>2025</x:v>
      </x:c>
      <x:c r="P577" s="4" t="str">
        <x:f>TEXT(C577,"yyyy-mm")</x:f>
        <x:v>2025-05</x:v>
      </x:c>
      <x:c r="Q577" s="4" t="str">
        <x:f>TEXT(C577,"mmmm")</x:f>
        <x:v>May</x:v>
      </x:c>
    </x:row>
    <x:row r="578" ht="20" customHeight="1">
      <x:c r="A578" s="4" t="inlineStr">
        <x:is>
          <x:t xml:space="preserve">LINE-00582</x:t>
        </x:is>
      </x:c>
      <x:c r="B578" s="4" t="inlineStr">
        <x:is>
          <x:t xml:space="preserve">ORD-2025-0367</x:t>
        </x:is>
      </x:c>
      <x:c r="C578" s="17" t="n">
        <x:v>45945</x:v>
      </x:c>
      <x:c r="D578" s="4" t="inlineStr">
        <x:is>
          <x:t xml:space="preserve">CUS-0115</x:t>
        </x:is>
      </x:c>
      <x:c r="E578" s="4" t="inlineStr">
        <x:is>
          <x:t xml:space="preserve">Desk Lamp</x:t>
        </x:is>
      </x:c>
      <x:c r="F578" s="4" t="inlineStr">
        <x:is>
          <x:t xml:space="preserve">Furniture</x:t>
        </x:is>
      </x:c>
      <x:c r="G578" s="4" t="inlineStr">
        <x:is>
          <x:t xml:space="preserve">San Francisco</x:t>
        </x:is>
      </x:c>
      <x:c r="H578" s="18" t="n">
        <x:v>1</x:v>
      </x:c>
      <x:c r="I578" s="19" t="n">
        <x:v>56.45</x:v>
      </x:c>
      <x:c r="J578" s="20" t="n">
        <x:v>0.15</x:v>
      </x:c>
      <x:c r="K578" s="4" t="inlineStr">
        <x:is>
          <x:t xml:space="preserve">Bank Transfer</x:t>
        </x:is>
      </x:c>
      <x:c r="L578" s="19" t="n">
        <x:v>56.45</x:v>
      </x:c>
      <x:c r="M578" s="19" t="n">
        <x:v>8.470000000000001</x:v>
      </x:c>
      <x:c r="N578" s="19" t="n">
        <x:v>47.98</x:v>
      </x:c>
      <x:c r="O578" s="4" t="n">
        <x:f>YEAR(C578)</x:f>
        <x:v>2025</x:v>
      </x:c>
      <x:c r="P578" s="4" t="str">
        <x:f>TEXT(C578,"yyyy-mm")</x:f>
        <x:v>2025-10</x:v>
      </x:c>
      <x:c r="Q578" s="4" t="str">
        <x:f>TEXT(C578,"mmmm")</x:f>
        <x:v>October</x:v>
      </x:c>
    </x:row>
    <x:row r="579" ht="20" customHeight="1">
      <x:c r="A579" s="4" t="inlineStr">
        <x:is>
          <x:t xml:space="preserve">LINE-00583</x:t>
        </x:is>
      </x:c>
      <x:c r="B579" s="4" t="inlineStr">
        <x:is>
          <x:t xml:space="preserve">ORD-2025-0368</x:t>
        </x:is>
      </x:c>
      <x:c r="C579" s="17" t="n">
        <x:v>45856</x:v>
      </x:c>
      <x:c r="D579" s="4" t="inlineStr">
        <x:is>
          <x:t xml:space="preserve">CUS-0214</x:t>
        </x:is>
      </x:c>
      <x:c r="E579" s="4" t="inlineStr">
        <x:is>
          <x:t xml:space="preserve">Laptop</x:t>
        </x:is>
      </x:c>
      <x:c r="F579" s="4" t="inlineStr">
        <x:is>
          <x:t xml:space="preserve">Computers</x:t>
        </x:is>
      </x:c>
      <x:c r="G579" s="4" t="inlineStr">
        <x:is>
          <x:t xml:space="preserve">San Francisco</x:t>
        </x:is>
      </x:c>
      <x:c r="H579" s="18" t="n">
        <x:v>1</x:v>
      </x:c>
      <x:c r="I579" s="19" t="n">
        <x:v>1006.07</x:v>
      </x:c>
      <x:c r="J579" s="20" t="n">
        <x:v>0.1</x:v>
      </x:c>
      <x:c r="K579" s="4" t="inlineStr">
        <x:is>
          <x:t xml:space="preserve">PayPal</x:t>
        </x:is>
      </x:c>
      <x:c r="L579" s="19" t="n">
        <x:v>1006.07</x:v>
      </x:c>
      <x:c r="M579" s="19" t="n">
        <x:v>100.61</x:v>
      </x:c>
      <x:c r="N579" s="19" t="n">
        <x:v>905.46</x:v>
      </x:c>
      <x:c r="O579" s="4" t="n">
        <x:f>YEAR(C579)</x:f>
        <x:v>2025</x:v>
      </x:c>
      <x:c r="P579" s="4" t="str">
        <x:f>TEXT(C579,"yyyy-mm")</x:f>
        <x:v>2025-07</x:v>
      </x:c>
      <x:c r="Q579" s="4" t="str">
        <x:f>TEXT(C579,"mmmm")</x:f>
        <x:v>July</x:v>
      </x:c>
    </x:row>
    <x:row r="580" ht="20" customHeight="1">
      <x:c r="A580" s="4" t="inlineStr">
        <x:is>
          <x:t xml:space="preserve">LINE-00584</x:t>
        </x:is>
      </x:c>
      <x:c r="B580" s="4" t="inlineStr">
        <x:is>
          <x:t xml:space="preserve">ORD-2025-0368</x:t>
        </x:is>
      </x:c>
      <x:c r="C580" s="17" t="n">
        <x:v>45856</x:v>
      </x:c>
      <x:c r="D580" s="4" t="inlineStr">
        <x:is>
          <x:t xml:space="preserve">CUS-0214</x:t>
        </x:is>
      </x:c>
      <x:c r="E580" s="4" t="inlineStr">
        <x:is>
          <x:t xml:space="preserve">Desk Lamp</x:t>
        </x:is>
      </x:c>
      <x:c r="F580" s="4" t="inlineStr">
        <x:is>
          <x:t xml:space="preserve">Furniture</x:t>
        </x:is>
      </x:c>
      <x:c r="G580" s="4" t="inlineStr">
        <x:is>
          <x:t xml:space="preserve">San Francisco</x:t>
        </x:is>
      </x:c>
      <x:c r="H580" s="18" t="n">
        <x:v>2</x:v>
      </x:c>
      <x:c r="I580" s="19" t="n">
        <x:v>52.58</x:v>
      </x:c>
      <x:c r="J580" s="20" t="n">
        <x:v>0.05</x:v>
      </x:c>
      <x:c r="K580" s="4" t="inlineStr">
        <x:is>
          <x:t xml:space="preserve">PayPal</x:t>
        </x:is>
      </x:c>
      <x:c r="L580" s="19" t="n">
        <x:v>105.16</x:v>
      </x:c>
      <x:c r="M580" s="19" t="n">
        <x:v>5.26</x:v>
      </x:c>
      <x:c r="N580" s="19" t="n">
        <x:v>99.90000000000001</x:v>
      </x:c>
      <x:c r="O580" s="4" t="n">
        <x:f>YEAR(C580)</x:f>
        <x:v>2025</x:v>
      </x:c>
      <x:c r="P580" s="4" t="str">
        <x:f>TEXT(C580,"yyyy-mm")</x:f>
        <x:v>2025-07</x:v>
      </x:c>
      <x:c r="Q580" s="4" t="str">
        <x:f>TEXT(C580,"mmmm")</x:f>
        <x:v>July</x:v>
      </x:c>
    </x:row>
    <x:row r="581" ht="20" customHeight="1">
      <x:c r="A581" s="4" t="inlineStr">
        <x:is>
          <x:t xml:space="preserve">LINE-00585</x:t>
        </x:is>
      </x:c>
      <x:c r="B581" s="4" t="inlineStr">
        <x:is>
          <x:t xml:space="preserve">ORD-2025-0368</x:t>
        </x:is>
      </x:c>
      <x:c r="C581" s="17" t="n">
        <x:v>45856</x:v>
      </x:c>
      <x:c r="D581" s="4" t="inlineStr">
        <x:is>
          <x:t xml:space="preserve">CUS-0214</x:t>
        </x:is>
      </x:c>
      <x:c r="E581" s="4" t="inlineStr">
        <x:is>
          <x:t xml:space="preserve">USB-C Hub</x:t>
        </x:is>
      </x:c>
      <x:c r="F581" s="4" t="inlineStr">
        <x:is>
          <x:t xml:space="preserve">Accessories</x:t>
        </x:is>
      </x:c>
      <x:c r="G581" s="4" t="inlineStr">
        <x:is>
          <x:t xml:space="preserve">San Francisco</x:t>
        </x:is>
      </x:c>
      <x:c r="H581" s="18" t="n">
        <x:v>3</x:v>
      </x:c>
      <x:c r="I581" s="19" t="n">
        <x:v>63.62</x:v>
      </x:c>
      <x:c r="J581" s="20" t="n">
        <x:v>0.05</x:v>
      </x:c>
      <x:c r="K581" s="4" t="inlineStr">
        <x:is>
          <x:t xml:space="preserve">PayPal</x:t>
        </x:is>
      </x:c>
      <x:c r="L581" s="19" t="n">
        <x:v>190.86</x:v>
      </x:c>
      <x:c r="M581" s="19" t="n">
        <x:v>9.539999999999999</x:v>
      </x:c>
      <x:c r="N581" s="19" t="n">
        <x:v>181.32</x:v>
      </x:c>
      <x:c r="O581" s="4" t="n">
        <x:f>YEAR(C581)</x:f>
        <x:v>2025</x:v>
      </x:c>
      <x:c r="P581" s="4" t="str">
        <x:f>TEXT(C581,"yyyy-mm")</x:f>
        <x:v>2025-07</x:v>
      </x:c>
      <x:c r="Q581" s="4" t="str">
        <x:f>TEXT(C581,"mmmm")</x:f>
        <x:v>July</x:v>
      </x:c>
    </x:row>
    <x:row r="582" ht="20" customHeight="1">
      <x:c r="A582" s="4" t="inlineStr">
        <x:is>
          <x:t xml:space="preserve">LINE-00586</x:t>
        </x:is>
      </x:c>
      <x:c r="B582" s="4" t="inlineStr">
        <x:is>
          <x:t xml:space="preserve">ORD-2025-0369</x:t>
        </x:is>
      </x:c>
      <x:c r="C582" s="17" t="n">
        <x:v>45966</x:v>
      </x:c>
      <x:c r="D582" s="4" t="inlineStr">
        <x:is>
          <x:t xml:space="preserve">CUS-0101</x:t>
        </x:is>
      </x:c>
      <x:c r="E582" s="4" t="inlineStr">
        <x:is>
          <x:t xml:space="preserve">Keyboard</x:t>
        </x:is>
      </x:c>
      <x:c r="F582" s="4" t="inlineStr">
        <x:is>
          <x:t xml:space="preserve">Accessories</x:t>
        </x:is>
      </x:c>
      <x:c r="G582" s="4" t="inlineStr">
        <x:is>
          <x:t xml:space="preserve">San Francisco</x:t>
        </x:is>
      </x:c>
      <x:c r="H582" s="18" t="n">
        <x:v>5</x:v>
      </x:c>
      <x:c r="I582" s="19" t="n">
        <x:v>69.89</x:v>
      </x:c>
      <x:c r="J582" s="20" t="n">
        <x:v>0.2</x:v>
      </x:c>
      <x:c r="K582" s="4" t="inlineStr">
        <x:is>
          <x:t xml:space="preserve">Debit Card</x:t>
        </x:is>
      </x:c>
      <x:c r="L582" s="19" t="n">
        <x:v>349.45</x:v>
      </x:c>
      <x:c r="M582" s="19" t="n">
        <x:v>69.89</x:v>
      </x:c>
      <x:c r="N582" s="19" t="n">
        <x:v>279.56</x:v>
      </x:c>
      <x:c r="O582" s="4" t="n">
        <x:f>YEAR(C582)</x:f>
        <x:v>2025</x:v>
      </x:c>
      <x:c r="P582" s="4" t="str">
        <x:f>TEXT(C582,"yyyy-mm")</x:f>
        <x:v>2025-11</x:v>
      </x:c>
      <x:c r="Q582" s="4" t="str">
        <x:f>TEXT(C582,"mmmm")</x:f>
        <x:v>November</x:v>
      </x:c>
    </x:row>
    <x:row r="583" ht="20" customHeight="1">
      <x:c r="A583" s="4" t="inlineStr">
        <x:is>
          <x:t xml:space="preserve">LINE-00587</x:t>
        </x:is>
      </x:c>
      <x:c r="B583" s="4" t="inlineStr">
        <x:is>
          <x:t xml:space="preserve">ORD-2025-0370</x:t>
        </x:is>
      </x:c>
      <x:c r="C583" s="17" t="n">
        <x:v>45921</x:v>
      </x:c>
      <x:c r="D583" s="4" t="inlineStr">
        <x:is>
          <x:t xml:space="preserve">CUS-0062</x:t>
        </x:is>
      </x:c>
      <x:c r="E583" s="4" t="inlineStr">
        <x:is>
          <x:t xml:space="preserve">External SSD</x:t>
        </x:is>
      </x:c>
      <x:c r="F583" s="4" t="inlineStr">
        <x:is>
          <x:t xml:space="preserve">Storage</x:t>
        </x:is>
      </x:c>
      <x:c r="G583" s="4" t="inlineStr">
        <x:is>
          <x:t xml:space="preserve">Seattle</x:t>
        </x:is>
      </x:c>
      <x:c r="H583" s="18" t="n">
        <x:v>1</x:v>
      </x:c>
      <x:c r="I583" s="19" t="n">
        <x:v>141.86</x:v>
      </x:c>
      <x:c r="J583" s="20" t="n">
        <x:v>0.1</x:v>
      </x:c>
      <x:c r="K583" s="4" t="inlineStr">
        <x:is>
          <x:t xml:space="preserve">Credit Card</x:t>
        </x:is>
      </x:c>
      <x:c r="L583" s="19" t="n">
        <x:v>141.86</x:v>
      </x:c>
      <x:c r="M583" s="19" t="n">
        <x:v>14.19</x:v>
      </x:c>
      <x:c r="N583" s="19" t="n">
        <x:v>127.67</x:v>
      </x:c>
      <x:c r="O583" s="4" t="n">
        <x:f>YEAR(C583)</x:f>
        <x:v>2025</x:v>
      </x:c>
      <x:c r="P583" s="4" t="str">
        <x:f>TEXT(C583,"yyyy-mm")</x:f>
        <x:v>2025-09</x:v>
      </x:c>
      <x:c r="Q583" s="4" t="str">
        <x:f>TEXT(C583,"mmmm")</x:f>
        <x:v>September</x:v>
      </x:c>
    </x:row>
    <x:row r="584" ht="20" customHeight="1">
      <x:c r="A584" s="4" t="inlineStr">
        <x:is>
          <x:t xml:space="preserve">LINE-00588</x:t>
        </x:is>
      </x:c>
      <x:c r="B584" s="4" t="inlineStr">
        <x:is>
          <x:t xml:space="preserve">ORD-2025-0371</x:t>
        </x:is>
      </x:c>
      <x:c r="C584" s="17" t="n">
        <x:v>45660</x:v>
      </x:c>
      <x:c r="D584" s="4" t="inlineStr">
        <x:is>
          <x:t xml:space="preserve">CUS-0170</x:t>
        </x:is>
      </x:c>
      <x:c r="E584" s="4" t="inlineStr">
        <x:is>
          <x:t xml:space="preserve">Webcam</x:t>
        </x:is>
      </x:c>
      <x:c r="F584" s="4" t="inlineStr">
        <x:is>
          <x:t xml:space="preserve">Accessories</x:t>
        </x:is>
      </x:c>
      <x:c r="G584" s="4" t="inlineStr">
        <x:is>
          <x:t xml:space="preserve">Seattle</x:t>
        </x:is>
      </x:c>
      <x:c r="H584" s="18" t="n">
        <x:v>2</x:v>
      </x:c>
      <x:c r="I584" s="19" t="n">
        <x:v>93.94</x:v>
      </x:c>
      <x:c r="J584" s="20" t="n">
        <x:v>0.05</x:v>
      </x:c>
      <x:c r="K584" s="4" t="inlineStr">
        <x:is>
          <x:t xml:space="preserve">Debit Card</x:t>
        </x:is>
      </x:c>
      <x:c r="L584" s="19" t="n">
        <x:v>187.88</x:v>
      </x:c>
      <x:c r="M584" s="19" t="n">
        <x:v>9.390000000000001</x:v>
      </x:c>
      <x:c r="N584" s="19" t="n">
        <x:v>178.49</x:v>
      </x:c>
      <x:c r="O584" s="4" t="n">
        <x:f>YEAR(C584)</x:f>
        <x:v>2025</x:v>
      </x:c>
      <x:c r="P584" s="4" t="str">
        <x:f>TEXT(C584,"yyyy-mm")</x:f>
        <x:v>2025-01</x:v>
      </x:c>
      <x:c r="Q584" s="4" t="str">
        <x:f>TEXT(C584,"mmmm")</x:f>
        <x:v>January</x:v>
      </x:c>
    </x:row>
    <x:row r="585" ht="20" customHeight="1">
      <x:c r="A585" s="4" t="inlineStr">
        <x:is>
          <x:t xml:space="preserve">LINE-00589</x:t>
        </x:is>
      </x:c>
      <x:c r="B585" s="4" t="inlineStr">
        <x:is>
          <x:t xml:space="preserve">ORD-2025-0372</x:t>
        </x:is>
      </x:c>
      <x:c r="C585" s="17" t="n">
        <x:v>45996</x:v>
      </x:c>
      <x:c r="D585" s="4" t="inlineStr">
        <x:is>
          <x:t xml:space="preserve">CUS-0155</x:t>
        </x:is>
      </x:c>
      <x:c r="E585" s="4" t="inlineStr">
        <x:is>
          <x:t xml:space="preserve">Desk Lamp</x:t>
        </x:is>
      </x:c>
      <x:c r="F585" s="4" t="inlineStr">
        <x:is>
          <x:t xml:space="preserve">Furniture</x:t>
        </x:is>
      </x:c>
      <x:c r="G585" s="4" t="inlineStr">
        <x:is>
          <x:t xml:space="preserve">Seattle</x:t>
        </x:is>
      </x:c>
      <x:c r="H585" s="18" t="n">
        <x:v>1</x:v>
      </x:c>
      <x:c r="I585" s="19" t="n">
        <x:v>52.54</x:v>
      </x:c>
      <x:c r="J585" s="20" t="n">
        <x:v>0</x:v>
      </x:c>
      <x:c r="K585" s="4" t="inlineStr">
        <x:is>
          <x:t xml:space="preserve">PayPal</x:t>
        </x:is>
      </x:c>
      <x:c r="L585" s="19" t="n">
        <x:v>52.54</x:v>
      </x:c>
      <x:c r="M585" s="19" t="n">
        <x:v>0</x:v>
      </x:c>
      <x:c r="N585" s="19" t="n">
        <x:v>52.54</x:v>
      </x:c>
      <x:c r="O585" s="4" t="n">
        <x:f>YEAR(C585)</x:f>
        <x:v>2025</x:v>
      </x:c>
      <x:c r="P585" s="4" t="str">
        <x:f>TEXT(C585,"yyyy-mm")</x:f>
        <x:v>2025-12</x:v>
      </x:c>
      <x:c r="Q585" s="4" t="str">
        <x:f>TEXT(C585,"mmmm")</x:f>
        <x:v>December</x:v>
      </x:c>
    </x:row>
    <x:row r="586" ht="20" customHeight="1">
      <x:c r="A586" s="4" t="inlineStr">
        <x:is>
          <x:t xml:space="preserve">LINE-00590</x:t>
        </x:is>
      </x:c>
      <x:c r="B586" s="4" t="inlineStr">
        <x:is>
          <x:t xml:space="preserve">ORD-2025-0373</x:t>
        </x:is>
      </x:c>
      <x:c r="C586" s="17" t="n">
        <x:v>45692</x:v>
      </x:c>
      <x:c r="D586" s="4" t="inlineStr">
        <x:is>
          <x:t xml:space="preserve">CUS-0259</x:t>
        </x:is>
      </x:c>
      <x:c r="E586" s="4" t="inlineStr">
        <x:is>
          <x:t xml:space="preserve">Headphones</x:t>
        </x:is>
      </x:c>
      <x:c r="F586" s="4" t="inlineStr">
        <x:is>
          <x:t xml:space="preserve">Audio</x:t>
        </x:is>
      </x:c>
      <x:c r="G586" s="4" t="inlineStr">
        <x:is>
          <x:t xml:space="preserve">Chicago</x:t>
        </x:is>
      </x:c>
      <x:c r="H586" s="18" t="n">
        <x:v>1</x:v>
      </x:c>
      <x:c r="I586" s="19" t="n">
        <x:v>137.97</x:v>
      </x:c>
      <x:c r="J586" s="20" t="n">
        <x:v>0.05</x:v>
      </x:c>
      <x:c r="K586" s="4" t="inlineStr">
        <x:is>
          <x:t xml:space="preserve">Bank Transfer</x:t>
        </x:is>
      </x:c>
      <x:c r="L586" s="19" t="n">
        <x:v>137.97</x:v>
      </x:c>
      <x:c r="M586" s="19" t="n">
        <x:v>6.9</x:v>
      </x:c>
      <x:c r="N586" s="19" t="n">
        <x:v>131.07</x:v>
      </x:c>
      <x:c r="O586" s="4" t="n">
        <x:f>YEAR(C586)</x:f>
        <x:v>2025</x:v>
      </x:c>
      <x:c r="P586" s="4" t="str">
        <x:f>TEXT(C586,"yyyy-mm")</x:f>
        <x:v>2025-02</x:v>
      </x:c>
      <x:c r="Q586" s="4" t="str">
        <x:f>TEXT(C586,"mmmm")</x:f>
        <x:v>February</x:v>
      </x:c>
    </x:row>
    <x:row r="587" ht="20" customHeight="1">
      <x:c r="A587" s="4" t="inlineStr">
        <x:is>
          <x:t xml:space="preserve">LINE-00591</x:t>
        </x:is>
      </x:c>
      <x:c r="B587" s="4" t="inlineStr">
        <x:is>
          <x:t xml:space="preserve">ORD-2025-0373</x:t>
        </x:is>
      </x:c>
      <x:c r="C587" s="17" t="n">
        <x:v>45692</x:v>
      </x:c>
      <x:c r="D587" s="4" t="inlineStr">
        <x:is>
          <x:t xml:space="preserve">CUS-0259</x:t>
        </x:is>
      </x:c>
      <x:c r="E587" s="4" t="inlineStr">
        <x:is>
          <x:t xml:space="preserve">Monitor</x:t>
        </x:is>
      </x:c>
      <x:c r="F587" s="4" t="inlineStr">
        <x:is>
          <x:t xml:space="preserve">Computers</x:t>
        </x:is>
      </x:c>
      <x:c r="G587" s="4" t="inlineStr">
        <x:is>
          <x:t xml:space="preserve">Chicago</x:t>
        </x:is>
      </x:c>
      <x:c r="H587" s="18" t="n">
        <x:v>1</x:v>
      </x:c>
      <x:c r="I587" s="19" t="n">
        <x:v>270.75</x:v>
      </x:c>
      <x:c r="J587" s="20" t="n">
        <x:v>0.15</x:v>
      </x:c>
      <x:c r="K587" s="4" t="inlineStr">
        <x:is>
          <x:t xml:space="preserve">Bank Transfer</x:t>
        </x:is>
      </x:c>
      <x:c r="L587" s="19" t="n">
        <x:v>270.75</x:v>
      </x:c>
      <x:c r="M587" s="19" t="n">
        <x:v>40.61</x:v>
      </x:c>
      <x:c r="N587" s="19" t="n">
        <x:v>230.14</x:v>
      </x:c>
      <x:c r="O587" s="4" t="n">
        <x:f>YEAR(C587)</x:f>
        <x:v>2025</x:v>
      </x:c>
      <x:c r="P587" s="4" t="str">
        <x:f>TEXT(C587,"yyyy-mm")</x:f>
        <x:v>2025-02</x:v>
      </x:c>
      <x:c r="Q587" s="4" t="str">
        <x:f>TEXT(C587,"mmmm")</x:f>
        <x:v>February</x:v>
      </x:c>
    </x:row>
    <x:row r="588" ht="20" customHeight="1">
      <x:c r="A588" s="4" t="inlineStr">
        <x:is>
          <x:t xml:space="preserve">LINE-00592</x:t>
        </x:is>
      </x:c>
      <x:c r="B588" s="4" t="inlineStr">
        <x:is>
          <x:t xml:space="preserve">ORD-2025-0374</x:t>
        </x:is>
      </x:c>
      <x:c r="C588" s="17" t="n">
        <x:v>45974</x:v>
      </x:c>
      <x:c r="D588" s="4" t="inlineStr">
        <x:is>
          <x:t xml:space="preserve">CUS-0272</x:t>
        </x:is>
      </x:c>
      <x:c r="E588" s="4" t="inlineStr">
        <x:is>
          <x:t xml:space="preserve">Webcam</x:t>
        </x:is>
      </x:c>
      <x:c r="F588" s="4" t="inlineStr">
        <x:is>
          <x:t xml:space="preserve">Accessories</x:t>
        </x:is>
      </x:c>
      <x:c r="G588" s="4" t="inlineStr">
        <x:is>
          <x:t xml:space="preserve">Seattle</x:t>
        </x:is>
      </x:c>
      <x:c r="H588" s="18" t="n">
        <x:v>2</x:v>
      </x:c>
      <x:c r="I588" s="19" t="n">
        <x:v>95.81999999999999</x:v>
      </x:c>
      <x:c r="J588" s="20" t="n">
        <x:v>0.05</x:v>
      </x:c>
      <x:c r="K588" s="4" t="inlineStr">
        <x:is>
          <x:t xml:space="preserve">Credit Card</x:t>
        </x:is>
      </x:c>
      <x:c r="L588" s="19" t="n">
        <x:v>191.64</x:v>
      </x:c>
      <x:c r="M588" s="19" t="n">
        <x:v>9.58</x:v>
      </x:c>
      <x:c r="N588" s="19" t="n">
        <x:v>182.06</x:v>
      </x:c>
      <x:c r="O588" s="4" t="n">
        <x:f>YEAR(C588)</x:f>
        <x:v>2025</x:v>
      </x:c>
      <x:c r="P588" s="4" t="str">
        <x:f>TEXT(C588,"yyyy-mm")</x:f>
        <x:v>2025-11</x:v>
      </x:c>
      <x:c r="Q588" s="4" t="str">
        <x:f>TEXT(C588,"mmmm")</x:f>
        <x:v>November</x:v>
      </x:c>
    </x:row>
    <x:row r="589" ht="20" customHeight="1">
      <x:c r="A589" s="4" t="inlineStr">
        <x:is>
          <x:t xml:space="preserve">LINE-00593</x:t>
        </x:is>
      </x:c>
      <x:c r="B589" s="4" t="inlineStr">
        <x:is>
          <x:t xml:space="preserve">ORD-2025-0375</x:t>
        </x:is>
      </x:c>
      <x:c r="C589" s="17" t="n">
        <x:v>45976</x:v>
      </x:c>
      <x:c r="D589" s="4" t="inlineStr">
        <x:is>
          <x:t xml:space="preserve">CUS-0125</x:t>
        </x:is>
      </x:c>
      <x:c r="E589" s="4" t="inlineStr">
        <x:is>
          <x:t xml:space="preserve">Monitor</x:t>
        </x:is>
      </x:c>
      <x:c r="F589" s="4" t="inlineStr">
        <x:is>
          <x:t xml:space="preserve">Computers</x:t>
        </x:is>
      </x:c>
      <x:c r="G589" s="4" t="inlineStr">
        <x:is>
          <x:t xml:space="preserve">New York</x:t>
        </x:is>
      </x:c>
      <x:c r="H589" s="18" t="n">
        <x:v>1</x:v>
      </x:c>
      <x:c r="I589" s="19" t="n">
        <x:v>281.8</x:v>
      </x:c>
      <x:c r="J589" s="20" t="n">
        <x:v>0</x:v>
      </x:c>
      <x:c r="K589" s="4" t="inlineStr">
        <x:is>
          <x:t xml:space="preserve">PayPal</x:t>
        </x:is>
      </x:c>
      <x:c r="L589" s="19" t="n">
        <x:v>281.8</x:v>
      </x:c>
      <x:c r="M589" s="19" t="n">
        <x:v>0</x:v>
      </x:c>
      <x:c r="N589" s="19" t="n">
        <x:v>281.8</x:v>
      </x:c>
      <x:c r="O589" s="4" t="n">
        <x:f>YEAR(C589)</x:f>
        <x:v>2025</x:v>
      </x:c>
      <x:c r="P589" s="4" t="str">
        <x:f>TEXT(C589,"yyyy-mm")</x:f>
        <x:v>2025-11</x:v>
      </x:c>
      <x:c r="Q589" s="4" t="str">
        <x:f>TEXT(C589,"mmmm")</x:f>
        <x:v>November</x:v>
      </x:c>
    </x:row>
    <x:row r="590" ht="20" customHeight="1">
      <x:c r="A590" s="4" t="inlineStr">
        <x:is>
          <x:t xml:space="preserve">LINE-00594</x:t>
        </x:is>
      </x:c>
      <x:c r="B590" s="4" t="inlineStr">
        <x:is>
          <x:t xml:space="preserve">ORD-2025-0376</x:t>
        </x:is>
      </x:c>
      <x:c r="C590" s="17" t="n">
        <x:v>45922</x:v>
      </x:c>
      <x:c r="D590" s="4" t="inlineStr">
        <x:is>
          <x:t xml:space="preserve">CUS-0192</x:t>
        </x:is>
      </x:c>
      <x:c r="E590" s="4" t="inlineStr">
        <x:is>
          <x:t xml:space="preserve">USB-C Hub</x:t>
        </x:is>
      </x:c>
      <x:c r="F590" s="4" t="inlineStr">
        <x:is>
          <x:t xml:space="preserve">Accessories</x:t>
        </x:is>
      </x:c>
      <x:c r="G590" s="4" t="inlineStr">
        <x:is>
          <x:t xml:space="preserve">Boston</x:t>
        </x:is>
      </x:c>
      <x:c r="H590" s="18" t="n">
        <x:v>4</x:v>
      </x:c>
      <x:c r="I590" s="19" t="n">
        <x:v>61.8</x:v>
      </x:c>
      <x:c r="J590" s="20" t="n">
        <x:v>0.05</x:v>
      </x:c>
      <x:c r="K590" s="4" t="inlineStr">
        <x:is>
          <x:t xml:space="preserve">Bank Transfer</x:t>
        </x:is>
      </x:c>
      <x:c r="L590" s="19" t="n">
        <x:v>247.2</x:v>
      </x:c>
      <x:c r="M590" s="19" t="n">
        <x:v>12.36</x:v>
      </x:c>
      <x:c r="N590" s="19" t="n">
        <x:v>234.84</x:v>
      </x:c>
      <x:c r="O590" s="4" t="n">
        <x:f>YEAR(C590)</x:f>
        <x:v>2025</x:v>
      </x:c>
      <x:c r="P590" s="4" t="str">
        <x:f>TEXT(C590,"yyyy-mm")</x:f>
        <x:v>2025-09</x:v>
      </x:c>
      <x:c r="Q590" s="4" t="str">
        <x:f>TEXT(C590,"mmmm")</x:f>
        <x:v>September</x:v>
      </x:c>
    </x:row>
    <x:row r="591" ht="20" customHeight="1">
      <x:c r="A591" s="4" t="inlineStr">
        <x:is>
          <x:t xml:space="preserve">LINE-00595</x:t>
        </x:is>
      </x:c>
      <x:c r="B591" s="4" t="inlineStr">
        <x:is>
          <x:t xml:space="preserve">ORD-2025-0377</x:t>
        </x:is>
      </x:c>
      <x:c r="C591" s="17" t="n">
        <x:v>45707</x:v>
      </x:c>
      <x:c r="D591" s="4" t="inlineStr">
        <x:is>
          <x:t xml:space="preserve">CUS-0086</x:t>
        </x:is>
      </x:c>
      <x:c r="E591" s="4" t="inlineStr">
        <x:is>
          <x:t xml:space="preserve">Wireless Mouse</x:t>
        </x:is>
      </x:c>
      <x:c r="F591" s="4" t="inlineStr">
        <x:is>
          <x:t xml:space="preserve">Accessories</x:t>
        </x:is>
      </x:c>
      <x:c r="G591" s="4" t="inlineStr">
        <x:is>
          <x:t xml:space="preserve">Boston</x:t>
        </x:is>
      </x:c>
      <x:c r="H591" s="18" t="n">
        <x:v>2</x:v>
      </x:c>
      <x:c r="I591" s="19" t="n">
        <x:v>42.93</x:v>
      </x:c>
      <x:c r="J591" s="20" t="n">
        <x:v>0.05</x:v>
      </x:c>
      <x:c r="K591" s="4" t="inlineStr">
        <x:is>
          <x:t xml:space="preserve">Credit Card</x:t>
        </x:is>
      </x:c>
      <x:c r="L591" s="19" t="n">
        <x:v>85.86</x:v>
      </x:c>
      <x:c r="M591" s="19" t="n">
        <x:v>4.29</x:v>
      </x:c>
      <x:c r="N591" s="19" t="n">
        <x:v>81.56999999999999</x:v>
      </x:c>
      <x:c r="O591" s="4" t="n">
        <x:f>YEAR(C591)</x:f>
        <x:v>2025</x:v>
      </x:c>
      <x:c r="P591" s="4" t="str">
        <x:f>TEXT(C591,"yyyy-mm")</x:f>
        <x:v>2025-02</x:v>
      </x:c>
      <x:c r="Q591" s="4" t="str">
        <x:f>TEXT(C591,"mmmm")</x:f>
        <x:v>February</x:v>
      </x:c>
    </x:row>
    <x:row r="592" ht="20" customHeight="1">
      <x:c r="A592" s="4" t="inlineStr">
        <x:is>
          <x:t xml:space="preserve">LINE-00596</x:t>
        </x:is>
      </x:c>
      <x:c r="B592" s="4" t="inlineStr">
        <x:is>
          <x:t xml:space="preserve">ORD-2025-0377</x:t>
        </x:is>
      </x:c>
      <x:c r="C592" s="17" t="n">
        <x:v>45707</x:v>
      </x:c>
      <x:c r="D592" s="4" t="inlineStr">
        <x:is>
          <x:t xml:space="preserve">CUS-0086</x:t>
        </x:is>
      </x:c>
      <x:c r="E592" s="4" t="inlineStr">
        <x:is>
          <x:t xml:space="preserve">Office Chair</x:t>
        </x:is>
      </x:c>
      <x:c r="F592" s="4" t="inlineStr">
        <x:is>
          <x:t xml:space="preserve">Furniture</x:t>
        </x:is>
      </x:c>
      <x:c r="G592" s="4" t="inlineStr">
        <x:is>
          <x:t xml:space="preserve">Boston</x:t>
        </x:is>
      </x:c>
      <x:c r="H592" s="18" t="n">
        <x:v>3</x:v>
      </x:c>
      <x:c r="I592" s="19" t="n">
        <x:v>228.69</x:v>
      </x:c>
      <x:c r="J592" s="20" t="n">
        <x:v>0.1</x:v>
      </x:c>
      <x:c r="K592" s="4" t="inlineStr">
        <x:is>
          <x:t xml:space="preserve">Credit Card</x:t>
        </x:is>
      </x:c>
      <x:c r="L592" s="19" t="n">
        <x:v>686.0700000000001</x:v>
      </x:c>
      <x:c r="M592" s="19" t="n">
        <x:v>68.61</x:v>
      </x:c>
      <x:c r="N592" s="19" t="n">
        <x:v>617.46</x:v>
      </x:c>
      <x:c r="O592" s="4" t="n">
        <x:f>YEAR(C592)</x:f>
        <x:v>2025</x:v>
      </x:c>
      <x:c r="P592" s="4" t="str">
        <x:f>TEXT(C592,"yyyy-mm")</x:f>
        <x:v>2025-02</x:v>
      </x:c>
      <x:c r="Q592" s="4" t="str">
        <x:f>TEXT(C592,"mmmm")</x:f>
        <x:v>February</x:v>
      </x:c>
    </x:row>
    <x:row r="593" ht="20" customHeight="1">
      <x:c r="A593" s="4" t="inlineStr">
        <x:is>
          <x:t xml:space="preserve">LINE-00597</x:t>
        </x:is>
      </x:c>
      <x:c r="B593" s="4" t="inlineStr">
        <x:is>
          <x:t xml:space="preserve">ORD-2025-0378</x:t>
        </x:is>
      </x:c>
      <x:c r="C593" s="17" t="n">
        <x:v>45880</x:v>
      </x:c>
      <x:c r="D593" s="4" t="inlineStr">
        <x:is>
          <x:t xml:space="preserve">CUS-0332</x:t>
        </x:is>
      </x:c>
      <x:c r="E593" s="4" t="inlineStr">
        <x:is>
          <x:t xml:space="preserve">Desk Lamp</x:t>
        </x:is>
      </x:c>
      <x:c r="F593" s="4" t="inlineStr">
        <x:is>
          <x:t xml:space="preserve">Furniture</x:t>
        </x:is>
      </x:c>
      <x:c r="G593" s="4" t="inlineStr">
        <x:is>
          <x:t xml:space="preserve">New York</x:t>
        </x:is>
      </x:c>
      <x:c r="H593" s="18" t="n">
        <x:v>1</x:v>
      </x:c>
      <x:c r="I593" s="19" t="n">
        <x:v>51.37</x:v>
      </x:c>
      <x:c r="J593" s="20" t="n">
        <x:v>0</x:v>
      </x:c>
      <x:c r="K593" s="4" t="inlineStr">
        <x:is>
          <x:t xml:space="preserve">Debit Card</x:t>
        </x:is>
      </x:c>
      <x:c r="L593" s="19" t="n">
        <x:v>51.37</x:v>
      </x:c>
      <x:c r="M593" s="19" t="n">
        <x:v>0</x:v>
      </x:c>
      <x:c r="N593" s="19" t="n">
        <x:v>51.37</x:v>
      </x:c>
      <x:c r="O593" s="4" t="n">
        <x:f>YEAR(C593)</x:f>
        <x:v>2025</x:v>
      </x:c>
      <x:c r="P593" s="4" t="str">
        <x:f>TEXT(C593,"yyyy-mm")</x:f>
        <x:v>2025-08</x:v>
      </x:c>
      <x:c r="Q593" s="4" t="str">
        <x:f>TEXT(C593,"mmmm")</x:f>
        <x:v>August</x:v>
      </x:c>
    </x:row>
    <x:row r="594" ht="20" customHeight="1">
      <x:c r="A594" s="4" t="inlineStr">
        <x:is>
          <x:t xml:space="preserve">LINE-00598</x:t>
        </x:is>
      </x:c>
      <x:c r="B594" s="4" t="inlineStr">
        <x:is>
          <x:t xml:space="preserve">ORD-2025-0379</x:t>
        </x:is>
      </x:c>
      <x:c r="C594" s="17" t="n">
        <x:v>45786</x:v>
      </x:c>
      <x:c r="D594" s="4" t="inlineStr">
        <x:is>
          <x:t xml:space="preserve">CUS-0286</x:t>
        </x:is>
      </x:c>
      <x:c r="E594" s="4" t="inlineStr">
        <x:is>
          <x:t xml:space="preserve">Headphones</x:t>
        </x:is>
      </x:c>
      <x:c r="F594" s="4" t="inlineStr">
        <x:is>
          <x:t xml:space="preserve">Audio</x:t>
        </x:is>
      </x:c>
      <x:c r="G594" s="4" t="inlineStr">
        <x:is>
          <x:t xml:space="preserve">New York</x:t>
        </x:is>
      </x:c>
      <x:c r="H594" s="18" t="n">
        <x:v>2</x:v>
      </x:c>
      <x:c r="I594" s="19" t="n">
        <x:v>128.61</x:v>
      </x:c>
      <x:c r="J594" s="20" t="n">
        <x:v>0</x:v>
      </x:c>
      <x:c r="K594" s="4" t="inlineStr">
        <x:is>
          <x:t xml:space="preserve">Debit Card</x:t>
        </x:is>
      </x:c>
      <x:c r="L594" s="19" t="n">
        <x:v>257.22</x:v>
      </x:c>
      <x:c r="M594" s="19" t="n">
        <x:v>0</x:v>
      </x:c>
      <x:c r="N594" s="19" t="n">
        <x:v>257.22</x:v>
      </x:c>
      <x:c r="O594" s="4" t="n">
        <x:f>YEAR(C594)</x:f>
        <x:v>2025</x:v>
      </x:c>
      <x:c r="P594" s="4" t="str">
        <x:f>TEXT(C594,"yyyy-mm")</x:f>
        <x:v>2025-05</x:v>
      </x:c>
      <x:c r="Q594" s="4" t="str">
        <x:f>TEXT(C594,"mmmm")</x:f>
        <x:v>May</x:v>
      </x:c>
    </x:row>
    <x:row r="595" ht="20" customHeight="1">
      <x:c r="A595" s="4" t="inlineStr">
        <x:is>
          <x:t xml:space="preserve">LINE-00599</x:t>
        </x:is>
      </x:c>
      <x:c r="B595" s="4" t="inlineStr">
        <x:is>
          <x:t xml:space="preserve">ORD-2025-0379</x:t>
        </x:is>
      </x:c>
      <x:c r="C595" s="17" t="n">
        <x:v>45786</x:v>
      </x:c>
      <x:c r="D595" s="4" t="inlineStr">
        <x:is>
          <x:t xml:space="preserve">CUS-0286</x:t>
        </x:is>
      </x:c>
      <x:c r="E595" s="4" t="inlineStr">
        <x:is>
          <x:t xml:space="preserve">Desk Lamp</x:t>
        </x:is>
      </x:c>
      <x:c r="F595" s="4" t="inlineStr">
        <x:is>
          <x:t xml:space="preserve">Furniture</x:t>
        </x:is>
      </x:c>
      <x:c r="G595" s="4" t="inlineStr">
        <x:is>
          <x:t xml:space="preserve">New York</x:t>
        </x:is>
      </x:c>
      <x:c r="H595" s="18" t="n">
        <x:v>2</x:v>
      </x:c>
      <x:c r="I595" s="19" t="n">
        <x:v>55.31</x:v>
      </x:c>
      <x:c r="J595" s="20" t="n">
        <x:v>0.05</x:v>
      </x:c>
      <x:c r="K595" s="4" t="inlineStr">
        <x:is>
          <x:t xml:space="preserve">Debit Card</x:t>
        </x:is>
      </x:c>
      <x:c r="L595" s="19" t="n">
        <x:v>110.62</x:v>
      </x:c>
      <x:c r="M595" s="19" t="n">
        <x:v>5.53</x:v>
      </x:c>
      <x:c r="N595" s="19" t="n">
        <x:v>105.09</x:v>
      </x:c>
      <x:c r="O595" s="4" t="n">
        <x:f>YEAR(C595)</x:f>
        <x:v>2025</x:v>
      </x:c>
      <x:c r="P595" s="4" t="str">
        <x:f>TEXT(C595,"yyyy-mm")</x:f>
        <x:v>2025-05</x:v>
      </x:c>
      <x:c r="Q595" s="4" t="str">
        <x:f>TEXT(C595,"mmmm")</x:f>
        <x:v>May</x:v>
      </x:c>
    </x:row>
    <x:row r="596" ht="20" customHeight="1">
      <x:c r="A596" s="4" t="inlineStr">
        <x:is>
          <x:t xml:space="preserve">LINE-00600</x:t>
        </x:is>
      </x:c>
      <x:c r="B596" s="4" t="inlineStr">
        <x:is>
          <x:t xml:space="preserve">ORD-2025-0379</x:t>
        </x:is>
      </x:c>
      <x:c r="C596" s="17" t="n">
        <x:v>45786</x:v>
      </x:c>
      <x:c r="D596" s="4" t="inlineStr">
        <x:is>
          <x:t xml:space="preserve">CUS-0286</x:t>
        </x:is>
      </x:c>
      <x:c r="E596" s="4" t="inlineStr">
        <x:is>
          <x:t xml:space="preserve">Bluetooth Speaker</x:t>
        </x:is>
      </x:c>
      <x:c r="F596" s="4" t="inlineStr">
        <x:is>
          <x:t xml:space="preserve">Audio</x:t>
        </x:is>
      </x:c>
      <x:c r="G596" s="4" t="inlineStr">
        <x:is>
          <x:t xml:space="preserve">New York</x:t>
        </x:is>
      </x:c>
      <x:c r="H596" s="18" t="n">
        <x:v>2</x:v>
      </x:c>
      <x:c r="I596" s="19" t="n">
        <x:v>114.5</x:v>
      </x:c>
      <x:c r="J596" s="20" t="n">
        <x:v>0.05</x:v>
      </x:c>
      <x:c r="K596" s="4" t="inlineStr">
        <x:is>
          <x:t xml:space="preserve">Debit Card</x:t>
        </x:is>
      </x:c>
      <x:c r="L596" s="19" t="n">
        <x:v>229</x:v>
      </x:c>
      <x:c r="M596" s="19" t="n">
        <x:v>11.45</x:v>
      </x:c>
      <x:c r="N596" s="19" t="n">
        <x:v>217.55</x:v>
      </x:c>
      <x:c r="O596" s="4" t="n">
        <x:f>YEAR(C596)</x:f>
        <x:v>2025</x:v>
      </x:c>
      <x:c r="P596" s="4" t="str">
        <x:f>TEXT(C596,"yyyy-mm")</x:f>
        <x:v>2025-05</x:v>
      </x:c>
      <x:c r="Q596" s="4" t="str">
        <x:f>TEXT(C596,"mmmm")</x:f>
        <x:v>May</x:v>
      </x:c>
    </x:row>
    <x:row r="597" ht="20" customHeight="1">
      <x:c r="A597" s="4" t="inlineStr">
        <x:is>
          <x:t xml:space="preserve">LINE-00601</x:t>
        </x:is>
      </x:c>
      <x:c r="B597" s="4" t="inlineStr">
        <x:is>
          <x:t xml:space="preserve">ORD-2025-0380</x:t>
        </x:is>
      </x:c>
      <x:c r="C597" s="17" t="n">
        <x:v>46016</x:v>
      </x:c>
      <x:c r="D597" s="4" t="inlineStr">
        <x:is>
          <x:t xml:space="preserve">CUS-0038</x:t>
        </x:is>
      </x:c>
      <x:c r="E597" s="4" t="inlineStr">
        <x:is>
          <x:t xml:space="preserve">Office Chair</x:t>
        </x:is>
      </x:c>
      <x:c r="F597" s="4" t="inlineStr">
        <x:is>
          <x:t xml:space="preserve">Furniture</x:t>
        </x:is>
      </x:c>
      <x:c r="G597" s="4" t="inlineStr">
        <x:is>
          <x:t xml:space="preserve">Austin</x:t>
        </x:is>
      </x:c>
      <x:c r="H597" s="18" t="n">
        <x:v>1</x:v>
      </x:c>
      <x:c r="I597" s="19" t="n">
        <x:v>224.12</x:v>
      </x:c>
      <x:c r="J597" s="20" t="n">
        <x:v>0.1</x:v>
      </x:c>
      <x:c r="K597" s="4" t="inlineStr">
        <x:is>
          <x:t xml:space="preserve">Credit Card</x:t>
        </x:is>
      </x:c>
      <x:c r="L597" s="19" t="n">
        <x:v>224.12</x:v>
      </x:c>
      <x:c r="M597" s="19" t="n">
        <x:v>22.41</x:v>
      </x:c>
      <x:c r="N597" s="19" t="n">
        <x:v>201.71</x:v>
      </x:c>
      <x:c r="O597" s="4" t="n">
        <x:f>YEAR(C597)</x:f>
        <x:v>2025</x:v>
      </x:c>
      <x:c r="P597" s="4" t="str">
        <x:f>TEXT(C597,"yyyy-mm")</x:f>
        <x:v>2025-12</x:v>
      </x:c>
      <x:c r="Q597" s="4" t="str">
        <x:f>TEXT(C597,"mmmm")</x:f>
        <x:v>December</x:v>
      </x:c>
    </x:row>
    <x:row r="598" ht="20" customHeight="1">
      <x:c r="A598" s="4" t="inlineStr">
        <x:is>
          <x:t xml:space="preserve">LINE-00602</x:t>
        </x:is>
      </x:c>
      <x:c r="B598" s="4" t="inlineStr">
        <x:is>
          <x:t xml:space="preserve">ORD-2025-0381</x:t>
        </x:is>
      </x:c>
      <x:c r="C598" s="17" t="n">
        <x:v>45882</x:v>
      </x:c>
      <x:c r="D598" s="4" t="inlineStr">
        <x:is>
          <x:t xml:space="preserve">CUS-0196</x:t>
        </x:is>
      </x:c>
      <x:c r="E598" s="4" t="inlineStr">
        <x:is>
          <x:t xml:space="preserve">External SSD</x:t>
        </x:is>
      </x:c>
      <x:c r="F598" s="4" t="inlineStr">
        <x:is>
          <x:t xml:space="preserve">Storage</x:t>
        </x:is>
      </x:c>
      <x:c r="G598" s="4" t="inlineStr">
        <x:is>
          <x:t xml:space="preserve">Seattle</x:t>
        </x:is>
      </x:c>
      <x:c r="H598" s="18" t="n">
        <x:v>1</x:v>
      </x:c>
      <x:c r="I598" s="19" t="n">
        <x:v>155.92</x:v>
      </x:c>
      <x:c r="J598" s="20" t="n">
        <x:v>0.1</x:v>
      </x:c>
      <x:c r="K598" s="4" t="inlineStr">
        <x:is>
          <x:t xml:space="preserve">Credit Card</x:t>
        </x:is>
      </x:c>
      <x:c r="L598" s="19" t="n">
        <x:v>155.92</x:v>
      </x:c>
      <x:c r="M598" s="19" t="n">
        <x:v>15.59</x:v>
      </x:c>
      <x:c r="N598" s="19" t="n">
        <x:v>140.33</x:v>
      </x:c>
      <x:c r="O598" s="4" t="n">
        <x:f>YEAR(C598)</x:f>
        <x:v>2025</x:v>
      </x:c>
      <x:c r="P598" s="4" t="str">
        <x:f>TEXT(C598,"yyyy-mm")</x:f>
        <x:v>2025-08</x:v>
      </x:c>
      <x:c r="Q598" s="4" t="str">
        <x:f>TEXT(C598,"mmmm")</x:f>
        <x:v>August</x:v>
      </x:c>
    </x:row>
    <x:row r="599" ht="20" customHeight="1">
      <x:c r="A599" s="4" t="inlineStr">
        <x:is>
          <x:t xml:space="preserve">LINE-00603</x:t>
        </x:is>
      </x:c>
      <x:c r="B599" s="4" t="inlineStr">
        <x:is>
          <x:t xml:space="preserve">ORD-2025-0382</x:t>
        </x:is>
      </x:c>
      <x:c r="C599" s="17" t="n">
        <x:v>45937</x:v>
      </x:c>
      <x:c r="D599" s="4" t="inlineStr">
        <x:is>
          <x:t xml:space="preserve">CUS-0152</x:t>
        </x:is>
      </x:c>
      <x:c r="E599" s="4" t="inlineStr">
        <x:is>
          <x:t xml:space="preserve">Desk Lamp</x:t>
        </x:is>
      </x:c>
      <x:c r="F599" s="4" t="inlineStr">
        <x:is>
          <x:t xml:space="preserve">Furniture</x:t>
        </x:is>
      </x:c>
      <x:c r="G599" s="4" t="inlineStr">
        <x:is>
          <x:t xml:space="preserve">San Francisco</x:t>
        </x:is>
      </x:c>
      <x:c r="H599" s="18" t="n">
        <x:v>2</x:v>
      </x:c>
      <x:c r="I599" s="19" t="n">
        <x:v>59.03</x:v>
      </x:c>
      <x:c r="J599" s="20" t="n">
        <x:v>0</x:v>
      </x:c>
      <x:c r="K599" s="4" t="inlineStr">
        <x:is>
          <x:t xml:space="preserve">Debit Card</x:t>
        </x:is>
      </x:c>
      <x:c r="L599" s="19" t="n">
        <x:v>118.06</x:v>
      </x:c>
      <x:c r="M599" s="19" t="n">
        <x:v>0</x:v>
      </x:c>
      <x:c r="N599" s="19" t="n">
        <x:v>118.06</x:v>
      </x:c>
      <x:c r="O599" s="4" t="n">
        <x:f>YEAR(C599)</x:f>
        <x:v>2025</x:v>
      </x:c>
      <x:c r="P599" s="4" t="str">
        <x:f>TEXT(C599,"yyyy-mm")</x:f>
        <x:v>2025-10</x:v>
      </x:c>
      <x:c r="Q599" s="4" t="str">
        <x:f>TEXT(C599,"mmmm")</x:f>
        <x:v>October</x:v>
      </x:c>
    </x:row>
    <x:row r="600" ht="20" customHeight="1">
      <x:c r="A600" s="4" t="inlineStr">
        <x:is>
          <x:t xml:space="preserve">LINE-00604</x:t>
        </x:is>
      </x:c>
      <x:c r="B600" s="4" t="inlineStr">
        <x:is>
          <x:t xml:space="preserve">ORD-2025-0383</x:t>
        </x:is>
      </x:c>
      <x:c r="C600" s="17" t="n">
        <x:v>45942</x:v>
      </x:c>
      <x:c r="D600" s="4" t="inlineStr">
        <x:is>
          <x:t xml:space="preserve">CUS-0073</x:t>
        </x:is>
      </x:c>
      <x:c r="E600" s="4" t="inlineStr">
        <x:is>
          <x:t xml:space="preserve">USB Flash Drive</x:t>
        </x:is>
      </x:c>
      <x:c r="F600" s="4" t="inlineStr">
        <x:is>
          <x:t xml:space="preserve">Storage</x:t>
        </x:is>
      </x:c>
      <x:c r="G600" s="4" t="inlineStr">
        <x:is>
          <x:t xml:space="preserve">New York</x:t>
        </x:is>
      </x:c>
      <x:c r="H600" s="18" t="n">
        <x:v>1</x:v>
      </x:c>
      <x:c r="I600" s="19" t="n">
        <x:v>30.23</x:v>
      </x:c>
      <x:c r="J600" s="20" t="n">
        <x:v>0</x:v>
      </x:c>
      <x:c r="K600" s="4" t="inlineStr">
        <x:is>
          <x:t xml:space="preserve">Credit Card</x:t>
        </x:is>
      </x:c>
      <x:c r="L600" s="19" t="n">
        <x:v>30.23</x:v>
      </x:c>
      <x:c r="M600" s="19" t="n">
        <x:v>0</x:v>
      </x:c>
      <x:c r="N600" s="19" t="n">
        <x:v>30.23</x:v>
      </x:c>
      <x:c r="O600" s="4" t="n">
        <x:f>YEAR(C600)</x:f>
        <x:v>2025</x:v>
      </x:c>
      <x:c r="P600" s="4" t="str">
        <x:f>TEXT(C600,"yyyy-mm")</x:f>
        <x:v>2025-10</x:v>
      </x:c>
      <x:c r="Q600" s="4" t="str">
        <x:f>TEXT(C600,"mmmm")</x:f>
        <x:v>October</x:v>
      </x:c>
    </x:row>
    <x:row r="601" ht="20" customHeight="1">
      <x:c r="A601" s="4" t="inlineStr">
        <x:is>
          <x:t xml:space="preserve">LINE-00605</x:t>
        </x:is>
      </x:c>
      <x:c r="B601" s="4" t="inlineStr">
        <x:is>
          <x:t xml:space="preserve">ORD-2025-0384</x:t>
        </x:is>
      </x:c>
      <x:c r="C601" s="17" t="n">
        <x:v>45765</x:v>
      </x:c>
      <x:c r="D601" s="4" t="inlineStr">
        <x:is>
          <x:t xml:space="preserve">CUS-0177</x:t>
        </x:is>
      </x:c>
      <x:c r="E601" s="4" t="inlineStr">
        <x:is>
          <x:t xml:space="preserve">External SSD</x:t>
        </x:is>
      </x:c>
      <x:c r="F601" s="4" t="inlineStr">
        <x:is>
          <x:t xml:space="preserve">Storage</x:t>
        </x:is>
      </x:c>
      <x:c r="G601" s="4" t="inlineStr">
        <x:is>
          <x:t xml:space="preserve">Chicago</x:t>
        </x:is>
      </x:c>
      <x:c r="H601" s="18" t="n">
        <x:v>1</x:v>
      </x:c>
      <x:c r="I601" s="19" t="n">
        <x:v>152.81</x:v>
      </x:c>
      <x:c r="J601" s="20" t="n">
        <x:v>0</x:v>
      </x:c>
      <x:c r="K601" s="4" t="inlineStr">
        <x:is>
          <x:t xml:space="preserve">Bank Transfer</x:t>
        </x:is>
      </x:c>
      <x:c r="L601" s="19" t="n">
        <x:v>152.81</x:v>
      </x:c>
      <x:c r="M601" s="19" t="n">
        <x:v>0</x:v>
      </x:c>
      <x:c r="N601" s="19" t="n">
        <x:v>152.81</x:v>
      </x:c>
      <x:c r="O601" s="4" t="n">
        <x:f>YEAR(C601)</x:f>
        <x:v>2025</x:v>
      </x:c>
      <x:c r="P601" s="4" t="str">
        <x:f>TEXT(C601,"yyyy-mm")</x:f>
        <x:v>2025-04</x:v>
      </x:c>
      <x:c r="Q601" s="4" t="str">
        <x:f>TEXT(C601,"mmmm")</x:f>
        <x:v>April</x:v>
      </x:c>
    </x:row>
    <x:row r="602" ht="20" customHeight="1">
      <x:c r="A602" s="4" t="inlineStr">
        <x:is>
          <x:t xml:space="preserve">LINE-00606</x:t>
        </x:is>
      </x:c>
      <x:c r="B602" s="4" t="inlineStr">
        <x:is>
          <x:t xml:space="preserve">ORD-2025-0384</x:t>
        </x:is>
      </x:c>
      <x:c r="C602" s="17" t="n">
        <x:v>45765</x:v>
      </x:c>
      <x:c r="D602" s="4" t="inlineStr">
        <x:is>
          <x:t xml:space="preserve">CUS-0177</x:t>
        </x:is>
      </x:c>
      <x:c r="E602" s="4" t="inlineStr">
        <x:is>
          <x:t xml:space="preserve">Keyboard</x:t>
        </x:is>
      </x:c>
      <x:c r="F602" s="4" t="inlineStr">
        <x:is>
          <x:t xml:space="preserve">Accessories</x:t>
        </x:is>
      </x:c>
      <x:c r="G602" s="4" t="inlineStr">
        <x:is>
          <x:t xml:space="preserve">Chicago</x:t>
        </x:is>
      </x:c>
      <x:c r="H602" s="18" t="n">
        <x:v>1</x:v>
      </x:c>
      <x:c r="I602" s="19" t="n">
        <x:v>77.05</x:v>
      </x:c>
      <x:c r="J602" s="20" t="n">
        <x:v>0.05</x:v>
      </x:c>
      <x:c r="K602" s="4" t="inlineStr">
        <x:is>
          <x:t xml:space="preserve">Bank Transfer</x:t>
        </x:is>
      </x:c>
      <x:c r="L602" s="19" t="n">
        <x:v>77.05</x:v>
      </x:c>
      <x:c r="M602" s="19" t="n">
        <x:v>3.85</x:v>
      </x:c>
      <x:c r="N602" s="19" t="n">
        <x:v>73.2</x:v>
      </x:c>
      <x:c r="O602" s="4" t="n">
        <x:f>YEAR(C602)</x:f>
        <x:v>2025</x:v>
      </x:c>
      <x:c r="P602" s="4" t="str">
        <x:f>TEXT(C602,"yyyy-mm")</x:f>
        <x:v>2025-04</x:v>
      </x:c>
      <x:c r="Q602" s="4" t="str">
        <x:f>TEXT(C602,"mmmm")</x:f>
        <x:v>April</x:v>
      </x:c>
    </x:row>
    <x:row r="603" ht="20" customHeight="1">
      <x:c r="A603" s="4" t="inlineStr">
        <x:is>
          <x:t xml:space="preserve">LINE-00607</x:t>
        </x:is>
      </x:c>
      <x:c r="B603" s="4" t="inlineStr">
        <x:is>
          <x:t xml:space="preserve">ORD-2025-0384</x:t>
        </x:is>
      </x:c>
      <x:c r="C603" s="17" t="n">
        <x:v>45765</x:v>
      </x:c>
      <x:c r="D603" s="4" t="inlineStr">
        <x:is>
          <x:t xml:space="preserve">CUS-0177</x:t>
        </x:is>
      </x:c>
      <x:c r="E603" s="4" t="inlineStr">
        <x:is>
          <x:t xml:space="preserve">Office Chair</x:t>
        </x:is>
      </x:c>
      <x:c r="F603" s="4" t="inlineStr">
        <x:is>
          <x:t xml:space="preserve">Furniture</x:t>
        </x:is>
      </x:c>
      <x:c r="G603" s="4" t="inlineStr">
        <x:is>
          <x:t xml:space="preserve">Chicago</x:t>
        </x:is>
      </x:c>
      <x:c r="H603" s="18" t="n">
        <x:v>1</x:v>
      </x:c>
      <x:c r="I603" s="19" t="n">
        <x:v>249.64</x:v>
      </x:c>
      <x:c r="J603" s="20" t="n">
        <x:v>0.2</x:v>
      </x:c>
      <x:c r="K603" s="4" t="inlineStr">
        <x:is>
          <x:t xml:space="preserve">Bank Transfer</x:t>
        </x:is>
      </x:c>
      <x:c r="L603" s="19" t="n">
        <x:v>249.64</x:v>
      </x:c>
      <x:c r="M603" s="19" t="n">
        <x:v>49.93</x:v>
      </x:c>
      <x:c r="N603" s="19" t="n">
        <x:v>199.71</x:v>
      </x:c>
      <x:c r="O603" s="4" t="n">
        <x:f>YEAR(C603)</x:f>
        <x:v>2025</x:v>
      </x:c>
      <x:c r="P603" s="4" t="str">
        <x:f>TEXT(C603,"yyyy-mm")</x:f>
        <x:v>2025-04</x:v>
      </x:c>
      <x:c r="Q603" s="4" t="str">
        <x:f>TEXT(C603,"mmmm")</x:f>
        <x:v>April</x:v>
      </x:c>
    </x:row>
    <x:row r="604" ht="20" customHeight="1">
      <x:c r="A604" s="4" t="inlineStr">
        <x:is>
          <x:t xml:space="preserve">LINE-00608</x:t>
        </x:is>
      </x:c>
      <x:c r="B604" s="4" t="inlineStr">
        <x:is>
          <x:t xml:space="preserve">ORD-2025-0385</x:t>
        </x:is>
      </x:c>
      <x:c r="C604" s="17" t="n">
        <x:v>45939</x:v>
      </x:c>
      <x:c r="D604" s="4" t="inlineStr">
        <x:is>
          <x:t xml:space="preserve">CUS-0237</x:t>
        </x:is>
      </x:c>
      <x:c r="E604" s="4" t="inlineStr">
        <x:is>
          <x:t xml:space="preserve">Monitor</x:t>
        </x:is>
      </x:c>
      <x:c r="F604" s="4" t="inlineStr">
        <x:is>
          <x:t xml:space="preserve">Computers</x:t>
        </x:is>
      </x:c>
      <x:c r="G604" s="4" t="inlineStr">
        <x:is>
          <x:t xml:space="preserve">San Francisco</x:t>
        </x:is>
      </x:c>
      <x:c r="H604" s="18" t="n">
        <x:v>1</x:v>
      </x:c>
      <x:c r="I604" s="19" t="n">
        <x:v>266.44</x:v>
      </x:c>
      <x:c r="J604" s="20" t="n">
        <x:v>0.05</x:v>
      </x:c>
      <x:c r="K604" s="4" t="inlineStr">
        <x:is>
          <x:t xml:space="preserve">Credit Card</x:t>
        </x:is>
      </x:c>
      <x:c r="L604" s="19" t="n">
        <x:v>266.44</x:v>
      </x:c>
      <x:c r="M604" s="19" t="n">
        <x:v>13.32</x:v>
      </x:c>
      <x:c r="N604" s="19" t="n">
        <x:v>253.12</x:v>
      </x:c>
      <x:c r="O604" s="4" t="n">
        <x:f>YEAR(C604)</x:f>
        <x:v>2025</x:v>
      </x:c>
      <x:c r="P604" s="4" t="str">
        <x:f>TEXT(C604,"yyyy-mm")</x:f>
        <x:v>2025-10</x:v>
      </x:c>
      <x:c r="Q604" s="4" t="str">
        <x:f>TEXT(C604,"mmmm")</x:f>
        <x:v>October</x:v>
      </x:c>
    </x:row>
    <x:row r="605" ht="20" customHeight="1">
      <x:c r="A605" s="4" t="inlineStr">
        <x:is>
          <x:t xml:space="preserve">LINE-00609</x:t>
        </x:is>
      </x:c>
      <x:c r="B605" s="4" t="inlineStr">
        <x:is>
          <x:t xml:space="preserve">ORD-2025-0386</x:t>
        </x:is>
      </x:c>
      <x:c r="C605" s="17" t="n">
        <x:v>45827</x:v>
      </x:c>
      <x:c r="D605" s="4" t="inlineStr">
        <x:is>
          <x:t xml:space="preserve">CUS-0183</x:t>
        </x:is>
      </x:c>
      <x:c r="E605" s="4" t="inlineStr">
        <x:is>
          <x:t xml:space="preserve">USB Flash Drive</x:t>
        </x:is>
      </x:c>
      <x:c r="F605" s="4" t="inlineStr">
        <x:is>
          <x:t xml:space="preserve">Storage</x:t>
        </x:is>
      </x:c>
      <x:c r="G605" s="4" t="inlineStr">
        <x:is>
          <x:t xml:space="preserve">Chicago</x:t>
        </x:is>
      </x:c>
      <x:c r="H605" s="18" t="n">
        <x:v>1</x:v>
      </x:c>
      <x:c r="I605" s="19" t="n">
        <x:v>28.53</x:v>
      </x:c>
      <x:c r="J605" s="20" t="n">
        <x:v>0.05</x:v>
      </x:c>
      <x:c r="K605" s="4" t="inlineStr">
        <x:is>
          <x:t xml:space="preserve">Debit Card</x:t>
        </x:is>
      </x:c>
      <x:c r="L605" s="19" t="n">
        <x:v>28.53</x:v>
      </x:c>
      <x:c r="M605" s="19" t="n">
        <x:v>1.43</x:v>
      </x:c>
      <x:c r="N605" s="19" t="n">
        <x:v>27.1</x:v>
      </x:c>
      <x:c r="O605" s="4" t="n">
        <x:f>YEAR(C605)</x:f>
        <x:v>2025</x:v>
      </x:c>
      <x:c r="P605" s="4" t="str">
        <x:f>TEXT(C605,"yyyy-mm")</x:f>
        <x:v>2025-06</x:v>
      </x:c>
      <x:c r="Q605" s="4" t="str">
        <x:f>TEXT(C605,"mmmm")</x:f>
        <x:v>June</x:v>
      </x:c>
    </x:row>
    <x:row r="606" ht="20" customHeight="1">
      <x:c r="A606" s="4" t="inlineStr">
        <x:is>
          <x:t xml:space="preserve">LINE-00610</x:t>
        </x:is>
      </x:c>
      <x:c r="B606" s="4" t="inlineStr">
        <x:is>
          <x:t xml:space="preserve">ORD-2025-0387</x:t>
        </x:is>
      </x:c>
      <x:c r="C606" s="17" t="n">
        <x:v>45826</x:v>
      </x:c>
      <x:c r="D606" s="4" t="inlineStr">
        <x:is>
          <x:t xml:space="preserve">CUS-0316</x:t>
        </x:is>
      </x:c>
      <x:c r="E606" s="4" t="inlineStr">
        <x:is>
          <x:t xml:space="preserve">Keyboard</x:t>
        </x:is>
      </x:c>
      <x:c r="F606" s="4" t="inlineStr">
        <x:is>
          <x:t xml:space="preserve">Accessories</x:t>
        </x:is>
      </x:c>
      <x:c r="G606" s="4" t="inlineStr">
        <x:is>
          <x:t xml:space="preserve">San Francisco</x:t>
        </x:is>
      </x:c>
      <x:c r="H606" s="18" t="n">
        <x:v>2</x:v>
      </x:c>
      <x:c r="I606" s="19" t="n">
        <x:v>78.69</x:v>
      </x:c>
      <x:c r="J606" s="20" t="n">
        <x:v>0.15</x:v>
      </x:c>
      <x:c r="K606" s="4" t="inlineStr">
        <x:is>
          <x:t xml:space="preserve">PayPal</x:t>
        </x:is>
      </x:c>
      <x:c r="L606" s="19" t="n">
        <x:v>157.38</x:v>
      </x:c>
      <x:c r="M606" s="19" t="n">
        <x:v>23.61</x:v>
      </x:c>
      <x:c r="N606" s="19" t="n">
        <x:v>133.77</x:v>
      </x:c>
      <x:c r="O606" s="4" t="n">
        <x:f>YEAR(C606)</x:f>
        <x:v>2025</x:v>
      </x:c>
      <x:c r="P606" s="4" t="str">
        <x:f>TEXT(C606,"yyyy-mm")</x:f>
        <x:v>2025-06</x:v>
      </x:c>
      <x:c r="Q606" s="4" t="str">
        <x:f>TEXT(C606,"mmmm")</x:f>
        <x:v>June</x:v>
      </x:c>
    </x:row>
    <x:row r="607" ht="20" customHeight="1">
      <x:c r="A607" s="4" t="inlineStr">
        <x:is>
          <x:t xml:space="preserve">LINE-00611</x:t>
        </x:is>
      </x:c>
      <x:c r="B607" s="4" t="inlineStr">
        <x:is>
          <x:t xml:space="preserve">ORD-2025-0387</x:t>
        </x:is>
      </x:c>
      <x:c r="C607" s="17" t="n">
        <x:v>45826</x:v>
      </x:c>
      <x:c r="D607" s="4" t="inlineStr">
        <x:is>
          <x:t xml:space="preserve">CUS-0316</x:t>
        </x:is>
      </x:c>
      <x:c r="E607" s="4" t="inlineStr">
        <x:is>
          <x:t xml:space="preserve">USB Flash Drive</x:t>
        </x:is>
      </x:c>
      <x:c r="F607" s="4" t="inlineStr">
        <x:is>
          <x:t xml:space="preserve">Storage</x:t>
        </x:is>
      </x:c>
      <x:c r="G607" s="4" t="inlineStr">
        <x:is>
          <x:t xml:space="preserve">San Francisco</x:t>
        </x:is>
      </x:c>
      <x:c r="H607" s="18" t="n">
        <x:v>1</x:v>
      </x:c>
      <x:c r="I607" s="19" t="n">
        <x:v>29.1</x:v>
      </x:c>
      <x:c r="J607" s="20" t="n">
        <x:v>0.1</x:v>
      </x:c>
      <x:c r="K607" s="4" t="inlineStr">
        <x:is>
          <x:t xml:space="preserve">PayPal</x:t>
        </x:is>
      </x:c>
      <x:c r="L607" s="19" t="n">
        <x:v>29.1</x:v>
      </x:c>
      <x:c r="M607" s="19" t="n">
        <x:v>2.91</x:v>
      </x:c>
      <x:c r="N607" s="19" t="n">
        <x:v>26.19</x:v>
      </x:c>
      <x:c r="O607" s="4" t="n">
        <x:f>YEAR(C607)</x:f>
        <x:v>2025</x:v>
      </x:c>
      <x:c r="P607" s="4" t="str">
        <x:f>TEXT(C607,"yyyy-mm")</x:f>
        <x:v>2025-06</x:v>
      </x:c>
      <x:c r="Q607" s="4" t="str">
        <x:f>TEXT(C607,"mmmm")</x:f>
        <x:v>June</x:v>
      </x:c>
    </x:row>
    <x:row r="608" ht="20" customHeight="1">
      <x:c r="A608" s="4" t="inlineStr">
        <x:is>
          <x:t xml:space="preserve">LINE-00612</x:t>
        </x:is>
      </x:c>
      <x:c r="B608" s="4" t="inlineStr">
        <x:is>
          <x:t xml:space="preserve">ORD-2025-0388</x:t>
        </x:is>
      </x:c>
      <x:c r="C608" s="17" t="n">
        <x:v>46022</x:v>
      </x:c>
      <x:c r="D608" s="4" t="inlineStr">
        <x:is>
          <x:t xml:space="preserve">CUS-0329</x:t>
        </x:is>
      </x:c>
      <x:c r="E608" s="4" t="inlineStr">
        <x:is>
          <x:t xml:space="preserve">Keyboard</x:t>
        </x:is>
      </x:c>
      <x:c r="F608" s="4" t="inlineStr">
        <x:is>
          <x:t xml:space="preserve">Accessories</x:t>
        </x:is>
      </x:c>
      <x:c r="G608" s="4" t="inlineStr">
        <x:is>
          <x:t xml:space="preserve">Seattle</x:t>
        </x:is>
      </x:c>
      <x:c r="H608" s="18" t="n">
        <x:v>3</x:v>
      </x:c>
      <x:c r="I608" s="19" t="n">
        <x:v>79.53</x:v>
      </x:c>
      <x:c r="J608" s="20" t="n">
        <x:v>0.05</x:v>
      </x:c>
      <x:c r="K608" s="4" t="inlineStr">
        <x:is>
          <x:t xml:space="preserve">PayPal</x:t>
        </x:is>
      </x:c>
      <x:c r="L608" s="19" t="n">
        <x:v>238.59</x:v>
      </x:c>
      <x:c r="M608" s="19" t="n">
        <x:v>11.93</x:v>
      </x:c>
      <x:c r="N608" s="19" t="n">
        <x:v>226.66</x:v>
      </x:c>
      <x:c r="O608" s="4" t="n">
        <x:f>YEAR(C608)</x:f>
        <x:v>2025</x:v>
      </x:c>
      <x:c r="P608" s="4" t="str">
        <x:f>TEXT(C608,"yyyy-mm")</x:f>
        <x:v>2025-12</x:v>
      </x:c>
      <x:c r="Q608" s="4" t="str">
        <x:f>TEXT(C608,"mmmm")</x:f>
        <x:v>December</x:v>
      </x:c>
    </x:row>
    <x:row r="609" ht="20" customHeight="1">
      <x:c r="A609" s="4" t="inlineStr">
        <x:is>
          <x:t xml:space="preserve">LINE-00613</x:t>
        </x:is>
      </x:c>
      <x:c r="B609" s="4" t="inlineStr">
        <x:is>
          <x:t xml:space="preserve">ORD-2025-0388</x:t>
        </x:is>
      </x:c>
      <x:c r="C609" s="17" t="n">
        <x:v>46022</x:v>
      </x:c>
      <x:c r="D609" s="4" t="inlineStr">
        <x:is>
          <x:t xml:space="preserve">CUS-0329</x:t>
        </x:is>
      </x:c>
      <x:c r="E609" s="4" t="inlineStr">
        <x:is>
          <x:t xml:space="preserve">Office Chair</x:t>
        </x:is>
      </x:c>
      <x:c r="F609" s="4" t="inlineStr">
        <x:is>
          <x:t xml:space="preserve">Furniture</x:t>
        </x:is>
      </x:c>
      <x:c r="G609" s="4" t="inlineStr">
        <x:is>
          <x:t xml:space="preserve">Seattle</x:t>
        </x:is>
      </x:c>
      <x:c r="H609" s="18" t="n">
        <x:v>1</x:v>
      </x:c>
      <x:c r="I609" s="19" t="n">
        <x:v>232.53</x:v>
      </x:c>
      <x:c r="J609" s="20" t="n">
        <x:v>0.05</x:v>
      </x:c>
      <x:c r="K609" s="4" t="inlineStr">
        <x:is>
          <x:t xml:space="preserve">PayPal</x:t>
        </x:is>
      </x:c>
      <x:c r="L609" s="19" t="n">
        <x:v>232.53</x:v>
      </x:c>
      <x:c r="M609" s="19" t="n">
        <x:v>11.63</x:v>
      </x:c>
      <x:c r="N609" s="19" t="n">
        <x:v>220.9</x:v>
      </x:c>
      <x:c r="O609" s="4" t="n">
        <x:f>YEAR(C609)</x:f>
        <x:v>2025</x:v>
      </x:c>
      <x:c r="P609" s="4" t="str">
        <x:f>TEXT(C609,"yyyy-mm")</x:f>
        <x:v>2025-12</x:v>
      </x:c>
      <x:c r="Q609" s="4" t="str">
        <x:f>TEXT(C609,"mmmm")</x:f>
        <x:v>December</x:v>
      </x:c>
    </x:row>
    <x:row r="610" ht="20" customHeight="1">
      <x:c r="A610" s="4" t="inlineStr">
        <x:is>
          <x:t xml:space="preserve">LINE-00614</x:t>
        </x:is>
      </x:c>
      <x:c r="B610" s="4" t="inlineStr">
        <x:is>
          <x:t xml:space="preserve">ORD-2025-0389</x:t>
        </x:is>
      </x:c>
      <x:c r="C610" s="17" t="n">
        <x:v>45747</x:v>
      </x:c>
      <x:c r="D610" s="4" t="inlineStr">
        <x:is>
          <x:t xml:space="preserve">CUS-0331</x:t>
        </x:is>
      </x:c>
      <x:c r="E610" s="4" t="inlineStr">
        <x:is>
          <x:t xml:space="preserve">Keyboard</x:t>
        </x:is>
      </x:c>
      <x:c r="F610" s="4" t="inlineStr">
        <x:is>
          <x:t xml:space="preserve">Accessories</x:t>
        </x:is>
      </x:c>
      <x:c r="G610" s="4" t="inlineStr">
        <x:is>
          <x:t xml:space="preserve">Boston</x:t>
        </x:is>
      </x:c>
      <x:c r="H610" s="18" t="n">
        <x:v>1</x:v>
      </x:c>
      <x:c r="I610" s="19" t="n">
        <x:v>77.8</x:v>
      </x:c>
      <x:c r="J610" s="20" t="n">
        <x:v>0.05</x:v>
      </x:c>
      <x:c r="K610" s="4" t="inlineStr">
        <x:is>
          <x:t xml:space="preserve">Credit Card</x:t>
        </x:is>
      </x:c>
      <x:c r="L610" s="19" t="n">
        <x:v>77.8</x:v>
      </x:c>
      <x:c r="M610" s="19" t="n">
        <x:v>3.89</x:v>
      </x:c>
      <x:c r="N610" s="19" t="n">
        <x:v>73.91</x:v>
      </x:c>
      <x:c r="O610" s="4" t="n">
        <x:f>YEAR(C610)</x:f>
        <x:v>2025</x:v>
      </x:c>
      <x:c r="P610" s="4" t="str">
        <x:f>TEXT(C610,"yyyy-mm")</x:f>
        <x:v>2025-03</x:v>
      </x:c>
      <x:c r="Q610" s="4" t="str">
        <x:f>TEXT(C610,"mmmm")</x:f>
        <x:v>March</x:v>
      </x:c>
    </x:row>
    <x:row r="611" ht="20" customHeight="1">
      <x:c r="A611" s="4" t="inlineStr">
        <x:is>
          <x:t xml:space="preserve">LINE-00615</x:t>
        </x:is>
      </x:c>
      <x:c r="B611" s="4" t="inlineStr">
        <x:is>
          <x:t xml:space="preserve">ORD-2025-0389</x:t>
        </x:is>
      </x:c>
      <x:c r="C611" s="17" t="n">
        <x:v>45747</x:v>
      </x:c>
      <x:c r="D611" s="4" t="inlineStr">
        <x:is>
          <x:t xml:space="preserve">CUS-0331</x:t>
        </x:is>
      </x:c>
      <x:c r="E611" s="4" t="inlineStr">
        <x:is>
          <x:t xml:space="preserve">External SSD</x:t>
        </x:is>
      </x:c>
      <x:c r="F611" s="4" t="inlineStr">
        <x:is>
          <x:t xml:space="preserve">Storage</x:t>
        </x:is>
      </x:c>
      <x:c r="G611" s="4" t="inlineStr">
        <x:is>
          <x:t xml:space="preserve">Boston</x:t>
        </x:is>
      </x:c>
      <x:c r="H611" s="18" t="n">
        <x:v>3</x:v>
      </x:c>
      <x:c r="I611" s="19" t="n">
        <x:v>159.41</x:v>
      </x:c>
      <x:c r="J611" s="20" t="n">
        <x:v>0.1</x:v>
      </x:c>
      <x:c r="K611" s="4" t="inlineStr">
        <x:is>
          <x:t xml:space="preserve">Credit Card</x:t>
        </x:is>
      </x:c>
      <x:c r="L611" s="19" t="n">
        <x:v>478.23</x:v>
      </x:c>
      <x:c r="M611" s="19" t="n">
        <x:v>47.82</x:v>
      </x:c>
      <x:c r="N611" s="19" t="n">
        <x:v>430.41</x:v>
      </x:c>
      <x:c r="O611" s="4" t="n">
        <x:f>YEAR(C611)</x:f>
        <x:v>2025</x:v>
      </x:c>
      <x:c r="P611" s="4" t="str">
        <x:f>TEXT(C611,"yyyy-mm")</x:f>
        <x:v>2025-03</x:v>
      </x:c>
      <x:c r="Q611" s="4" t="str">
        <x:f>TEXT(C611,"mmmm")</x:f>
        <x:v>March</x:v>
      </x:c>
    </x:row>
    <x:row r="612" ht="20" customHeight="1">
      <x:c r="A612" s="4" t="inlineStr">
        <x:is>
          <x:t xml:space="preserve">LINE-00616</x:t>
        </x:is>
      </x:c>
      <x:c r="B612" s="4" t="inlineStr">
        <x:is>
          <x:t xml:space="preserve">ORD-2025-0390</x:t>
        </x:is>
      </x:c>
      <x:c r="C612" s="17" t="n">
        <x:v>45981</x:v>
      </x:c>
      <x:c r="D612" s="4" t="inlineStr">
        <x:is>
          <x:t xml:space="preserve">CUS-0016</x:t>
        </x:is>
      </x:c>
      <x:c r="E612" s="4" t="inlineStr">
        <x:is>
          <x:t xml:space="preserve">Wireless Mouse</x:t>
        </x:is>
      </x:c>
      <x:c r="F612" s="4" t="inlineStr">
        <x:is>
          <x:t xml:space="preserve">Accessories</x:t>
        </x:is>
      </x:c>
      <x:c r="G612" s="4" t="inlineStr">
        <x:is>
          <x:t xml:space="preserve">Boston</x:t>
        </x:is>
      </x:c>
      <x:c r="H612" s="18" t="n">
        <x:v>2</x:v>
      </x:c>
      <x:c r="I612" s="19" t="n">
        <x:v>45.31</x:v>
      </x:c>
      <x:c r="J612" s="20" t="n">
        <x:v>0.2</x:v>
      </x:c>
      <x:c r="K612" s="4" t="inlineStr">
        <x:is>
          <x:t xml:space="preserve">Bank Transfer</x:t>
        </x:is>
      </x:c>
      <x:c r="L612" s="19" t="n">
        <x:v>90.62</x:v>
      </x:c>
      <x:c r="M612" s="19" t="n">
        <x:v>18.12</x:v>
      </x:c>
      <x:c r="N612" s="19" t="n">
        <x:v>72.5</x:v>
      </x:c>
      <x:c r="O612" s="4" t="n">
        <x:f>YEAR(C612)</x:f>
        <x:v>2025</x:v>
      </x:c>
      <x:c r="P612" s="4" t="str">
        <x:f>TEXT(C612,"yyyy-mm")</x:f>
        <x:v>2025-11</x:v>
      </x:c>
      <x:c r="Q612" s="4" t="str">
        <x:f>TEXT(C612,"mmmm")</x:f>
        <x:v>November</x:v>
      </x:c>
    </x:row>
    <x:row r="613" ht="20" customHeight="1">
      <x:c r="A613" s="4" t="inlineStr">
        <x:is>
          <x:t xml:space="preserve">LINE-00618</x:t>
        </x:is>
      </x:c>
      <x:c r="B613" s="4" t="inlineStr">
        <x:is>
          <x:t xml:space="preserve">ORD-2025-0391</x:t>
        </x:is>
      </x:c>
      <x:c r="C613" s="17" t="n">
        <x:v>45772</x:v>
      </x:c>
      <x:c r="D613" s="4" t="inlineStr">
        <x:is>
          <x:t xml:space="preserve">CUS-0302</x:t>
        </x:is>
      </x:c>
      <x:c r="E613" s="4" t="inlineStr">
        <x:is>
          <x:t xml:space="preserve">External SSD</x:t>
        </x:is>
      </x:c>
      <x:c r="F613" s="4" t="inlineStr">
        <x:is>
          <x:t xml:space="preserve">Storage</x:t>
        </x:is>
      </x:c>
      <x:c r="G613" s="4" t="inlineStr">
        <x:is>
          <x:t xml:space="preserve">San Francisco</x:t>
        </x:is>
      </x:c>
      <x:c r="H613" s="18" t="n">
        <x:v>2</x:v>
      </x:c>
      <x:c r="I613" s="19" t="n">
        <x:v>147.52</x:v>
      </x:c>
      <x:c r="J613" s="20" t="n">
        <x:v>0.05</x:v>
      </x:c>
      <x:c r="K613" s="4" t="inlineStr">
        <x:is>
          <x:t xml:space="preserve">PayPal</x:t>
        </x:is>
      </x:c>
      <x:c r="L613" s="19" t="n">
        <x:v>295.04</x:v>
      </x:c>
      <x:c r="M613" s="19" t="n">
        <x:v>14.75</x:v>
      </x:c>
      <x:c r="N613" s="19" t="n">
        <x:v>280.29</x:v>
      </x:c>
      <x:c r="O613" s="4" t="n">
        <x:f>YEAR(C613)</x:f>
        <x:v>2025</x:v>
      </x:c>
      <x:c r="P613" s="4" t="str">
        <x:f>TEXT(C613,"yyyy-mm")</x:f>
        <x:v>2025-04</x:v>
      </x:c>
      <x:c r="Q613" s="4" t="str">
        <x:f>TEXT(C613,"mmmm")</x:f>
        <x:v>April</x:v>
      </x:c>
    </x:row>
    <x:row r="614" ht="20" customHeight="1">
      <x:c r="A614" s="4" t="inlineStr">
        <x:is>
          <x:t xml:space="preserve">LINE-00619</x:t>
        </x:is>
      </x:c>
      <x:c r="B614" s="4" t="inlineStr">
        <x:is>
          <x:t xml:space="preserve">ORD-2025-0392</x:t>
        </x:is>
      </x:c>
      <x:c r="C614" s="17" t="n">
        <x:v>45997</x:v>
      </x:c>
      <x:c r="D614" s="4" t="inlineStr">
        <x:is>
          <x:t xml:space="preserve">CUS-0123</x:t>
        </x:is>
      </x:c>
      <x:c r="E614" s="4" t="inlineStr">
        <x:is>
          <x:t xml:space="preserve">Keyboard</x:t>
        </x:is>
      </x:c>
      <x:c r="F614" s="4" t="inlineStr">
        <x:is>
          <x:t xml:space="preserve">Accessories</x:t>
        </x:is>
      </x:c>
      <x:c r="G614" s="4" t="inlineStr">
        <x:is>
          <x:t xml:space="preserve">Boston</x:t>
        </x:is>
      </x:c>
      <x:c r="H614" s="18" t="n">
        <x:v>1</x:v>
      </x:c>
      <x:c r="I614" s="19" t="n">
        <x:v>75.8</x:v>
      </x:c>
      <x:c r="J614" s="20" t="n">
        <x:v>0.05</x:v>
      </x:c>
      <x:c r="K614" s="4" t="inlineStr">
        <x:is>
          <x:t xml:space="preserve">Debit Card</x:t>
        </x:is>
      </x:c>
      <x:c r="L614" s="19" t="n">
        <x:v>75.8</x:v>
      </x:c>
      <x:c r="M614" s="19" t="n">
        <x:v>3.79</x:v>
      </x:c>
      <x:c r="N614" s="19" t="n">
        <x:v>72.01000000000001</x:v>
      </x:c>
      <x:c r="O614" s="4" t="n">
        <x:f>YEAR(C614)</x:f>
        <x:v>2025</x:v>
      </x:c>
      <x:c r="P614" s="4" t="str">
        <x:f>TEXT(C614,"yyyy-mm")</x:f>
        <x:v>2025-12</x:v>
      </x:c>
      <x:c r="Q614" s="4" t="str">
        <x:f>TEXT(C614,"mmmm")</x:f>
        <x:v>December</x:v>
      </x:c>
    </x:row>
    <x:row r="615" ht="20" customHeight="1">
      <x:c r="A615" s="4" t="inlineStr">
        <x:is>
          <x:t xml:space="preserve">LINE-00620</x:t>
        </x:is>
      </x:c>
      <x:c r="B615" s="4" t="inlineStr">
        <x:is>
          <x:t xml:space="preserve">ORD-2025-0392</x:t>
        </x:is>
      </x:c>
      <x:c r="C615" s="17" t="n">
        <x:v>45997</x:v>
      </x:c>
      <x:c r="D615" s="4" t="inlineStr">
        <x:is>
          <x:t xml:space="preserve">CUS-0123</x:t>
        </x:is>
      </x:c>
      <x:c r="E615" s="4" t="inlineStr">
        <x:is>
          <x:t xml:space="preserve">Bluetooth Speaker</x:t>
        </x:is>
      </x:c>
      <x:c r="F615" s="4" t="inlineStr">
        <x:is>
          <x:t xml:space="preserve">Audio</x:t>
        </x:is>
      </x:c>
      <x:c r="G615" s="4" t="inlineStr">
        <x:is>
          <x:t xml:space="preserve">Boston</x:t>
        </x:is>
      </x:c>
      <x:c r="H615" s="18" t="n">
        <x:v>4</x:v>
      </x:c>
      <x:c r="I615" s="19" t="n">
        <x:v>109.425</x:v>
      </x:c>
      <x:c r="J615" s="20" t="n">
        <x:v>0.1</x:v>
      </x:c>
      <x:c r="K615" s="4" t="inlineStr">
        <x:is>
          <x:t xml:space="preserve">Debit Card</x:t>
        </x:is>
      </x:c>
      <x:c r="L615" s="19" t="n">
        <x:v>437.7</x:v>
      </x:c>
      <x:c r="M615" s="19" t="n">
        <x:v>43.77</x:v>
      </x:c>
      <x:c r="N615" s="19" t="n">
        <x:v>393.93</x:v>
      </x:c>
      <x:c r="O615" s="4" t="n">
        <x:f>YEAR(C615)</x:f>
        <x:v>2025</x:v>
      </x:c>
      <x:c r="P615" s="4" t="str">
        <x:f>TEXT(C615,"yyyy-mm")</x:f>
        <x:v>2025-12</x:v>
      </x:c>
      <x:c r="Q615" s="4" t="str">
        <x:f>TEXT(C615,"mmmm")</x:f>
        <x:v>December</x:v>
      </x:c>
    </x:row>
    <x:row r="616" ht="20" customHeight="1">
      <x:c r="A616" s="4" t="inlineStr">
        <x:is>
          <x:t xml:space="preserve">LINE-00621</x:t>
        </x:is>
      </x:c>
      <x:c r="B616" s="4" t="inlineStr">
        <x:is>
          <x:t xml:space="preserve">ORD-2025-0393</x:t>
        </x:is>
      </x:c>
      <x:c r="C616" s="17" t="n">
        <x:v>45841</x:v>
      </x:c>
      <x:c r="D616" s="4" t="inlineStr">
        <x:is>
          <x:t xml:space="preserve">CUS-0021</x:t>
        </x:is>
      </x:c>
      <x:c r="E616" s="4" t="inlineStr">
        <x:is>
          <x:t xml:space="preserve">USB-C Hub</x:t>
        </x:is>
      </x:c>
      <x:c r="F616" s="4" t="inlineStr">
        <x:is>
          <x:t xml:space="preserve">Accessories</x:t>
        </x:is>
      </x:c>
      <x:c r="G616" s="4" t="inlineStr">
        <x:is>
          <x:t xml:space="preserve">Chicago</x:t>
        </x:is>
      </x:c>
      <x:c r="H616" s="18" t="n">
        <x:v>1</x:v>
      </x:c>
      <x:c r="I616" s="19" t="n">
        <x:v>60.25</x:v>
      </x:c>
      <x:c r="J616" s="20" t="n">
        <x:v>0</x:v>
      </x:c>
      <x:c r="K616" s="4" t="inlineStr">
        <x:is>
          <x:t xml:space="preserve">Bank Transfer</x:t>
        </x:is>
      </x:c>
      <x:c r="L616" s="19" t="n">
        <x:v>60.25</x:v>
      </x:c>
      <x:c r="M616" s="19" t="n">
        <x:v>0</x:v>
      </x:c>
      <x:c r="N616" s="19" t="n">
        <x:v>60.25</x:v>
      </x:c>
      <x:c r="O616" s="4" t="n">
        <x:f>YEAR(C616)</x:f>
        <x:v>2025</x:v>
      </x:c>
      <x:c r="P616" s="4" t="str">
        <x:f>TEXT(C616,"yyyy-mm")</x:f>
        <x:v>2025-07</x:v>
      </x:c>
      <x:c r="Q616" s="4" t="str">
        <x:f>TEXT(C616,"mmmm")</x:f>
        <x:v>July</x:v>
      </x:c>
    </x:row>
    <x:row r="617" ht="20" customHeight="1">
      <x:c r="A617" s="4" t="inlineStr">
        <x:is>
          <x:t xml:space="preserve">LINE-00622</x:t>
        </x:is>
      </x:c>
      <x:c r="B617" s="4" t="inlineStr">
        <x:is>
          <x:t xml:space="preserve">ORD-2025-0394</x:t>
        </x:is>
      </x:c>
      <x:c r="C617" s="17" t="n">
        <x:v>45842</x:v>
      </x:c>
      <x:c r="D617" s="4" t="inlineStr">
        <x:is>
          <x:t xml:space="preserve">CUS-0199</x:t>
        </x:is>
      </x:c>
      <x:c r="E617" s="4" t="inlineStr">
        <x:is>
          <x:t xml:space="preserve">Laptop</x:t>
        </x:is>
      </x:c>
      <x:c r="F617" s="4" t="inlineStr">
        <x:is>
          <x:t xml:space="preserve">Computers</x:t>
        </x:is>
      </x:c>
      <x:c r="G617" s="4" t="inlineStr">
        <x:is>
          <x:t xml:space="preserve">Seattle</x:t>
        </x:is>
      </x:c>
      <x:c r="H617" s="18" t="n">
        <x:v>1</x:v>
      </x:c>
      <x:c r="I617" s="19" t="n">
        <x:v>1021.2</x:v>
      </x:c>
      <x:c r="J617" s="20" t="n">
        <x:v>0.05</x:v>
      </x:c>
      <x:c r="K617" s="4" t="inlineStr">
        <x:is>
          <x:t xml:space="preserve">Bank Transfer</x:t>
        </x:is>
      </x:c>
      <x:c r="L617" s="19" t="n">
        <x:v>1021.2</x:v>
      </x:c>
      <x:c r="M617" s="19" t="n">
        <x:v>51.06</x:v>
      </x:c>
      <x:c r="N617" s="19" t="n">
        <x:v>970.14</x:v>
      </x:c>
      <x:c r="O617" s="4" t="n">
        <x:f>YEAR(C617)</x:f>
        <x:v>2025</x:v>
      </x:c>
      <x:c r="P617" s="4" t="str">
        <x:f>TEXT(C617,"yyyy-mm")</x:f>
        <x:v>2025-07</x:v>
      </x:c>
      <x:c r="Q617" s="4" t="str">
        <x:f>TEXT(C617,"mmmm")</x:f>
        <x:v>July</x:v>
      </x:c>
    </x:row>
    <x:row r="618" ht="20" customHeight="1">
      <x:c r="A618" s="4" t="inlineStr">
        <x:is>
          <x:t xml:space="preserve">LINE-00623</x:t>
        </x:is>
      </x:c>
      <x:c r="B618" s="4" t="inlineStr">
        <x:is>
          <x:t xml:space="preserve">ORD-2025-0394</x:t>
        </x:is>
      </x:c>
      <x:c r="C618" s="17" t="n">
        <x:v>45842</x:v>
      </x:c>
      <x:c r="D618" s="4" t="inlineStr">
        <x:is>
          <x:t xml:space="preserve">CUS-0199</x:t>
        </x:is>
      </x:c>
      <x:c r="E618" s="4" t="inlineStr">
        <x:is>
          <x:t xml:space="preserve">Office Chair</x:t>
        </x:is>
      </x:c>
      <x:c r="F618" s="4" t="inlineStr">
        <x:is>
          <x:t xml:space="preserve">Furniture</x:t>
        </x:is>
      </x:c>
      <x:c r="G618" s="4" t="inlineStr">
        <x:is>
          <x:t xml:space="preserve">Seattle</x:t>
        </x:is>
      </x:c>
      <x:c r="H618" s="18" t="n">
        <x:v>1</x:v>
      </x:c>
      <x:c r="I618" s="19" t="n">
        <x:v>249.29</x:v>
      </x:c>
      <x:c r="J618" s="20" t="n">
        <x:v>0.05</x:v>
      </x:c>
      <x:c r="K618" s="4" t="inlineStr">
        <x:is>
          <x:t xml:space="preserve">Bank Transfer</x:t>
        </x:is>
      </x:c>
      <x:c r="L618" s="19" t="n">
        <x:v>249.29</x:v>
      </x:c>
      <x:c r="M618" s="19" t="n">
        <x:v>12.46</x:v>
      </x:c>
      <x:c r="N618" s="19" t="n">
        <x:v>236.83</x:v>
      </x:c>
      <x:c r="O618" s="4" t="n">
        <x:f>YEAR(C618)</x:f>
        <x:v>2025</x:v>
      </x:c>
      <x:c r="P618" s="4" t="str">
        <x:f>TEXT(C618,"yyyy-mm")</x:f>
        <x:v>2025-07</x:v>
      </x:c>
      <x:c r="Q618" s="4" t="str">
        <x:f>TEXT(C618,"mmmm")</x:f>
        <x:v>July</x:v>
      </x:c>
    </x:row>
    <x:row r="619" ht="20" customHeight="1">
      <x:c r="A619" s="4" t="inlineStr">
        <x:is>
          <x:t xml:space="preserve">LINE-00624</x:t>
        </x:is>
      </x:c>
      <x:c r="B619" s="4" t="inlineStr">
        <x:is>
          <x:t xml:space="preserve">ORD-2025-0394</x:t>
        </x:is>
      </x:c>
      <x:c r="C619" s="17" t="n">
        <x:v>45842</x:v>
      </x:c>
      <x:c r="D619" s="4" t="inlineStr">
        <x:is>
          <x:t xml:space="preserve">CUS-0199</x:t>
        </x:is>
      </x:c>
      <x:c r="E619" s="4" t="inlineStr">
        <x:is>
          <x:t xml:space="preserve">Webcam</x:t>
        </x:is>
      </x:c>
      <x:c r="F619" s="4" t="inlineStr">
        <x:is>
          <x:t xml:space="preserve">Accessories</x:t>
        </x:is>
      </x:c>
      <x:c r="G619" s="4" t="inlineStr">
        <x:is>
          <x:t xml:space="preserve">Seattle</x:t>
        </x:is>
      </x:c>
      <x:c r="H619" s="18" t="n">
        <x:v>2</x:v>
      </x:c>
      <x:c r="I619" s="19" t="n">
        <x:v>88.22</x:v>
      </x:c>
      <x:c r="J619" s="20" t="n">
        <x:v>0</x:v>
      </x:c>
      <x:c r="K619" s="4" t="inlineStr">
        <x:is>
          <x:t xml:space="preserve">Bank Transfer</x:t>
        </x:is>
      </x:c>
      <x:c r="L619" s="19" t="n">
        <x:v>176.44</x:v>
      </x:c>
      <x:c r="M619" s="19" t="n">
        <x:v>0</x:v>
      </x:c>
      <x:c r="N619" s="19" t="n">
        <x:v>176.44</x:v>
      </x:c>
      <x:c r="O619" s="4" t="n">
        <x:f>YEAR(C619)</x:f>
        <x:v>2025</x:v>
      </x:c>
      <x:c r="P619" s="4" t="str">
        <x:f>TEXT(C619,"yyyy-mm")</x:f>
        <x:v>2025-07</x:v>
      </x:c>
      <x:c r="Q619" s="4" t="str">
        <x:f>TEXT(C619,"mmmm")</x:f>
        <x:v>July</x:v>
      </x:c>
    </x:row>
    <x:row r="620" ht="20" customHeight="1">
      <x:c r="A620" s="4" t="inlineStr">
        <x:is>
          <x:t xml:space="preserve">LINE-00625</x:t>
        </x:is>
      </x:c>
      <x:c r="B620" s="4" t="inlineStr">
        <x:is>
          <x:t xml:space="preserve">ORD-2025-0395</x:t>
        </x:is>
      </x:c>
      <x:c r="C620" s="17" t="n">
        <x:v>45958</x:v>
      </x:c>
      <x:c r="D620" s="4" t="inlineStr">
        <x:is>
          <x:t xml:space="preserve">CUS-0335</x:t>
        </x:is>
      </x:c>
      <x:c r="E620" s="4" t="inlineStr">
        <x:is>
          <x:t xml:space="preserve">Wireless Mouse</x:t>
        </x:is>
      </x:c>
      <x:c r="F620" s="4" t="inlineStr">
        <x:is>
          <x:t xml:space="preserve">Accessories</x:t>
        </x:is>
      </x:c>
      <x:c r="G620" s="4" t="inlineStr">
        <x:is>
          <x:t xml:space="preserve">New York</x:t>
        </x:is>
      </x:c>
      <x:c r="H620" s="18" t="n">
        <x:v>2</x:v>
      </x:c>
      <x:c r="I620" s="19" t="n">
        <x:v>43.94</x:v>
      </x:c>
      <x:c r="J620" s="20" t="n">
        <x:v>0.1</x:v>
      </x:c>
      <x:c r="K620" s="4" t="inlineStr">
        <x:is>
          <x:t xml:space="preserve">PayPal</x:t>
        </x:is>
      </x:c>
      <x:c r="L620" s="19" t="n">
        <x:v>87.88</x:v>
      </x:c>
      <x:c r="M620" s="19" t="n">
        <x:v>8.789999999999999</x:v>
      </x:c>
      <x:c r="N620" s="19" t="n">
        <x:v>79.09</x:v>
      </x:c>
      <x:c r="O620" s="4" t="n">
        <x:f>YEAR(C620)</x:f>
        <x:v>2025</x:v>
      </x:c>
      <x:c r="P620" s="4" t="str">
        <x:f>TEXT(C620,"yyyy-mm")</x:f>
        <x:v>2025-10</x:v>
      </x:c>
      <x:c r="Q620" s="4" t="str">
        <x:f>TEXT(C620,"mmmm")</x:f>
        <x:v>October</x:v>
      </x:c>
    </x:row>
    <x:row r="621" ht="20" customHeight="1">
      <x:c r="A621" s="4" t="inlineStr">
        <x:is>
          <x:t xml:space="preserve">LINE-00626</x:t>
        </x:is>
      </x:c>
      <x:c r="B621" s="4" t="inlineStr">
        <x:is>
          <x:t xml:space="preserve">ORD-2025-0396</x:t>
        </x:is>
      </x:c>
      <x:c r="C621" s="17" t="n">
        <x:v>45907</x:v>
      </x:c>
      <x:c r="D621" s="4" t="inlineStr">
        <x:is>
          <x:t xml:space="preserve">CUS-0247</x:t>
        </x:is>
      </x:c>
      <x:c r="E621" s="4" t="inlineStr">
        <x:is>
          <x:t xml:space="preserve">Keyboard</x:t>
        </x:is>
      </x:c>
      <x:c r="F621" s="4" t="inlineStr">
        <x:is>
          <x:t xml:space="preserve">Accessories</x:t>
        </x:is>
      </x:c>
      <x:c r="G621" s="4" t="inlineStr">
        <x:is>
          <x:t xml:space="preserve">Boston</x:t>
        </x:is>
      </x:c>
      <x:c r="H621" s="18" t="n">
        <x:v>1</x:v>
      </x:c>
      <x:c r="I621" s="19" t="n">
        <x:v>69.93000000000001</x:v>
      </x:c>
      <x:c r="J621" s="20" t="n">
        <x:v>0.05</x:v>
      </x:c>
      <x:c r="K621" s="4" t="inlineStr">
        <x:is>
          <x:t xml:space="preserve">Credit Card</x:t>
        </x:is>
      </x:c>
      <x:c r="L621" s="19" t="n">
        <x:v>69.93000000000001</x:v>
      </x:c>
      <x:c r="M621" s="19" t="n">
        <x:v>3.5</x:v>
      </x:c>
      <x:c r="N621" s="19" t="n">
        <x:v>66.43000000000001</x:v>
      </x:c>
      <x:c r="O621" s="4" t="n">
        <x:f>YEAR(C621)</x:f>
        <x:v>2025</x:v>
      </x:c>
      <x:c r="P621" s="4" t="str">
        <x:f>TEXT(C621,"yyyy-mm")</x:f>
        <x:v>2025-09</x:v>
      </x:c>
      <x:c r="Q621" s="4" t="str">
        <x:f>TEXT(C621,"mmmm")</x:f>
        <x:v>September</x:v>
      </x:c>
    </x:row>
    <x:row r="622" ht="20" customHeight="1">
      <x:c r="A622" s="4" t="inlineStr">
        <x:is>
          <x:t xml:space="preserve">LINE-00627</x:t>
        </x:is>
      </x:c>
      <x:c r="B622" s="4" t="inlineStr">
        <x:is>
          <x:t xml:space="preserve">ORD-2025-0396</x:t>
        </x:is>
      </x:c>
      <x:c r="C622" s="17" t="n">
        <x:v>45907</x:v>
      </x:c>
      <x:c r="D622" s="4" t="inlineStr">
        <x:is>
          <x:t xml:space="preserve">CUS-0247</x:t>
        </x:is>
      </x:c>
      <x:c r="E622" s="4" t="inlineStr">
        <x:is>
          <x:t xml:space="preserve">Bluetooth Speaker</x:t>
        </x:is>
      </x:c>
      <x:c r="F622" s="4" t="inlineStr">
        <x:is>
          <x:t xml:space="preserve">Audio</x:t>
        </x:is>
      </x:c>
      <x:c r="G622" s="4" t="inlineStr">
        <x:is>
          <x:t xml:space="preserve">Boston</x:t>
        </x:is>
      </x:c>
      <x:c r="H622" s="18" t="n">
        <x:v>1</x:v>
      </x:c>
      <x:c r="I622" s="19" t="n">
        <x:v>104.49</x:v>
      </x:c>
      <x:c r="J622" s="20" t="n">
        <x:v>0</x:v>
      </x:c>
      <x:c r="K622" s="4" t="inlineStr">
        <x:is>
          <x:t xml:space="preserve">Credit Card</x:t>
        </x:is>
      </x:c>
      <x:c r="L622" s="19" t="n">
        <x:v>104.49</x:v>
      </x:c>
      <x:c r="M622" s="19" t="n">
        <x:v>0</x:v>
      </x:c>
      <x:c r="N622" s="19" t="n">
        <x:v>104.49</x:v>
      </x:c>
      <x:c r="O622" s="4" t="n">
        <x:f>YEAR(C622)</x:f>
        <x:v>2025</x:v>
      </x:c>
      <x:c r="P622" s="4" t="str">
        <x:f>TEXT(C622,"yyyy-mm")</x:f>
        <x:v>2025-09</x:v>
      </x:c>
      <x:c r="Q622" s="4" t="str">
        <x:f>TEXT(C622,"mmmm")</x:f>
        <x:v>September</x:v>
      </x:c>
    </x:row>
    <x:row r="623" ht="20" customHeight="1">
      <x:c r="A623" s="4" t="inlineStr">
        <x:is>
          <x:t xml:space="preserve">LINE-00628</x:t>
        </x:is>
      </x:c>
      <x:c r="B623" s="4" t="inlineStr">
        <x:is>
          <x:t xml:space="preserve">ORD-2025-0397</x:t>
        </x:is>
      </x:c>
      <x:c r="C623" s="17" t="n">
        <x:v>45718</x:v>
      </x:c>
      <x:c r="D623" s="4" t="inlineStr">
        <x:is>
          <x:t xml:space="preserve">CUS-0339</x:t>
        </x:is>
      </x:c>
      <x:c r="E623" s="4" t="inlineStr">
        <x:is>
          <x:t xml:space="preserve">Desk Lamp</x:t>
        </x:is>
      </x:c>
      <x:c r="F623" s="4" t="inlineStr">
        <x:is>
          <x:t xml:space="preserve">Furniture</x:t>
        </x:is>
      </x:c>
      <x:c r="G623" s="4" t="inlineStr">
        <x:is>
          <x:t xml:space="preserve">Chicago</x:t>
        </x:is>
      </x:c>
      <x:c r="H623" s="18" t="n">
        <x:v>2</x:v>
      </x:c>
      <x:c r="I623" s="19" t="n">
        <x:v>54.81</x:v>
      </x:c>
      <x:c r="J623" s="20" t="n">
        <x:v>0</x:v>
      </x:c>
      <x:c r="K623" s="4" t="inlineStr">
        <x:is>
          <x:t xml:space="preserve">Bank Transfer</x:t>
        </x:is>
      </x:c>
      <x:c r="L623" s="19" t="n">
        <x:v>109.62</x:v>
      </x:c>
      <x:c r="M623" s="19" t="n">
        <x:v>0</x:v>
      </x:c>
      <x:c r="N623" s="19" t="n">
        <x:v>109.62</x:v>
      </x:c>
      <x:c r="O623" s="4" t="n">
        <x:f>YEAR(C623)</x:f>
        <x:v>2025</x:v>
      </x:c>
      <x:c r="P623" s="4" t="str">
        <x:f>TEXT(C623,"yyyy-mm")</x:f>
        <x:v>2025-03</x:v>
      </x:c>
      <x:c r="Q623" s="4" t="str">
        <x:f>TEXT(C623,"mmmm")</x:f>
        <x:v>March</x:v>
      </x:c>
    </x:row>
    <x:row r="624" ht="20" customHeight="1">
      <x:c r="A624" s="4" t="inlineStr">
        <x:is>
          <x:t xml:space="preserve">LINE-00629</x:t>
        </x:is>
      </x:c>
      <x:c r="B624" s="4" t="inlineStr">
        <x:is>
          <x:t xml:space="preserve">ORD-2025-0397</x:t>
        </x:is>
      </x:c>
      <x:c r="C624" s="17" t="n">
        <x:v>45718</x:v>
      </x:c>
      <x:c r="D624" s="4" t="inlineStr">
        <x:is>
          <x:t xml:space="preserve">CUS-0339</x:t>
        </x:is>
      </x:c>
      <x:c r="E624" s="4" t="inlineStr">
        <x:is>
          <x:t xml:space="preserve">Monitor</x:t>
        </x:is>
      </x:c>
      <x:c r="F624" s="4" t="inlineStr">
        <x:is>
          <x:t xml:space="preserve">Computers</x:t>
        </x:is>
      </x:c>
      <x:c r="G624" s="4" t="inlineStr">
        <x:is>
          <x:t xml:space="preserve">Chicago</x:t>
        </x:is>
      </x:c>
      <x:c r="H624" s="18" t="n">
        <x:v>1</x:v>
      </x:c>
      <x:c r="I624" s="19" t="n">
        <x:v>294.93</x:v>
      </x:c>
      <x:c r="J624" s="20" t="n">
        <x:v>0</x:v>
      </x:c>
      <x:c r="K624" s="4" t="inlineStr">
        <x:is>
          <x:t xml:space="preserve">Bank Transfer</x:t>
        </x:is>
      </x:c>
      <x:c r="L624" s="19" t="n">
        <x:v>294.93</x:v>
      </x:c>
      <x:c r="M624" s="19" t="n">
        <x:v>0</x:v>
      </x:c>
      <x:c r="N624" s="19" t="n">
        <x:v>294.93</x:v>
      </x:c>
      <x:c r="O624" s="4" t="n">
        <x:f>YEAR(C624)</x:f>
        <x:v>2025</x:v>
      </x:c>
      <x:c r="P624" s="4" t="str">
        <x:f>TEXT(C624,"yyyy-mm")</x:f>
        <x:v>2025-03</x:v>
      </x:c>
      <x:c r="Q624" s="4" t="str">
        <x:f>TEXT(C624,"mmmm")</x:f>
        <x:v>March</x:v>
      </x:c>
    </x:row>
    <x:row r="625" ht="20" customHeight="1">
      <x:c r="A625" s="4" t="inlineStr">
        <x:is>
          <x:t xml:space="preserve">LINE-00630</x:t>
        </x:is>
      </x:c>
      <x:c r="B625" s="4" t="inlineStr">
        <x:is>
          <x:t xml:space="preserve">ORD-2025-0398</x:t>
        </x:is>
      </x:c>
      <x:c r="C625" s="17" t="n">
        <x:v>45680</x:v>
      </x:c>
      <x:c r="D625" s="4" t="inlineStr">
        <x:is>
          <x:t xml:space="preserve">CUS-0066</x:t>
        </x:is>
      </x:c>
      <x:c r="E625" s="4" t="inlineStr">
        <x:is>
          <x:t xml:space="preserve">External SSD</x:t>
        </x:is>
      </x:c>
      <x:c r="F625" s="4" t="inlineStr">
        <x:is>
          <x:t xml:space="preserve">Storage</x:t>
        </x:is>
      </x:c>
      <x:c r="G625" s="4" t="inlineStr">
        <x:is>
          <x:t xml:space="preserve">Boston</x:t>
        </x:is>
      </x:c>
      <x:c r="H625" s="18" t="n">
        <x:v>1</x:v>
      </x:c>
      <x:c r="I625" s="19" t="n">
        <x:v>151.73</x:v>
      </x:c>
      <x:c r="J625" s="20" t="n">
        <x:v>0</x:v>
      </x:c>
      <x:c r="K625" s="4" t="inlineStr">
        <x:is>
          <x:t xml:space="preserve">Debit Card</x:t>
        </x:is>
      </x:c>
      <x:c r="L625" s="19" t="n">
        <x:v>151.73</x:v>
      </x:c>
      <x:c r="M625" s="19" t="n">
        <x:v>0</x:v>
      </x:c>
      <x:c r="N625" s="19" t="n">
        <x:v>151.73</x:v>
      </x:c>
      <x:c r="O625" s="4" t="n">
        <x:f>YEAR(C625)</x:f>
        <x:v>2025</x:v>
      </x:c>
      <x:c r="P625" s="4" t="str">
        <x:f>TEXT(C625,"yyyy-mm")</x:f>
        <x:v>2025-01</x:v>
      </x:c>
      <x:c r="Q625" s="4" t="str">
        <x:f>TEXT(C625,"mmmm")</x:f>
        <x:v>January</x:v>
      </x:c>
    </x:row>
    <x:row r="626" ht="20" customHeight="1">
      <x:c r="A626" s="4" t="inlineStr">
        <x:is>
          <x:t xml:space="preserve">LINE-00631</x:t>
        </x:is>
      </x:c>
      <x:c r="B626" s="4" t="inlineStr">
        <x:is>
          <x:t xml:space="preserve">ORD-2025-0399</x:t>
        </x:is>
      </x:c>
      <x:c r="C626" s="17" t="n">
        <x:v>45790</x:v>
      </x:c>
      <x:c r="D626" s="4" t="inlineStr">
        <x:is>
          <x:t xml:space="preserve">CUS-0093</x:t>
        </x:is>
      </x:c>
      <x:c r="E626" s="4" t="inlineStr">
        <x:is>
          <x:t xml:space="preserve">USB Flash Drive</x:t>
        </x:is>
      </x:c>
      <x:c r="F626" s="4" t="inlineStr">
        <x:is>
          <x:t xml:space="preserve">Storage</x:t>
        </x:is>
      </x:c>
      <x:c r="G626" s="4" t="inlineStr">
        <x:is>
          <x:t xml:space="preserve">Boston</x:t>
        </x:is>
      </x:c>
      <x:c r="H626" s="18" t="n">
        <x:v>1</x:v>
      </x:c>
      <x:c r="I626" s="19" t="n">
        <x:v>31.05</x:v>
      </x:c>
      <x:c r="J626" s="20" t="n">
        <x:v>0.05</x:v>
      </x:c>
      <x:c r="K626" s="4" t="inlineStr">
        <x:is>
          <x:t xml:space="preserve">Bank Transfer</x:t>
        </x:is>
      </x:c>
      <x:c r="L626" s="19" t="n">
        <x:v>31.05</x:v>
      </x:c>
      <x:c r="M626" s="19" t="n">
        <x:v>1.55</x:v>
      </x:c>
      <x:c r="N626" s="19" t="n">
        <x:v>29.5</x:v>
      </x:c>
      <x:c r="O626" s="4" t="n">
        <x:f>YEAR(C626)</x:f>
        <x:v>2025</x:v>
      </x:c>
      <x:c r="P626" s="4" t="str">
        <x:f>TEXT(C626,"yyyy-mm")</x:f>
        <x:v>2025-05</x:v>
      </x:c>
      <x:c r="Q626" s="4" t="str">
        <x:f>TEXT(C626,"mmmm")</x:f>
        <x:v>May</x:v>
      </x:c>
    </x:row>
    <x:row r="627" ht="20" customHeight="1">
      <x:c r="A627" s="4" t="inlineStr">
        <x:is>
          <x:t xml:space="preserve">LINE-00632</x:t>
        </x:is>
      </x:c>
      <x:c r="B627" s="4" t="inlineStr">
        <x:is>
          <x:t xml:space="preserve">ORD-2025-0399</x:t>
        </x:is>
      </x:c>
      <x:c r="C627" s="17" t="n">
        <x:v>45790</x:v>
      </x:c>
      <x:c r="D627" s="4" t="inlineStr">
        <x:is>
          <x:t xml:space="preserve">CUS-0093</x:t>
        </x:is>
      </x:c>
      <x:c r="E627" s="4" t="inlineStr">
        <x:is>
          <x:t xml:space="preserve">Office Chair</x:t>
        </x:is>
      </x:c>
      <x:c r="F627" s="4" t="inlineStr">
        <x:is>
          <x:t xml:space="preserve">Furniture</x:t>
        </x:is>
      </x:c>
      <x:c r="G627" s="4" t="inlineStr">
        <x:is>
          <x:t xml:space="preserve">Boston</x:t>
        </x:is>
      </x:c>
      <x:c r="H627" s="18" t="n">
        <x:v>1</x:v>
      </x:c>
      <x:c r="I627" s="19" t="n">
        <x:v>224.09</x:v>
      </x:c>
      <x:c r="J627" s="20" t="n">
        <x:v>0</x:v>
      </x:c>
      <x:c r="K627" s="4" t="inlineStr">
        <x:is>
          <x:t xml:space="preserve">Bank Transfer</x:t>
        </x:is>
      </x:c>
      <x:c r="L627" s="19" t="n">
        <x:v>224.09</x:v>
      </x:c>
      <x:c r="M627" s="19" t="n">
        <x:v>0</x:v>
      </x:c>
      <x:c r="N627" s="19" t="n">
        <x:v>224.09</x:v>
      </x:c>
      <x:c r="O627" s="4" t="n">
        <x:f>YEAR(C627)</x:f>
        <x:v>2025</x:v>
      </x:c>
      <x:c r="P627" s="4" t="str">
        <x:f>TEXT(C627,"yyyy-mm")</x:f>
        <x:v>2025-05</x:v>
      </x:c>
      <x:c r="Q627" s="4" t="str">
        <x:f>TEXT(C627,"mmmm")</x:f>
        <x:v>May</x:v>
      </x:c>
    </x:row>
    <x:row r="628" ht="20" customHeight="1">
      <x:c r="A628" s="4" t="inlineStr">
        <x:is>
          <x:t xml:space="preserve">LINE-00633</x:t>
        </x:is>
      </x:c>
      <x:c r="B628" s="4" t="inlineStr">
        <x:is>
          <x:t xml:space="preserve">ORD-2025-0400</x:t>
        </x:is>
      </x:c>
      <x:c r="C628" s="17" t="n">
        <x:v>45899</x:v>
      </x:c>
      <x:c r="D628" s="4" t="inlineStr">
        <x:is>
          <x:t xml:space="preserve">CUS-0247</x:t>
        </x:is>
      </x:c>
      <x:c r="E628" s="4" t="inlineStr">
        <x:is>
          <x:t xml:space="preserve">USB Flash Drive</x:t>
        </x:is>
      </x:c>
      <x:c r="F628" s="4" t="inlineStr">
        <x:is>
          <x:t xml:space="preserve">Storage</x:t>
        </x:is>
      </x:c>
      <x:c r="G628" s="4" t="inlineStr">
        <x:is>
          <x:t xml:space="preserve">Chicago</x:t>
        </x:is>
      </x:c>
      <x:c r="H628" s="18" t="n">
        <x:v>3</x:v>
      </x:c>
      <x:c r="I628" s="19" t="n">
        <x:v>31.54</x:v>
      </x:c>
      <x:c r="J628" s="20" t="n">
        <x:v>0</x:v>
      </x:c>
      <x:c r="K628" s="4" t="inlineStr">
        <x:is>
          <x:t xml:space="preserve">Debit Card</x:t>
        </x:is>
      </x:c>
      <x:c r="L628" s="19" t="n">
        <x:v>94.62</x:v>
      </x:c>
      <x:c r="M628" s="19" t="n">
        <x:v>0</x:v>
      </x:c>
      <x:c r="N628" s="19" t="n">
        <x:v>94.62</x:v>
      </x:c>
      <x:c r="O628" s="4" t="n">
        <x:f>YEAR(C628)</x:f>
        <x:v>2025</x:v>
      </x:c>
      <x:c r="P628" s="4" t="str">
        <x:f>TEXT(C628,"yyyy-mm")</x:f>
        <x:v>2025-08</x:v>
      </x:c>
      <x:c r="Q628" s="4" t="str">
        <x:f>TEXT(C628,"mmmm")</x:f>
        <x:v>August</x:v>
      </x:c>
    </x:row>
    <x:row r="629" ht="20" customHeight="1">
      <x:c r="A629" s="4" t="inlineStr">
        <x:is>
          <x:t xml:space="preserve">LINE-00634</x:t>
        </x:is>
      </x:c>
      <x:c r="B629" s="4" t="inlineStr">
        <x:is>
          <x:t xml:space="preserve">ORD-2025-0400</x:t>
        </x:is>
      </x:c>
      <x:c r="C629" s="17" t="n">
        <x:v>45899</x:v>
      </x:c>
      <x:c r="D629" s="4" t="inlineStr">
        <x:is>
          <x:t xml:space="preserve">CUS-0247</x:t>
        </x:is>
      </x:c>
      <x:c r="E629" s="4" t="inlineStr">
        <x:is>
          <x:t xml:space="preserve">Keyboard</x:t>
        </x:is>
      </x:c>
      <x:c r="F629" s="4" t="inlineStr">
        <x:is>
          <x:t xml:space="preserve">Accessories</x:t>
        </x:is>
      </x:c>
      <x:c r="G629" s="4" t="inlineStr">
        <x:is>
          <x:t xml:space="preserve">Chicago</x:t>
        </x:is>
      </x:c>
      <x:c r="H629" s="18" t="n">
        <x:v>2</x:v>
      </x:c>
      <x:c r="I629" s="19" t="n">
        <x:v>72.17</x:v>
      </x:c>
      <x:c r="J629" s="20" t="n">
        <x:v>0.1</x:v>
      </x:c>
      <x:c r="K629" s="4" t="inlineStr">
        <x:is>
          <x:t xml:space="preserve">Debit Card</x:t>
        </x:is>
      </x:c>
      <x:c r="L629" s="19" t="n">
        <x:v>144.34</x:v>
      </x:c>
      <x:c r="M629" s="19" t="n">
        <x:v>14.43</x:v>
      </x:c>
      <x:c r="N629" s="19" t="n">
        <x:v>129.91</x:v>
      </x:c>
      <x:c r="O629" s="4" t="n">
        <x:f>YEAR(C629)</x:f>
        <x:v>2025</x:v>
      </x:c>
      <x:c r="P629" s="4" t="str">
        <x:f>TEXT(C629,"yyyy-mm")</x:f>
        <x:v>2025-08</x:v>
      </x:c>
      <x:c r="Q629" s="4" t="str">
        <x:f>TEXT(C629,"mmmm")</x:f>
        <x:v>August</x:v>
      </x:c>
    </x:row>
    <x:row r="630" ht="20" customHeight="1">
      <x:c r="A630" s="4" t="inlineStr">
        <x:is>
          <x:t xml:space="preserve">LINE-00635</x:t>
        </x:is>
      </x:c>
      <x:c r="B630" s="4" t="inlineStr">
        <x:is>
          <x:t xml:space="preserve">ORD-2025-0401</x:t>
        </x:is>
      </x:c>
      <x:c r="C630" s="17" t="n">
        <x:v>45833</x:v>
      </x:c>
      <x:c r="D630" s="4" t="inlineStr">
        <x:is>
          <x:t xml:space="preserve">CUS-0233</x:t>
        </x:is>
      </x:c>
      <x:c r="E630" s="4" t="inlineStr">
        <x:is>
          <x:t xml:space="preserve">Headphones</x:t>
        </x:is>
      </x:c>
      <x:c r="F630" s="4" t="inlineStr">
        <x:is>
          <x:t xml:space="preserve">Audio</x:t>
        </x:is>
      </x:c>
      <x:c r="G630" s="4" t="inlineStr">
        <x:is>
          <x:t xml:space="preserve">Boston</x:t>
        </x:is>
      </x:c>
      <x:c r="H630" s="18" t="n">
        <x:v>1</x:v>
      </x:c>
      <x:c r="I630" s="19" t="n">
        <x:v>119.94</x:v>
      </x:c>
      <x:c r="J630" s="20" t="n">
        <x:v>0.05</x:v>
      </x:c>
      <x:c r="K630" s="4" t="inlineStr">
        <x:is>
          <x:t xml:space="preserve">Credit Card</x:t>
        </x:is>
      </x:c>
      <x:c r="L630" s="19" t="n">
        <x:v>119.94</x:v>
      </x:c>
      <x:c r="M630" s="19" t="n">
        <x:v>6</x:v>
      </x:c>
      <x:c r="N630" s="19" t="n">
        <x:v>113.94</x:v>
      </x:c>
      <x:c r="O630" s="4" t="n">
        <x:f>YEAR(C630)</x:f>
        <x:v>2025</x:v>
      </x:c>
      <x:c r="P630" s="4" t="str">
        <x:f>TEXT(C630,"yyyy-mm")</x:f>
        <x:v>2025-06</x:v>
      </x:c>
      <x:c r="Q630" s="4" t="str">
        <x:f>TEXT(C630,"mmmm")</x:f>
        <x:v>June</x:v>
      </x:c>
    </x:row>
    <x:row r="631" ht="20" customHeight="1">
      <x:c r="A631" s="4" t="inlineStr">
        <x:is>
          <x:t xml:space="preserve">LINE-00636</x:t>
        </x:is>
      </x:c>
      <x:c r="B631" s="4" t="inlineStr">
        <x:is>
          <x:t xml:space="preserve">ORD-2025-0402</x:t>
        </x:is>
      </x:c>
      <x:c r="C631" s="17" t="n">
        <x:v>45916</x:v>
      </x:c>
      <x:c r="D631" s="4" t="inlineStr">
        <x:is>
          <x:t xml:space="preserve">CUS-0215</x:t>
        </x:is>
      </x:c>
      <x:c r="E631" s="4" t="inlineStr">
        <x:is>
          <x:t xml:space="preserve">USB Flash Drive</x:t>
        </x:is>
      </x:c>
      <x:c r="F631" s="4" t="inlineStr">
        <x:is>
          <x:t xml:space="preserve">Storage</x:t>
        </x:is>
      </x:c>
      <x:c r="G631" s="4" t="inlineStr">
        <x:is>
          <x:t xml:space="preserve">Chicago</x:t>
        </x:is>
      </x:c>
      <x:c r="H631" s="18" t="n">
        <x:v>2</x:v>
      </x:c>
      <x:c r="I631" s="19" t="n">
        <x:v>31.81</x:v>
      </x:c>
      <x:c r="J631" s="20" t="n">
        <x:v>0.05</x:v>
      </x:c>
      <x:c r="K631" s="4" t="inlineStr">
        <x:is>
          <x:t xml:space="preserve">Credit Card</x:t>
        </x:is>
      </x:c>
      <x:c r="L631" s="19" t="n">
        <x:v>63.62</x:v>
      </x:c>
      <x:c r="M631" s="19" t="n">
        <x:v>3.18</x:v>
      </x:c>
      <x:c r="N631" s="19" t="n">
        <x:v>60.44</x:v>
      </x:c>
      <x:c r="O631" s="4" t="n">
        <x:f>YEAR(C631)</x:f>
        <x:v>2025</x:v>
      </x:c>
      <x:c r="P631" s="4" t="str">
        <x:f>TEXT(C631,"yyyy-mm")</x:f>
        <x:v>2025-09</x:v>
      </x:c>
      <x:c r="Q631" s="4" t="str">
        <x:f>TEXT(C631,"mmmm")</x:f>
        <x:v>September</x:v>
      </x:c>
    </x:row>
    <x:row r="632" ht="20" customHeight="1">
      <x:c r="A632" s="4" t="inlineStr">
        <x:is>
          <x:t xml:space="preserve">LINE-00637</x:t>
        </x:is>
      </x:c>
      <x:c r="B632" s="4" t="inlineStr">
        <x:is>
          <x:t xml:space="preserve">ORD-2025-0403</x:t>
        </x:is>
      </x:c>
      <x:c r="C632" s="17" t="n">
        <x:v>45718</x:v>
      </x:c>
      <x:c r="D632" s="4" t="inlineStr">
        <x:is>
          <x:t xml:space="preserve">CUS-0048</x:t>
        </x:is>
      </x:c>
      <x:c r="E632" s="4" t="inlineStr">
        <x:is>
          <x:t xml:space="preserve">External SSD</x:t>
        </x:is>
      </x:c>
      <x:c r="F632" s="4" t="inlineStr">
        <x:is>
          <x:t xml:space="preserve">Storage</x:t>
        </x:is>
      </x:c>
      <x:c r="G632" s="4" t="inlineStr">
        <x:is>
          <x:t xml:space="preserve">Seattle</x:t>
        </x:is>
      </x:c>
      <x:c r="H632" s="18" t="n">
        <x:v>2</x:v>
      </x:c>
      <x:c r="I632" s="19" t="n">
        <x:v>146.89</x:v>
      </x:c>
      <x:c r="J632" s="20" t="n">
        <x:v>0</x:v>
      </x:c>
      <x:c r="K632" s="4" t="inlineStr">
        <x:is>
          <x:t xml:space="preserve">Debit Card</x:t>
        </x:is>
      </x:c>
      <x:c r="L632" s="19" t="n">
        <x:v>293.78</x:v>
      </x:c>
      <x:c r="M632" s="19" t="n">
        <x:v>0</x:v>
      </x:c>
      <x:c r="N632" s="19" t="n">
        <x:v>293.78</x:v>
      </x:c>
      <x:c r="O632" s="4" t="n">
        <x:f>YEAR(C632)</x:f>
        <x:v>2025</x:v>
      </x:c>
      <x:c r="P632" s="4" t="str">
        <x:f>TEXT(C632,"yyyy-mm")</x:f>
        <x:v>2025-03</x:v>
      </x:c>
      <x:c r="Q632" s="4" t="str">
        <x:f>TEXT(C632,"mmmm")</x:f>
        <x:v>March</x:v>
      </x:c>
    </x:row>
    <x:row r="633" ht="20" customHeight="1">
      <x:c r="A633" s="4" t="inlineStr">
        <x:is>
          <x:t xml:space="preserve">LINE-00638</x:t>
        </x:is>
      </x:c>
      <x:c r="B633" s="4" t="inlineStr">
        <x:is>
          <x:t xml:space="preserve">ORD-2025-0403</x:t>
        </x:is>
      </x:c>
      <x:c r="C633" s="17" t="n">
        <x:v>45718</x:v>
      </x:c>
      <x:c r="D633" s="4" t="inlineStr">
        <x:is>
          <x:t xml:space="preserve">CUS-0048</x:t>
        </x:is>
      </x:c>
      <x:c r="E633" s="4" t="inlineStr">
        <x:is>
          <x:t xml:space="preserve">Laptop</x:t>
        </x:is>
      </x:c>
      <x:c r="F633" s="4" t="inlineStr">
        <x:is>
          <x:t xml:space="preserve">Computers</x:t>
        </x:is>
      </x:c>
      <x:c r="G633" s="4" t="inlineStr">
        <x:is>
          <x:t xml:space="preserve">Seattle</x:t>
        </x:is>
      </x:c>
      <x:c r="H633" s="18" t="n">
        <x:v>2</x:v>
      </x:c>
      <x:c r="I633" s="19" t="n">
        <x:v>908.88</x:v>
      </x:c>
      <x:c r="J633" s="20" t="n">
        <x:v>0.1</x:v>
      </x:c>
      <x:c r="K633" s="4" t="inlineStr">
        <x:is>
          <x:t xml:space="preserve">Debit Card</x:t>
        </x:is>
      </x:c>
      <x:c r="L633" s="19" t="n">
        <x:v>1817.76</x:v>
      </x:c>
      <x:c r="M633" s="19" t="n">
        <x:v>181.78</x:v>
      </x:c>
      <x:c r="N633" s="19" t="n">
        <x:v>1635.98</x:v>
      </x:c>
      <x:c r="O633" s="4" t="n">
        <x:f>YEAR(C633)</x:f>
        <x:v>2025</x:v>
      </x:c>
      <x:c r="P633" s="4" t="str">
        <x:f>TEXT(C633,"yyyy-mm")</x:f>
        <x:v>2025-03</x:v>
      </x:c>
      <x:c r="Q633" s="4" t="str">
        <x:f>TEXT(C633,"mmmm")</x:f>
        <x:v>March</x:v>
      </x:c>
    </x:row>
    <x:row r="634" ht="20" customHeight="1">
      <x:c r="A634" s="4" t="inlineStr">
        <x:is>
          <x:t xml:space="preserve">LINE-00639</x:t>
        </x:is>
      </x:c>
      <x:c r="B634" s="4" t="inlineStr">
        <x:is>
          <x:t xml:space="preserve">ORD-2025-0403</x:t>
        </x:is>
      </x:c>
      <x:c r="C634" s="17" t="n">
        <x:v>45718</x:v>
      </x:c>
      <x:c r="D634" s="4" t="inlineStr">
        <x:is>
          <x:t xml:space="preserve">CUS-0048</x:t>
        </x:is>
      </x:c>
      <x:c r="E634" s="4" t="inlineStr">
        <x:is>
          <x:t xml:space="preserve">Headphones</x:t>
        </x:is>
      </x:c>
      <x:c r="F634" s="4" t="inlineStr">
        <x:is>
          <x:t xml:space="preserve">Audio</x:t>
        </x:is>
      </x:c>
      <x:c r="G634" s="4" t="inlineStr">
        <x:is>
          <x:t xml:space="preserve">Seattle</x:t>
        </x:is>
      </x:c>
      <x:c r="H634" s="18" t="n">
        <x:v>3</x:v>
      </x:c>
      <x:c r="I634" s="19" t="n">
        <x:v>127.53</x:v>
      </x:c>
      <x:c r="J634" s="20" t="n">
        <x:v>0.05</x:v>
      </x:c>
      <x:c r="K634" s="4" t="inlineStr">
        <x:is>
          <x:t xml:space="preserve">Debit Card</x:t>
        </x:is>
      </x:c>
      <x:c r="L634" s="19" t="n">
        <x:v>382.59</x:v>
      </x:c>
      <x:c r="M634" s="19" t="n">
        <x:v>19.13</x:v>
      </x:c>
      <x:c r="N634" s="19" t="n">
        <x:v>363.46</x:v>
      </x:c>
      <x:c r="O634" s="4" t="n">
        <x:f>YEAR(C634)</x:f>
        <x:v>2025</x:v>
      </x:c>
      <x:c r="P634" s="4" t="str">
        <x:f>TEXT(C634,"yyyy-mm")</x:f>
        <x:v>2025-03</x:v>
      </x:c>
      <x:c r="Q634" s="4" t="str">
        <x:f>TEXT(C634,"mmmm")</x:f>
        <x:v>March</x:v>
      </x:c>
    </x:row>
    <x:row r="635" ht="20" customHeight="1">
      <x:c r="A635" s="4" t="inlineStr">
        <x:is>
          <x:t xml:space="preserve">LINE-00640</x:t>
        </x:is>
      </x:c>
      <x:c r="B635" s="4" t="inlineStr">
        <x:is>
          <x:t xml:space="preserve">ORD-2025-0404</x:t>
        </x:is>
      </x:c>
      <x:c r="C635" s="17" t="n">
        <x:v>46014</x:v>
      </x:c>
      <x:c r="D635" s="4" t="inlineStr">
        <x:is>
          <x:t xml:space="preserve">CUS-0295</x:t>
        </x:is>
      </x:c>
      <x:c r="E635" s="4" t="inlineStr">
        <x:is>
          <x:t xml:space="preserve">Bluetooth Speaker</x:t>
        </x:is>
      </x:c>
      <x:c r="F635" s="4" t="inlineStr">
        <x:is>
          <x:t xml:space="preserve">Audio</x:t>
        </x:is>
      </x:c>
      <x:c r="G635" s="4" t="inlineStr">
        <x:is>
          <x:t xml:space="preserve">New York</x:t>
        </x:is>
      </x:c>
      <x:c r="H635" s="18" t="n">
        <x:v>3</x:v>
      </x:c>
      <x:c r="I635" s="19" t="n">
        <x:v>117.22</x:v>
      </x:c>
      <x:c r="J635" s="20" t="n">
        <x:v>0</x:v>
      </x:c>
      <x:c r="K635" s="4" t="inlineStr">
        <x:is>
          <x:t xml:space="preserve">Bank Transfer</x:t>
        </x:is>
      </x:c>
      <x:c r="L635" s="19" t="n">
        <x:v>351.66</x:v>
      </x:c>
      <x:c r="M635" s="19" t="n">
        <x:v>0</x:v>
      </x:c>
      <x:c r="N635" s="19" t="n">
        <x:v>351.66</x:v>
      </x:c>
      <x:c r="O635" s="4" t="n">
        <x:f>YEAR(C635)</x:f>
        <x:v>2025</x:v>
      </x:c>
      <x:c r="P635" s="4" t="str">
        <x:f>TEXT(C635,"yyyy-mm")</x:f>
        <x:v>2025-12</x:v>
      </x:c>
      <x:c r="Q635" s="4" t="str">
        <x:f>TEXT(C635,"mmmm")</x:f>
        <x:v>December</x:v>
      </x:c>
    </x:row>
    <x:row r="636" ht="20" customHeight="1">
      <x:c r="A636" s="4" t="inlineStr">
        <x:is>
          <x:t xml:space="preserve">LINE-00641</x:t>
        </x:is>
      </x:c>
      <x:c r="B636" s="4" t="inlineStr">
        <x:is>
          <x:t xml:space="preserve">ORD-2025-0405</x:t>
        </x:is>
      </x:c>
      <x:c r="C636" s="17" t="n">
        <x:v>45964</x:v>
      </x:c>
      <x:c r="D636" s="4" t="inlineStr">
        <x:is>
          <x:t xml:space="preserve">CUS-0279</x:t>
        </x:is>
      </x:c>
      <x:c r="E636" s="4" t="inlineStr">
        <x:is>
          <x:t xml:space="preserve">Desk Lamp</x:t>
        </x:is>
      </x:c>
      <x:c r="F636" s="4" t="inlineStr">
        <x:is>
          <x:t xml:space="preserve">Furniture</x:t>
        </x:is>
      </x:c>
      <x:c r="G636" s="4" t="inlineStr">
        <x:is>
          <x:t xml:space="preserve">Seattle</x:t>
        </x:is>
      </x:c>
      <x:c r="H636" s="18" t="n">
        <x:v>3</x:v>
      </x:c>
      <x:c r="I636" s="19" t="n">
        <x:v>50.66</x:v>
      </x:c>
      <x:c r="J636" s="20" t="n">
        <x:v>0.05</x:v>
      </x:c>
      <x:c r="K636" s="4" t="inlineStr">
        <x:is>
          <x:t xml:space="preserve">PayPal</x:t>
        </x:is>
      </x:c>
      <x:c r="L636" s="19" t="n">
        <x:v>151.98</x:v>
      </x:c>
      <x:c r="M636" s="19" t="n">
        <x:v>7.6</x:v>
      </x:c>
      <x:c r="N636" s="19" t="n">
        <x:v>144.38</x:v>
      </x:c>
      <x:c r="O636" s="4" t="n">
        <x:f>YEAR(C636)</x:f>
        <x:v>2025</x:v>
      </x:c>
      <x:c r="P636" s="4" t="str">
        <x:f>TEXT(C636,"yyyy-mm")</x:f>
        <x:v>2025-11</x:v>
      </x:c>
      <x:c r="Q636" s="4" t="str">
        <x:f>TEXT(C636,"mmmm")</x:f>
        <x:v>November</x:v>
      </x:c>
    </x:row>
    <x:row r="637" ht="20" customHeight="1">
      <x:c r="A637" s="4" t="inlineStr">
        <x:is>
          <x:t xml:space="preserve">LINE-00642</x:t>
        </x:is>
      </x:c>
      <x:c r="B637" s="4" t="inlineStr">
        <x:is>
          <x:t xml:space="preserve">ORD-2025-0406</x:t>
        </x:is>
      </x:c>
      <x:c r="C637" s="17" t="n">
        <x:v>45924</x:v>
      </x:c>
      <x:c r="D637" s="4" t="inlineStr">
        <x:is>
          <x:t xml:space="preserve">CUS-0004</x:t>
        </x:is>
      </x:c>
      <x:c r="E637" s="4" t="inlineStr">
        <x:is>
          <x:t xml:space="preserve">Webcam</x:t>
        </x:is>
      </x:c>
      <x:c r="F637" s="4" t="inlineStr">
        <x:is>
          <x:t xml:space="preserve">Accessories</x:t>
        </x:is>
      </x:c>
      <x:c r="G637" s="4" t="inlineStr">
        <x:is>
          <x:t xml:space="preserve">Seattle</x:t>
        </x:is>
      </x:c>
      <x:c r="H637" s="18" t="n">
        <x:v>1</x:v>
      </x:c>
      <x:c r="I637" s="19" t="n">
        <x:v>85.03</x:v>
      </x:c>
      <x:c r="J637" s="20" t="n">
        <x:v>0.05</x:v>
      </x:c>
      <x:c r="K637" s="4" t="inlineStr">
        <x:is>
          <x:t xml:space="preserve">Debit Card</x:t>
        </x:is>
      </x:c>
      <x:c r="L637" s="19" t="n">
        <x:v>85.03</x:v>
      </x:c>
      <x:c r="M637" s="19" t="n">
        <x:v>4.25</x:v>
      </x:c>
      <x:c r="N637" s="19" t="n">
        <x:v>80.78</x:v>
      </x:c>
      <x:c r="O637" s="4" t="n">
        <x:f>YEAR(C637)</x:f>
        <x:v>2025</x:v>
      </x:c>
      <x:c r="P637" s="4" t="str">
        <x:f>TEXT(C637,"yyyy-mm")</x:f>
        <x:v>2025-09</x:v>
      </x:c>
      <x:c r="Q637" s="4" t="str">
        <x:f>TEXT(C637,"mmmm")</x:f>
        <x:v>September</x:v>
      </x:c>
    </x:row>
    <x:row r="638" ht="20" customHeight="1">
      <x:c r="A638" s="4" t="inlineStr">
        <x:is>
          <x:t xml:space="preserve">LINE-00643</x:t>
        </x:is>
      </x:c>
      <x:c r="B638" s="4" t="inlineStr">
        <x:is>
          <x:t xml:space="preserve">ORD-2025-0406</x:t>
        </x:is>
      </x:c>
      <x:c r="C638" s="17" t="n">
        <x:v>45924</x:v>
      </x:c>
      <x:c r="D638" s="4" t="inlineStr">
        <x:is>
          <x:t xml:space="preserve">CUS-0004</x:t>
        </x:is>
      </x:c>
      <x:c r="E638" s="4" t="inlineStr">
        <x:is>
          <x:t xml:space="preserve">Headphones</x:t>
        </x:is>
      </x:c>
      <x:c r="F638" s="4" t="inlineStr">
        <x:is>
          <x:t xml:space="preserve">Audio</x:t>
        </x:is>
      </x:c>
      <x:c r="G638" s="4" t="inlineStr">
        <x:is>
          <x:t xml:space="preserve">Seattle</x:t>
        </x:is>
      </x:c>
      <x:c r="H638" s="18" t="n">
        <x:v>1</x:v>
      </x:c>
      <x:c r="I638" s="19" t="n">
        <x:v>137.38</x:v>
      </x:c>
      <x:c r="J638" s="20" t="n">
        <x:v>0</x:v>
      </x:c>
      <x:c r="K638" s="4" t="inlineStr">
        <x:is>
          <x:t xml:space="preserve">Debit Card</x:t>
        </x:is>
      </x:c>
      <x:c r="L638" s="19" t="n">
        <x:v>137.38</x:v>
      </x:c>
      <x:c r="M638" s="19" t="n">
        <x:v>0</x:v>
      </x:c>
      <x:c r="N638" s="19" t="n">
        <x:v>137.38</x:v>
      </x:c>
      <x:c r="O638" s="4" t="n">
        <x:f>YEAR(C638)</x:f>
        <x:v>2025</x:v>
      </x:c>
      <x:c r="P638" s="4" t="str">
        <x:f>TEXT(C638,"yyyy-mm")</x:f>
        <x:v>2025-09</x:v>
      </x:c>
      <x:c r="Q638" s="4" t="str">
        <x:f>TEXT(C638,"mmmm")</x:f>
        <x:v>September</x:v>
      </x:c>
    </x:row>
    <x:row r="639" ht="20" customHeight="1">
      <x:c r="A639" s="4" t="inlineStr">
        <x:is>
          <x:t xml:space="preserve">LINE-00644</x:t>
        </x:is>
      </x:c>
      <x:c r="B639" s="4" t="inlineStr">
        <x:is>
          <x:t xml:space="preserve">ORD-2025-0407</x:t>
        </x:is>
      </x:c>
      <x:c r="C639" s="17" t="n">
        <x:v>45845</x:v>
      </x:c>
      <x:c r="D639" s="4" t="inlineStr">
        <x:is>
          <x:t xml:space="preserve">CUS-0314</x:t>
        </x:is>
      </x:c>
      <x:c r="E639" s="4" t="inlineStr">
        <x:is>
          <x:t xml:space="preserve">Headphones</x:t>
        </x:is>
      </x:c>
      <x:c r="F639" s="4" t="inlineStr">
        <x:is>
          <x:t xml:space="preserve">Audio</x:t>
        </x:is>
      </x:c>
      <x:c r="G639" s="4" t="inlineStr">
        <x:is>
          <x:t xml:space="preserve">Austin</x:t>
        </x:is>
      </x:c>
      <x:c r="H639" s="18" t="n">
        <x:v>3</x:v>
      </x:c>
      <x:c r="I639" s="19" t="n">
        <x:v>129.64</x:v>
      </x:c>
      <x:c r="J639" s="20" t="n">
        <x:v>0</x:v>
      </x:c>
      <x:c r="K639" s="4" t="inlineStr">
        <x:is>
          <x:t xml:space="preserve">Bank Transfer</x:t>
        </x:is>
      </x:c>
      <x:c r="L639" s="19" t="n">
        <x:v>388.92</x:v>
      </x:c>
      <x:c r="M639" s="19" t="n">
        <x:v>0</x:v>
      </x:c>
      <x:c r="N639" s="19" t="n">
        <x:v>388.92</x:v>
      </x:c>
      <x:c r="O639" s="4" t="n">
        <x:f>YEAR(C639)</x:f>
        <x:v>2025</x:v>
      </x:c>
      <x:c r="P639" s="4" t="str">
        <x:f>TEXT(C639,"yyyy-mm")</x:f>
        <x:v>2025-07</x:v>
      </x:c>
      <x:c r="Q639" s="4" t="str">
        <x:f>TEXT(C639,"mmmm")</x:f>
        <x:v>July</x:v>
      </x:c>
    </x:row>
    <x:row r="640" ht="20" customHeight="1">
      <x:c r="A640" s="4" t="inlineStr">
        <x:is>
          <x:t xml:space="preserve">LINE-00645</x:t>
        </x:is>
      </x:c>
      <x:c r="B640" s="4" t="inlineStr">
        <x:is>
          <x:t xml:space="preserve">ORD-2025-0407</x:t>
        </x:is>
      </x:c>
      <x:c r="C640" s="17" t="n">
        <x:v>45845</x:v>
      </x:c>
      <x:c r="D640" s="4" t="inlineStr">
        <x:is>
          <x:t xml:space="preserve">CUS-0314</x:t>
        </x:is>
      </x:c>
      <x:c r="E640" s="4" t="inlineStr">
        <x:is>
          <x:t xml:space="preserve">External SSD</x:t>
        </x:is>
      </x:c>
      <x:c r="F640" s="4" t="inlineStr">
        <x:is>
          <x:t xml:space="preserve">Storage</x:t>
        </x:is>
      </x:c>
      <x:c r="G640" s="4" t="inlineStr">
        <x:is>
          <x:t xml:space="preserve">Austin</x:t>
        </x:is>
      </x:c>
      <x:c r="H640" s="18" t="n">
        <x:v>2</x:v>
      </x:c>
      <x:c r="I640" s="19" t="n">
        <x:v>144.09</x:v>
      </x:c>
      <x:c r="J640" s="20" t="n">
        <x:v>0</x:v>
      </x:c>
      <x:c r="K640" s="4" t="inlineStr">
        <x:is>
          <x:t xml:space="preserve">Bank Transfer</x:t>
        </x:is>
      </x:c>
      <x:c r="L640" s="19" t="n">
        <x:v>288.18</x:v>
      </x:c>
      <x:c r="M640" s="19" t="n">
        <x:v>0</x:v>
      </x:c>
      <x:c r="N640" s="19" t="n">
        <x:v>288.18</x:v>
      </x:c>
      <x:c r="O640" s="4" t="n">
        <x:f>YEAR(C640)</x:f>
        <x:v>2025</x:v>
      </x:c>
      <x:c r="P640" s="4" t="str">
        <x:f>TEXT(C640,"yyyy-mm")</x:f>
        <x:v>2025-07</x:v>
      </x:c>
      <x:c r="Q640" s="4" t="str">
        <x:f>TEXT(C640,"mmmm")</x:f>
        <x:v>July</x:v>
      </x:c>
    </x:row>
    <x:row r="641" ht="20" customHeight="1">
      <x:c r="A641" s="4" t="inlineStr">
        <x:is>
          <x:t xml:space="preserve">LINE-00646</x:t>
        </x:is>
      </x:c>
      <x:c r="B641" s="4" t="inlineStr">
        <x:is>
          <x:t xml:space="preserve">ORD-2025-0408</x:t>
        </x:is>
      </x:c>
      <x:c r="C641" s="17" t="n">
        <x:v>45834</x:v>
      </x:c>
      <x:c r="D641" s="4" t="inlineStr">
        <x:is>
          <x:t xml:space="preserve">CUS-0204</x:t>
        </x:is>
      </x:c>
      <x:c r="E641" s="4" t="inlineStr">
        <x:is>
          <x:t xml:space="preserve">Office Chair</x:t>
        </x:is>
      </x:c>
      <x:c r="F641" s="4" t="inlineStr">
        <x:is>
          <x:t xml:space="preserve">Furniture</x:t>
        </x:is>
      </x:c>
      <x:c r="G641" s="4" t="inlineStr">
        <x:is>
          <x:t xml:space="preserve">San Francisco</x:t>
        </x:is>
      </x:c>
      <x:c r="H641" s="18" t="n">
        <x:v>2</x:v>
      </x:c>
      <x:c r="I641" s="19" t="n">
        <x:v>247.65</x:v>
      </x:c>
      <x:c r="J641" s="20" t="n">
        <x:v>0</x:v>
      </x:c>
      <x:c r="K641" s="4" t="inlineStr">
        <x:is>
          <x:t xml:space="preserve">Debit Card</x:t>
        </x:is>
      </x:c>
      <x:c r="L641" s="19" t="n">
        <x:v>495.3</x:v>
      </x:c>
      <x:c r="M641" s="19" t="n">
        <x:v>0</x:v>
      </x:c>
      <x:c r="N641" s="19" t="n">
        <x:v>495.3</x:v>
      </x:c>
      <x:c r="O641" s="4" t="n">
        <x:f>YEAR(C641)</x:f>
        <x:v>2025</x:v>
      </x:c>
      <x:c r="P641" s="4" t="str">
        <x:f>TEXT(C641,"yyyy-mm")</x:f>
        <x:v>2025-06</x:v>
      </x:c>
      <x:c r="Q641" s="4" t="str">
        <x:f>TEXT(C641,"mmmm")</x:f>
        <x:v>June</x:v>
      </x:c>
    </x:row>
    <x:row r="642" ht="20" customHeight="1">
      <x:c r="A642" s="4" t="inlineStr">
        <x:is>
          <x:t xml:space="preserve">LINE-00647</x:t>
        </x:is>
      </x:c>
      <x:c r="B642" s="4" t="inlineStr">
        <x:is>
          <x:t xml:space="preserve">ORD-2025-0408</x:t>
        </x:is>
      </x:c>
      <x:c r="C642" s="17" t="n">
        <x:v>45834</x:v>
      </x:c>
      <x:c r="D642" s="4" t="inlineStr">
        <x:is>
          <x:t xml:space="preserve">CUS-0204</x:t>
        </x:is>
      </x:c>
      <x:c r="E642" s="4" t="inlineStr">
        <x:is>
          <x:t xml:space="preserve">Monitor</x:t>
        </x:is>
      </x:c>
      <x:c r="F642" s="4" t="inlineStr">
        <x:is>
          <x:t xml:space="preserve">Computers</x:t>
        </x:is>
      </x:c>
      <x:c r="G642" s="4" t="inlineStr">
        <x:is>
          <x:t xml:space="preserve">San Francisco</x:t>
        </x:is>
      </x:c>
      <x:c r="H642" s="18" t="n">
        <x:v>1</x:v>
      </x:c>
      <x:c r="I642" s="19" t="n">
        <x:v>275.55</x:v>
      </x:c>
      <x:c r="J642" s="20" t="n">
        <x:v>0</x:v>
      </x:c>
      <x:c r="K642" s="4" t="inlineStr">
        <x:is>
          <x:t xml:space="preserve">Debit Card</x:t>
        </x:is>
      </x:c>
      <x:c r="L642" s="19" t="n">
        <x:v>275.55</x:v>
      </x:c>
      <x:c r="M642" s="19" t="n">
        <x:v>0</x:v>
      </x:c>
      <x:c r="N642" s="19" t="n">
        <x:v>275.55</x:v>
      </x:c>
      <x:c r="O642" s="4" t="n">
        <x:f>YEAR(C642)</x:f>
        <x:v>2025</x:v>
      </x:c>
      <x:c r="P642" s="4" t="str">
        <x:f>TEXT(C642,"yyyy-mm")</x:f>
        <x:v>2025-06</x:v>
      </x:c>
      <x:c r="Q642" s="4" t="str">
        <x:f>TEXT(C642,"mmmm")</x:f>
        <x:v>June</x:v>
      </x:c>
    </x:row>
    <x:row r="643" ht="20" customHeight="1">
      <x:c r="A643" s="4" t="inlineStr">
        <x:is>
          <x:t xml:space="preserve">LINE-00648</x:t>
        </x:is>
      </x:c>
      <x:c r="B643" s="4" t="inlineStr">
        <x:is>
          <x:t xml:space="preserve">ORD-2025-0408</x:t>
        </x:is>
      </x:c>
      <x:c r="C643" s="17" t="n">
        <x:v>45834</x:v>
      </x:c>
      <x:c r="D643" s="4" t="inlineStr">
        <x:is>
          <x:t xml:space="preserve">CUS-0204</x:t>
        </x:is>
      </x:c>
      <x:c r="E643" s="4" t="inlineStr">
        <x:is>
          <x:t xml:space="preserve">Wireless Mouse</x:t>
        </x:is>
      </x:c>
      <x:c r="F643" s="4" t="inlineStr">
        <x:is>
          <x:t xml:space="preserve">Accessories</x:t>
        </x:is>
      </x:c>
      <x:c r="G643" s="4" t="inlineStr">
        <x:is>
          <x:t xml:space="preserve">San Francisco</x:t>
        </x:is>
      </x:c>
      <x:c r="H643" s="18" t="n">
        <x:v>2</x:v>
      </x:c>
      <x:c r="I643" s="19" t="n">
        <x:v>46.42</x:v>
      </x:c>
      <x:c r="J643" s="20" t="n">
        <x:v>0.1</x:v>
      </x:c>
      <x:c r="K643" s="4" t="inlineStr">
        <x:is>
          <x:t xml:space="preserve">Debit Card</x:t>
        </x:is>
      </x:c>
      <x:c r="L643" s="19" t="n">
        <x:v>92.84</x:v>
      </x:c>
      <x:c r="M643" s="19" t="n">
        <x:v>9.279999999999999</x:v>
      </x:c>
      <x:c r="N643" s="19" t="n">
        <x:v>83.56</x:v>
      </x:c>
      <x:c r="O643" s="4" t="n">
        <x:f>YEAR(C643)</x:f>
        <x:v>2025</x:v>
      </x:c>
      <x:c r="P643" s="4" t="str">
        <x:f>TEXT(C643,"yyyy-mm")</x:f>
        <x:v>2025-06</x:v>
      </x:c>
      <x:c r="Q643" s="4" t="str">
        <x:f>TEXT(C643,"mmmm")</x:f>
        <x:v>June</x:v>
      </x:c>
    </x:row>
    <x:row r="644" ht="20" customHeight="1">
      <x:c r="A644" s="4" t="inlineStr">
        <x:is>
          <x:t xml:space="preserve">LINE-00649</x:t>
        </x:is>
      </x:c>
      <x:c r="B644" s="4" t="inlineStr">
        <x:is>
          <x:t xml:space="preserve">ORD-2025-0409</x:t>
        </x:is>
      </x:c>
      <x:c r="C644" s="17" t="n">
        <x:v>45740</x:v>
      </x:c>
      <x:c r="D644" s="4" t="inlineStr">
        <x:is>
          <x:t xml:space="preserve">CUS-0200</x:t>
        </x:is>
      </x:c>
      <x:c r="E644" s="4" t="inlineStr">
        <x:is>
          <x:t xml:space="preserve">Keyboard</x:t>
        </x:is>
      </x:c>
      <x:c r="F644" s="4" t="inlineStr">
        <x:is>
          <x:t xml:space="preserve">Accessories</x:t>
        </x:is>
      </x:c>
      <x:c r="G644" s="4" t="inlineStr">
        <x:is>
          <x:t xml:space="preserve">San Francisco</x:t>
        </x:is>
      </x:c>
      <x:c r="H644" s="18" t="n">
        <x:v>4</x:v>
      </x:c>
      <x:c r="I644" s="19" t="n">
        <x:v>74.22</x:v>
      </x:c>
      <x:c r="J644" s="20" t="n">
        <x:v>0</x:v>
      </x:c>
      <x:c r="K644" s="4" t="inlineStr">
        <x:is>
          <x:t xml:space="preserve">Credit Card</x:t>
        </x:is>
      </x:c>
      <x:c r="L644" s="19" t="n">
        <x:v>296.88</x:v>
      </x:c>
      <x:c r="M644" s="19" t="n">
        <x:v>0</x:v>
      </x:c>
      <x:c r="N644" s="19" t="n">
        <x:v>296.88</x:v>
      </x:c>
      <x:c r="O644" s="4" t="n">
        <x:f>YEAR(C644)</x:f>
        <x:v>2025</x:v>
      </x:c>
      <x:c r="P644" s="4" t="str">
        <x:f>TEXT(C644,"yyyy-mm")</x:f>
        <x:v>2025-03</x:v>
      </x:c>
      <x:c r="Q644" s="4" t="str">
        <x:f>TEXT(C644,"mmmm")</x:f>
        <x:v>March</x:v>
      </x:c>
    </x:row>
    <x:row r="645" ht="20" customHeight="1">
      <x:c r="A645" s="4" t="inlineStr">
        <x:is>
          <x:t xml:space="preserve">LINE-00650</x:t>
        </x:is>
      </x:c>
      <x:c r="B645" s="4" t="inlineStr">
        <x:is>
          <x:t xml:space="preserve">ORD-2025-0409</x:t>
        </x:is>
      </x:c>
      <x:c r="C645" s="17" t="n">
        <x:v>45740</x:v>
      </x:c>
      <x:c r="D645" s="4" t="inlineStr">
        <x:is>
          <x:t xml:space="preserve">CUS-0200</x:t>
        </x:is>
      </x:c>
      <x:c r="E645" s="4" t="inlineStr">
        <x:is>
          <x:t xml:space="preserve">Bluetooth Speaker</x:t>
        </x:is>
      </x:c>
      <x:c r="F645" s="4" t="inlineStr">
        <x:is>
          <x:t xml:space="preserve">Audio</x:t>
        </x:is>
      </x:c>
      <x:c r="G645" s="4" t="inlineStr">
        <x:is>
          <x:t xml:space="preserve">San Francisco</x:t>
        </x:is>
      </x:c>
      <x:c r="H645" s="18" t="n">
        <x:v>1</x:v>
      </x:c>
      <x:c r="I645" s="19" t="n">
        <x:v>102.61</x:v>
      </x:c>
      <x:c r="J645" s="20" t="n">
        <x:v>0</x:v>
      </x:c>
      <x:c r="K645" s="4" t="inlineStr">
        <x:is>
          <x:t xml:space="preserve">Credit Card</x:t>
        </x:is>
      </x:c>
      <x:c r="L645" s="19" t="n">
        <x:v>102.61</x:v>
      </x:c>
      <x:c r="M645" s="19" t="n">
        <x:v>0</x:v>
      </x:c>
      <x:c r="N645" s="19" t="n">
        <x:v>102.61</x:v>
      </x:c>
      <x:c r="O645" s="4" t="n">
        <x:f>YEAR(C645)</x:f>
        <x:v>2025</x:v>
      </x:c>
      <x:c r="P645" s="4" t="str">
        <x:f>TEXT(C645,"yyyy-mm")</x:f>
        <x:v>2025-03</x:v>
      </x:c>
      <x:c r="Q645" s="4" t="str">
        <x:f>TEXT(C645,"mmmm")</x:f>
        <x:v>March</x:v>
      </x:c>
    </x:row>
    <x:row r="646" ht="20" customHeight="1">
      <x:c r="A646" s="4" t="inlineStr">
        <x:is>
          <x:t xml:space="preserve">LINE-00651</x:t>
        </x:is>
      </x:c>
      <x:c r="B646" s="4" t="inlineStr">
        <x:is>
          <x:t xml:space="preserve">ORD-2025-0410</x:t>
        </x:is>
      </x:c>
      <x:c r="C646" s="17" t="n">
        <x:v>45854</x:v>
      </x:c>
      <x:c r="D646" s="4" t="inlineStr">
        <x:is>
          <x:t xml:space="preserve">CUS-0206</x:t>
        </x:is>
      </x:c>
      <x:c r="E646" s="4" t="inlineStr">
        <x:is>
          <x:t xml:space="preserve">USB Flash Drive</x:t>
        </x:is>
      </x:c>
      <x:c r="F646" s="4" t="inlineStr">
        <x:is>
          <x:t xml:space="preserve">Storage</x:t>
        </x:is>
      </x:c>
      <x:c r="G646" s="4" t="inlineStr">
        <x:is>
          <x:t xml:space="preserve">Boston</x:t>
        </x:is>
      </x:c>
      <x:c r="H646" s="18" t="n">
        <x:v>4</x:v>
      </x:c>
      <x:c r="I646" s="19" t="n">
        <x:v>31.54</x:v>
      </x:c>
      <x:c r="J646" s="20" t="n">
        <x:v>0.05</x:v>
      </x:c>
      <x:c r="K646" s="4" t="inlineStr">
        <x:is>
          <x:t xml:space="preserve">PayPal</x:t>
        </x:is>
      </x:c>
      <x:c r="L646" s="19" t="n">
        <x:v>126.16</x:v>
      </x:c>
      <x:c r="M646" s="19" t="n">
        <x:v>6.31</x:v>
      </x:c>
      <x:c r="N646" s="19" t="n">
        <x:v>119.85</x:v>
      </x:c>
      <x:c r="O646" s="4" t="n">
        <x:f>YEAR(C646)</x:f>
        <x:v>2025</x:v>
      </x:c>
      <x:c r="P646" s="4" t="str">
        <x:f>TEXT(C646,"yyyy-mm")</x:f>
        <x:v>2025-07</x:v>
      </x:c>
      <x:c r="Q646" s="4" t="str">
        <x:f>TEXT(C646,"mmmm")</x:f>
        <x:v>July</x:v>
      </x:c>
    </x:row>
    <x:row r="647" ht="20" customHeight="1">
      <x:c r="A647" s="4" t="inlineStr">
        <x:is>
          <x:t xml:space="preserve">LINE-00652</x:t>
        </x:is>
      </x:c>
      <x:c r="B647" s="4" t="inlineStr">
        <x:is>
          <x:t xml:space="preserve">ORD-2025-0410</x:t>
        </x:is>
      </x:c>
      <x:c r="C647" s="17" t="n">
        <x:v>45854</x:v>
      </x:c>
      <x:c r="D647" s="4" t="inlineStr">
        <x:is>
          <x:t xml:space="preserve">CUS-0206</x:t>
        </x:is>
      </x:c>
      <x:c r="E647" s="4" t="inlineStr">
        <x:is>
          <x:t xml:space="preserve">Laptop</x:t>
        </x:is>
      </x:c>
      <x:c r="F647" s="4" t="inlineStr">
        <x:is>
          <x:t xml:space="preserve">Computers</x:t>
        </x:is>
      </x:c>
      <x:c r="G647" s="4" t="inlineStr">
        <x:is>
          <x:t xml:space="preserve">Boston</x:t>
        </x:is>
      </x:c>
      <x:c r="H647" s="18" t="n">
        <x:v>2</x:v>
      </x:c>
      <x:c r="I647" s="19" t="n">
        <x:v>904.66</x:v>
      </x:c>
      <x:c r="J647" s="20" t="n">
        <x:v>0.05</x:v>
      </x:c>
      <x:c r="K647" s="4" t="inlineStr">
        <x:is>
          <x:t xml:space="preserve">PayPal</x:t>
        </x:is>
      </x:c>
      <x:c r="L647" s="19" t="n">
        <x:v>1809.32</x:v>
      </x:c>
      <x:c r="M647" s="19" t="n">
        <x:v>90.47</x:v>
      </x:c>
      <x:c r="N647" s="19" t="n">
        <x:v>1718.85</x:v>
      </x:c>
      <x:c r="O647" s="4" t="n">
        <x:f>YEAR(C647)</x:f>
        <x:v>2025</x:v>
      </x:c>
      <x:c r="P647" s="4" t="str">
        <x:f>TEXT(C647,"yyyy-mm")</x:f>
        <x:v>2025-07</x:v>
      </x:c>
      <x:c r="Q647" s="4" t="str">
        <x:f>TEXT(C647,"mmmm")</x:f>
        <x:v>July</x:v>
      </x:c>
    </x:row>
    <x:row r="648" ht="20" customHeight="1">
      <x:c r="A648" s="4" t="inlineStr">
        <x:is>
          <x:t xml:space="preserve">LINE-00653</x:t>
        </x:is>
      </x:c>
      <x:c r="B648" s="4" t="inlineStr">
        <x:is>
          <x:t xml:space="preserve">ORD-2025-0411</x:t>
        </x:is>
      </x:c>
      <x:c r="C648" s="17" t="n">
        <x:v>45923</x:v>
      </x:c>
      <x:c r="D648" s="4" t="inlineStr">
        <x:is>
          <x:t xml:space="preserve">CUS-0147</x:t>
        </x:is>
      </x:c>
      <x:c r="E648" s="4" t="inlineStr">
        <x:is>
          <x:t xml:space="preserve">External SSD</x:t>
        </x:is>
      </x:c>
      <x:c r="F648" s="4" t="inlineStr">
        <x:is>
          <x:t xml:space="preserve">Storage</x:t>
        </x:is>
      </x:c>
      <x:c r="G648" s="4" t="inlineStr">
        <x:is>
          <x:t xml:space="preserve">Chicago</x:t>
        </x:is>
      </x:c>
      <x:c r="H648" s="18" t="n">
        <x:v>3</x:v>
      </x:c>
      <x:c r="I648" s="19" t="n">
        <x:v>152.76</x:v>
      </x:c>
      <x:c r="J648" s="20" t="n">
        <x:v>0.05</x:v>
      </x:c>
      <x:c r="K648" s="4" t="inlineStr">
        <x:is>
          <x:t xml:space="preserve">Credit Card</x:t>
        </x:is>
      </x:c>
      <x:c r="L648" s="19" t="n">
        <x:v>458.28</x:v>
      </x:c>
      <x:c r="M648" s="19" t="n">
        <x:v>22.91</x:v>
      </x:c>
      <x:c r="N648" s="19" t="n">
        <x:v>435.37</x:v>
      </x:c>
      <x:c r="O648" s="4" t="n">
        <x:f>YEAR(C648)</x:f>
        <x:v>2025</x:v>
      </x:c>
      <x:c r="P648" s="4" t="str">
        <x:f>TEXT(C648,"yyyy-mm")</x:f>
        <x:v>2025-09</x:v>
      </x:c>
      <x:c r="Q648" s="4" t="str">
        <x:f>TEXT(C648,"mmmm")</x:f>
        <x:v>September</x:v>
      </x:c>
    </x:row>
    <x:row r="649" ht="20" customHeight="1">
      <x:c r="A649" s="4" t="inlineStr">
        <x:is>
          <x:t xml:space="preserve">LINE-00654</x:t>
        </x:is>
      </x:c>
      <x:c r="B649" s="4" t="inlineStr">
        <x:is>
          <x:t xml:space="preserve">ORD-2025-0411</x:t>
        </x:is>
      </x:c>
      <x:c r="C649" s="17" t="n">
        <x:v>45923</x:v>
      </x:c>
      <x:c r="D649" s="4" t="inlineStr">
        <x:is>
          <x:t xml:space="preserve">CUS-0147</x:t>
        </x:is>
      </x:c>
      <x:c r="E649" s="4" t="inlineStr">
        <x:is>
          <x:t xml:space="preserve">Desk Lamp</x:t>
        </x:is>
      </x:c>
      <x:c r="F649" s="4" t="inlineStr">
        <x:is>
          <x:t xml:space="preserve">Furniture</x:t>
        </x:is>
      </x:c>
      <x:c r="G649" s="4" t="inlineStr">
        <x:is>
          <x:t xml:space="preserve">Chicago</x:t>
        </x:is>
      </x:c>
      <x:c r="H649" s="18" t="n">
        <x:v>1</x:v>
      </x:c>
      <x:c r="I649" s="19" t="n">
        <x:v>56.36</x:v>
      </x:c>
      <x:c r="J649" s="20" t="n">
        <x:v>0.2</x:v>
      </x:c>
      <x:c r="K649" s="4" t="inlineStr">
        <x:is>
          <x:t xml:space="preserve">Credit Card</x:t>
        </x:is>
      </x:c>
      <x:c r="L649" s="19" t="n">
        <x:v>56.36</x:v>
      </x:c>
      <x:c r="M649" s="19" t="n">
        <x:v>11.27</x:v>
      </x:c>
      <x:c r="N649" s="19" t="n">
        <x:v>45.09</x:v>
      </x:c>
      <x:c r="O649" s="4" t="n">
        <x:f>YEAR(C649)</x:f>
        <x:v>2025</x:v>
      </x:c>
      <x:c r="P649" s="4" t="str">
        <x:f>TEXT(C649,"yyyy-mm")</x:f>
        <x:v>2025-09</x:v>
      </x:c>
      <x:c r="Q649" s="4" t="str">
        <x:f>TEXT(C649,"mmmm")</x:f>
        <x:v>September</x:v>
      </x:c>
    </x:row>
    <x:row r="650" ht="20" customHeight="1">
      <x:c r="A650" s="4" t="inlineStr">
        <x:is>
          <x:t xml:space="preserve">LINE-00655</x:t>
        </x:is>
      </x:c>
      <x:c r="B650" s="4" t="inlineStr">
        <x:is>
          <x:t xml:space="preserve">ORD-2025-0412</x:t>
        </x:is>
      </x:c>
      <x:c r="C650" s="17" t="n">
        <x:v>45702</x:v>
      </x:c>
      <x:c r="D650" s="4" t="inlineStr">
        <x:is>
          <x:t xml:space="preserve">CUS-0142</x:t>
        </x:is>
      </x:c>
      <x:c r="E650" s="4" t="inlineStr">
        <x:is>
          <x:t xml:space="preserve">Headphones</x:t>
        </x:is>
      </x:c>
      <x:c r="F650" s="4" t="inlineStr">
        <x:is>
          <x:t xml:space="preserve">Audio</x:t>
        </x:is>
      </x:c>
      <x:c r="G650" s="4" t="inlineStr">
        <x:is>
          <x:t xml:space="preserve">Seattle</x:t>
        </x:is>
      </x:c>
      <x:c r="H650" s="18" t="n">
        <x:v>1</x:v>
      </x:c>
      <x:c r="I650" s="19" t="n">
        <x:v>119.92</x:v>
      </x:c>
      <x:c r="J650" s="20" t="n">
        <x:v>0.1</x:v>
      </x:c>
      <x:c r="K650" s="4" t="inlineStr">
        <x:is>
          <x:t xml:space="preserve">PayPal</x:t>
        </x:is>
      </x:c>
      <x:c r="L650" s="19" t="n">
        <x:v>119.92</x:v>
      </x:c>
      <x:c r="M650" s="19" t="n">
        <x:v>11.99</x:v>
      </x:c>
      <x:c r="N650" s="19" t="n">
        <x:v>107.93</x:v>
      </x:c>
      <x:c r="O650" s="4" t="n">
        <x:f>YEAR(C650)</x:f>
        <x:v>2025</x:v>
      </x:c>
      <x:c r="P650" s="4" t="str">
        <x:f>TEXT(C650,"yyyy-mm")</x:f>
        <x:v>2025-02</x:v>
      </x:c>
      <x:c r="Q650" s="4" t="str">
        <x:f>TEXT(C650,"mmmm")</x:f>
        <x:v>February</x:v>
      </x:c>
    </x:row>
    <x:row r="651" ht="20" customHeight="1">
      <x:c r="A651" s="4" t="inlineStr">
        <x:is>
          <x:t xml:space="preserve">LINE-00656</x:t>
        </x:is>
      </x:c>
      <x:c r="B651" s="4" t="inlineStr">
        <x:is>
          <x:t xml:space="preserve">ORD-2025-0412</x:t>
        </x:is>
      </x:c>
      <x:c r="C651" s="17" t="n">
        <x:v>45702</x:v>
      </x:c>
      <x:c r="D651" s="4" t="inlineStr">
        <x:is>
          <x:t xml:space="preserve">CUS-0142</x:t>
        </x:is>
      </x:c>
      <x:c r="E651" s="4" t="inlineStr">
        <x:is>
          <x:t xml:space="preserve">USB Flash Drive</x:t>
        </x:is>
      </x:c>
      <x:c r="F651" s="4" t="inlineStr">
        <x:is>
          <x:t xml:space="preserve">Storage</x:t>
        </x:is>
      </x:c>
      <x:c r="G651" s="4" t="inlineStr">
        <x:is>
          <x:t xml:space="preserve">Seattle</x:t>
        </x:is>
      </x:c>
      <x:c r="H651" s="18" t="n">
        <x:v>4</x:v>
      </x:c>
      <x:c r="I651" s="19" t="n">
        <x:v>30.24</x:v>
      </x:c>
      <x:c r="J651" s="20" t="n">
        <x:v>0.1</x:v>
      </x:c>
      <x:c r="K651" s="4" t="inlineStr">
        <x:is>
          <x:t xml:space="preserve">PayPal</x:t>
        </x:is>
      </x:c>
      <x:c r="L651" s="19" t="n">
        <x:v>120.96</x:v>
      </x:c>
      <x:c r="M651" s="19" t="n">
        <x:v>12.1</x:v>
      </x:c>
      <x:c r="N651" s="19" t="n">
        <x:v>108.86</x:v>
      </x:c>
      <x:c r="O651" s="4" t="n">
        <x:f>YEAR(C651)</x:f>
        <x:v>2025</x:v>
      </x:c>
      <x:c r="P651" s="4" t="str">
        <x:f>TEXT(C651,"yyyy-mm")</x:f>
        <x:v>2025-02</x:v>
      </x:c>
      <x:c r="Q651" s="4" t="str">
        <x:f>TEXT(C651,"mmmm")</x:f>
        <x:v>February</x:v>
      </x:c>
    </x:row>
    <x:row r="652" ht="20" customHeight="1">
      <x:c r="A652" s="4" t="inlineStr">
        <x:is>
          <x:t xml:space="preserve">LINE-00657</x:t>
        </x:is>
      </x:c>
      <x:c r="B652" s="4" t="inlineStr">
        <x:is>
          <x:t xml:space="preserve">ORD-2025-0413</x:t>
        </x:is>
      </x:c>
      <x:c r="C652" s="17" t="n">
        <x:v>45944</x:v>
      </x:c>
      <x:c r="D652" s="4" t="inlineStr">
        <x:is>
          <x:t xml:space="preserve">CUS-0299</x:t>
        </x:is>
      </x:c>
      <x:c r="E652" s="4" t="inlineStr">
        <x:is>
          <x:t xml:space="preserve">USB-C Hub</x:t>
        </x:is>
      </x:c>
      <x:c r="F652" s="4" t="inlineStr">
        <x:is>
          <x:t xml:space="preserve">Accessories</x:t>
        </x:is>
      </x:c>
      <x:c r="G652" s="4" t="inlineStr">
        <x:is>
          <x:t xml:space="preserve">Austin</x:t>
        </x:is>
      </x:c>
      <x:c r="H652" s="18" t="n">
        <x:v>5</x:v>
      </x:c>
      <x:c r="I652" s="19" t="n">
        <x:v>64.53</x:v>
      </x:c>
      <x:c r="J652" s="20" t="n">
        <x:v>0</x:v>
      </x:c>
      <x:c r="K652" s="4" t="inlineStr">
        <x:is>
          <x:t xml:space="preserve">PayPal</x:t>
        </x:is>
      </x:c>
      <x:c r="L652" s="19" t="n">
        <x:v>322.65</x:v>
      </x:c>
      <x:c r="M652" s="19" t="n">
        <x:v>0</x:v>
      </x:c>
      <x:c r="N652" s="19" t="n">
        <x:v>322.65</x:v>
      </x:c>
      <x:c r="O652" s="4" t="n">
        <x:f>YEAR(C652)</x:f>
        <x:v>2025</x:v>
      </x:c>
      <x:c r="P652" s="4" t="str">
        <x:f>TEXT(C652,"yyyy-mm")</x:f>
        <x:v>2025-10</x:v>
      </x:c>
      <x:c r="Q652" s="4" t="str">
        <x:f>TEXT(C652,"mmmm")</x:f>
        <x:v>October</x:v>
      </x:c>
    </x:row>
    <x:row r="653" ht="20" customHeight="1">
      <x:c r="A653" s="4" t="inlineStr">
        <x:is>
          <x:t xml:space="preserve">LINE-00658</x:t>
        </x:is>
      </x:c>
      <x:c r="B653" s="4" t="inlineStr">
        <x:is>
          <x:t xml:space="preserve">ORD-2025-0413</x:t>
        </x:is>
      </x:c>
      <x:c r="C653" s="17" t="n">
        <x:v>45944</x:v>
      </x:c>
      <x:c r="D653" s="4" t="inlineStr">
        <x:is>
          <x:t xml:space="preserve">CUS-0299</x:t>
        </x:is>
      </x:c>
      <x:c r="E653" s="4" t="inlineStr">
        <x:is>
          <x:t xml:space="preserve">Wireless Mouse</x:t>
        </x:is>
      </x:c>
      <x:c r="F653" s="4" t="inlineStr">
        <x:is>
          <x:t xml:space="preserve">Accessories</x:t>
        </x:is>
      </x:c>
      <x:c r="G653" s="4" t="inlineStr">
        <x:is>
          <x:t xml:space="preserve">Austin</x:t>
        </x:is>
      </x:c>
      <x:c r="H653" s="18" t="n">
        <x:v>1</x:v>
      </x:c>
      <x:c r="I653" s="19" t="n">
        <x:v>42.66</x:v>
      </x:c>
      <x:c r="J653" s="20" t="n">
        <x:v>0.05</x:v>
      </x:c>
      <x:c r="K653" s="4" t="inlineStr">
        <x:is>
          <x:t xml:space="preserve">PayPal</x:t>
        </x:is>
      </x:c>
      <x:c r="L653" s="19" t="n">
        <x:v>42.66</x:v>
      </x:c>
      <x:c r="M653" s="19" t="n">
        <x:v>2.13</x:v>
      </x:c>
      <x:c r="N653" s="19" t="n">
        <x:v>40.53</x:v>
      </x:c>
      <x:c r="O653" s="4" t="n">
        <x:f>YEAR(C653)</x:f>
        <x:v>2025</x:v>
      </x:c>
      <x:c r="P653" s="4" t="str">
        <x:f>TEXT(C653,"yyyy-mm")</x:f>
        <x:v>2025-10</x:v>
      </x:c>
      <x:c r="Q653" s="4" t="str">
        <x:f>TEXT(C653,"mmmm")</x:f>
        <x:v>October</x:v>
      </x:c>
    </x:row>
    <x:row r="654" ht="20" customHeight="1">
      <x:c r="A654" s="4" t="inlineStr">
        <x:is>
          <x:t xml:space="preserve">LINE-00659</x:t>
        </x:is>
      </x:c>
      <x:c r="B654" s="4" t="inlineStr">
        <x:is>
          <x:t xml:space="preserve">ORD-2025-0413</x:t>
        </x:is>
      </x:c>
      <x:c r="C654" s="17" t="n">
        <x:v>45944</x:v>
      </x:c>
      <x:c r="D654" s="4" t="inlineStr">
        <x:is>
          <x:t xml:space="preserve">CUS-0299</x:t>
        </x:is>
      </x:c>
      <x:c r="E654" s="4" t="inlineStr">
        <x:is>
          <x:t xml:space="preserve">USB Flash Drive</x:t>
        </x:is>
      </x:c>
      <x:c r="F654" s="4" t="inlineStr">
        <x:is>
          <x:t xml:space="preserve">Storage</x:t>
        </x:is>
      </x:c>
      <x:c r="G654" s="4" t="inlineStr">
        <x:is>
          <x:t xml:space="preserve">Austin</x:t>
        </x:is>
      </x:c>
      <x:c r="H654" s="18" t="n">
        <x:v>2</x:v>
      </x:c>
      <x:c r="I654" s="19" t="n">
        <x:v>30.02</x:v>
      </x:c>
      <x:c r="J654" s="20" t="n">
        <x:v>0</x:v>
      </x:c>
      <x:c r="K654" s="4" t="inlineStr">
        <x:is>
          <x:t xml:space="preserve">PayPal</x:t>
        </x:is>
      </x:c>
      <x:c r="L654" s="19" t="n">
        <x:v>60.04</x:v>
      </x:c>
      <x:c r="M654" s="19" t="n">
        <x:v>0</x:v>
      </x:c>
      <x:c r="N654" s="19" t="n">
        <x:v>60.04</x:v>
      </x:c>
      <x:c r="O654" s="4" t="n">
        <x:f>YEAR(C654)</x:f>
        <x:v>2025</x:v>
      </x:c>
      <x:c r="P654" s="4" t="str">
        <x:f>TEXT(C654,"yyyy-mm")</x:f>
        <x:v>2025-10</x:v>
      </x:c>
      <x:c r="Q654" s="4" t="str">
        <x:f>TEXT(C654,"mmmm")</x:f>
        <x:v>October</x:v>
      </x:c>
    </x:row>
    <x:row r="655" ht="20" customHeight="1">
      <x:c r="A655" s="4" t="inlineStr">
        <x:is>
          <x:t xml:space="preserve">LINE-00660</x:t>
        </x:is>
      </x:c>
      <x:c r="B655" s="4" t="inlineStr">
        <x:is>
          <x:t xml:space="preserve">ORD-2025-0414</x:t>
        </x:is>
      </x:c>
      <x:c r="C655" s="17" t="n">
        <x:v>45717</x:v>
      </x:c>
      <x:c r="D655" s="4" t="inlineStr">
        <x:is>
          <x:t xml:space="preserve">CUS-0263</x:t>
        </x:is>
      </x:c>
      <x:c r="E655" s="4" t="inlineStr">
        <x:is>
          <x:t xml:space="preserve">Headphones</x:t>
        </x:is>
      </x:c>
      <x:c r="F655" s="4" t="inlineStr">
        <x:is>
          <x:t xml:space="preserve">Audio</x:t>
        </x:is>
      </x:c>
      <x:c r="G655" s="4" t="inlineStr">
        <x:is>
          <x:t xml:space="preserve">Austin</x:t>
        </x:is>
      </x:c>
      <x:c r="H655" s="18" t="n">
        <x:v>2</x:v>
      </x:c>
      <x:c r="I655" s="19" t="n">
        <x:v>124.66</x:v>
      </x:c>
      <x:c r="J655" s="20" t="n">
        <x:v>0</x:v>
      </x:c>
      <x:c r="K655" s="4" t="inlineStr">
        <x:is>
          <x:t xml:space="preserve">PayPal</x:t>
        </x:is>
      </x:c>
      <x:c r="L655" s="19" t="n">
        <x:v>249.32</x:v>
      </x:c>
      <x:c r="M655" s="19" t="n">
        <x:v>0</x:v>
      </x:c>
      <x:c r="N655" s="19" t="n">
        <x:v>249.32</x:v>
      </x:c>
      <x:c r="O655" s="4" t="n">
        <x:f>YEAR(C655)</x:f>
        <x:v>2025</x:v>
      </x:c>
      <x:c r="P655" s="4" t="str">
        <x:f>TEXT(C655,"yyyy-mm")</x:f>
        <x:v>2025-03</x:v>
      </x:c>
      <x:c r="Q655" s="4" t="str">
        <x:f>TEXT(C655,"mmmm")</x:f>
        <x:v>March</x:v>
      </x:c>
    </x:row>
    <x:row r="656" ht="20" customHeight="1">
      <x:c r="A656" s="4" t="inlineStr">
        <x:is>
          <x:t xml:space="preserve">LINE-00661</x:t>
        </x:is>
      </x:c>
      <x:c r="B656" s="4" t="inlineStr">
        <x:is>
          <x:t xml:space="preserve">ORD-2025-0414</x:t>
        </x:is>
      </x:c>
      <x:c r="C656" s="17" t="n">
        <x:v>45717</x:v>
      </x:c>
      <x:c r="D656" s="4" t="inlineStr">
        <x:is>
          <x:t xml:space="preserve">CUS-0263</x:t>
        </x:is>
      </x:c>
      <x:c r="E656" s="4" t="inlineStr">
        <x:is>
          <x:t xml:space="preserve">USB Flash Drive</x:t>
        </x:is>
      </x:c>
      <x:c r="F656" s="4" t="inlineStr">
        <x:is>
          <x:t xml:space="preserve">Storage</x:t>
        </x:is>
      </x:c>
      <x:c r="G656" s="4" t="inlineStr">
        <x:is>
          <x:t xml:space="preserve">Austin</x:t>
        </x:is>
      </x:c>
      <x:c r="H656" s="18" t="n">
        <x:v>3</x:v>
      </x:c>
      <x:c r="I656" s="19" t="n">
        <x:v>30.87</x:v>
      </x:c>
      <x:c r="J656" s="20" t="n">
        <x:v>0.15</x:v>
      </x:c>
      <x:c r="K656" s="4" t="inlineStr">
        <x:is>
          <x:t xml:space="preserve">PayPal</x:t>
        </x:is>
      </x:c>
      <x:c r="L656" s="19" t="n">
        <x:v>92.61</x:v>
      </x:c>
      <x:c r="M656" s="19" t="n">
        <x:v>13.89</x:v>
      </x:c>
      <x:c r="N656" s="19" t="n">
        <x:v>78.72</x:v>
      </x:c>
      <x:c r="O656" s="4" t="n">
        <x:f>YEAR(C656)</x:f>
        <x:v>2025</x:v>
      </x:c>
      <x:c r="P656" s="4" t="str">
        <x:f>TEXT(C656,"yyyy-mm")</x:f>
        <x:v>2025-03</x:v>
      </x:c>
      <x:c r="Q656" s="4" t="str">
        <x:f>TEXT(C656,"mmmm")</x:f>
        <x:v>March</x:v>
      </x:c>
    </x:row>
    <x:row r="657" ht="20" customHeight="1">
      <x:c r="A657" s="4" t="inlineStr">
        <x:is>
          <x:t xml:space="preserve">LINE-00662</x:t>
        </x:is>
      </x:c>
      <x:c r="B657" s="4" t="inlineStr">
        <x:is>
          <x:t xml:space="preserve">ORD-2025-0415</x:t>
        </x:is>
      </x:c>
      <x:c r="C657" s="17" t="n">
        <x:v>45672</x:v>
      </x:c>
      <x:c r="D657" s="4" t="inlineStr">
        <x:is>
          <x:t xml:space="preserve">CUS-0247</x:t>
        </x:is>
      </x:c>
      <x:c r="E657" s="4" t="inlineStr">
        <x:is>
          <x:t xml:space="preserve">Office Chair</x:t>
        </x:is>
      </x:c>
      <x:c r="F657" s="4" t="inlineStr">
        <x:is>
          <x:t xml:space="preserve">Furniture</x:t>
        </x:is>
      </x:c>
      <x:c r="G657" s="4" t="inlineStr">
        <x:is>
          <x:t xml:space="preserve">New York</x:t>
        </x:is>
      </x:c>
      <x:c r="H657" s="18" t="n">
        <x:v>3</x:v>
      </x:c>
      <x:c r="I657" s="19" t="n">
        <x:v>229.26</x:v>
      </x:c>
      <x:c r="J657" s="20" t="n">
        <x:v>0.1</x:v>
      </x:c>
      <x:c r="K657" s="4" t="inlineStr">
        <x:is>
          <x:t xml:space="preserve">Unknown</x:t>
        </x:is>
      </x:c>
      <x:c r="L657" s="19" t="n">
        <x:v>687.78</x:v>
      </x:c>
      <x:c r="M657" s="19" t="n">
        <x:v>68.78</x:v>
      </x:c>
      <x:c r="N657" s="19" t="n">
        <x:v>619</x:v>
      </x:c>
      <x:c r="O657" s="4" t="n">
        <x:f>YEAR(C657)</x:f>
        <x:v>2025</x:v>
      </x:c>
      <x:c r="P657" s="4" t="str">
        <x:f>TEXT(C657,"yyyy-mm")</x:f>
        <x:v>2025-01</x:v>
      </x:c>
      <x:c r="Q657" s="4" t="str">
        <x:f>TEXT(C657,"mmmm")</x:f>
        <x:v>January</x:v>
      </x:c>
    </x:row>
    <x:row r="658" ht="20" customHeight="1">
      <x:c r="A658" s="4" t="inlineStr">
        <x:is>
          <x:t xml:space="preserve">LINE-00663</x:t>
        </x:is>
      </x:c>
      <x:c r="B658" s="4" t="inlineStr">
        <x:is>
          <x:t xml:space="preserve">ORD-2025-0416</x:t>
        </x:is>
      </x:c>
      <x:c r="C658" s="17" t="n">
        <x:v>45819</x:v>
      </x:c>
      <x:c r="D658" s="4" t="inlineStr">
        <x:is>
          <x:t xml:space="preserve">CUS-0212</x:t>
        </x:is>
      </x:c>
      <x:c r="E658" s="4" t="inlineStr">
        <x:is>
          <x:t xml:space="preserve">USB-C Hub</x:t>
        </x:is>
      </x:c>
      <x:c r="F658" s="4" t="inlineStr">
        <x:is>
          <x:t xml:space="preserve">Accessories</x:t>
        </x:is>
      </x:c>
      <x:c r="G658" s="4" t="inlineStr">
        <x:is>
          <x:t xml:space="preserve">Austin</x:t>
        </x:is>
      </x:c>
      <x:c r="H658" s="18" t="n">
        <x:v>1</x:v>
      </x:c>
      <x:c r="I658" s="19" t="n">
        <x:v>63.95</x:v>
      </x:c>
      <x:c r="J658" s="20" t="n">
        <x:v>0.1</x:v>
      </x:c>
      <x:c r="K658" s="4" t="inlineStr">
        <x:is>
          <x:t xml:space="preserve">Credit Card</x:t>
        </x:is>
      </x:c>
      <x:c r="L658" s="19" t="n">
        <x:v>63.95</x:v>
      </x:c>
      <x:c r="M658" s="19" t="n">
        <x:v>6.4</x:v>
      </x:c>
      <x:c r="N658" s="19" t="n">
        <x:v>57.55</x:v>
      </x:c>
      <x:c r="O658" s="4" t="n">
        <x:f>YEAR(C658)</x:f>
        <x:v>2025</x:v>
      </x:c>
      <x:c r="P658" s="4" t="str">
        <x:f>TEXT(C658,"yyyy-mm")</x:f>
        <x:v>2025-06</x:v>
      </x:c>
      <x:c r="Q658" s="4" t="str">
        <x:f>TEXT(C658,"mmmm")</x:f>
        <x:v>June</x:v>
      </x:c>
    </x:row>
    <x:row r="659" ht="20" customHeight="1">
      <x:c r="A659" s="4" t="inlineStr">
        <x:is>
          <x:t xml:space="preserve">LINE-00664</x:t>
        </x:is>
      </x:c>
      <x:c r="B659" s="4" t="inlineStr">
        <x:is>
          <x:t xml:space="preserve">ORD-2025-0416</x:t>
        </x:is>
      </x:c>
      <x:c r="C659" s="17" t="n">
        <x:v>45819</x:v>
      </x:c>
      <x:c r="D659" s="4" t="inlineStr">
        <x:is>
          <x:t xml:space="preserve">CUS-0212</x:t>
        </x:is>
      </x:c>
      <x:c r="E659" s="4" t="inlineStr">
        <x:is>
          <x:t xml:space="preserve">Wireless Mouse</x:t>
        </x:is>
      </x:c>
      <x:c r="F659" s="4" t="inlineStr">
        <x:is>
          <x:t xml:space="preserve">Accessories</x:t>
        </x:is>
      </x:c>
      <x:c r="G659" s="4" t="inlineStr">
        <x:is>
          <x:t xml:space="preserve">Austin</x:t>
        </x:is>
      </x:c>
      <x:c r="H659" s="18" t="n">
        <x:v>1</x:v>
      </x:c>
      <x:c r="I659" s="19" t="n">
        <x:v>45.39</x:v>
      </x:c>
      <x:c r="J659" s="20" t="n">
        <x:v>0</x:v>
      </x:c>
      <x:c r="K659" s="4" t="inlineStr">
        <x:is>
          <x:t xml:space="preserve">Credit Card</x:t>
        </x:is>
      </x:c>
      <x:c r="L659" s="19" t="n">
        <x:v>45.39</x:v>
      </x:c>
      <x:c r="M659" s="19" t="n">
        <x:v>0</x:v>
      </x:c>
      <x:c r="N659" s="19" t="n">
        <x:v>45.39</x:v>
      </x:c>
      <x:c r="O659" s="4" t="n">
        <x:f>YEAR(C659)</x:f>
        <x:v>2025</x:v>
      </x:c>
      <x:c r="P659" s="4" t="str">
        <x:f>TEXT(C659,"yyyy-mm")</x:f>
        <x:v>2025-06</x:v>
      </x:c>
      <x:c r="Q659" s="4" t="str">
        <x:f>TEXT(C659,"mmmm")</x:f>
        <x:v>June</x:v>
      </x:c>
    </x:row>
    <x:row r="660" ht="20" customHeight="1">
      <x:c r="A660" s="4" t="inlineStr">
        <x:is>
          <x:t xml:space="preserve">LINE-00665</x:t>
        </x:is>
      </x:c>
      <x:c r="B660" s="4" t="inlineStr">
        <x:is>
          <x:t xml:space="preserve">ORD-2025-0417</x:t>
        </x:is>
      </x:c>
      <x:c r="C660" s="17" t="n">
        <x:v>45818</x:v>
      </x:c>
      <x:c r="D660" s="4" t="inlineStr">
        <x:is>
          <x:t xml:space="preserve">CUS-0182</x:t>
        </x:is>
      </x:c>
      <x:c r="E660" s="4" t="inlineStr">
        <x:is>
          <x:t xml:space="preserve">Desk Lamp</x:t>
        </x:is>
      </x:c>
      <x:c r="F660" s="4" t="inlineStr">
        <x:is>
          <x:t xml:space="preserve">Furniture</x:t>
        </x:is>
      </x:c>
      <x:c r="G660" s="4" t="inlineStr">
        <x:is>
          <x:t xml:space="preserve">Chicago</x:t>
        </x:is>
      </x:c>
      <x:c r="H660" s="18" t="n">
        <x:v>3</x:v>
      </x:c>
      <x:c r="I660" s="19" t="n">
        <x:v>58.61</x:v>
      </x:c>
      <x:c r="J660" s="20" t="n">
        <x:v>0.05</x:v>
      </x:c>
      <x:c r="K660" s="4" t="inlineStr">
        <x:is>
          <x:t xml:space="preserve">PayPal</x:t>
        </x:is>
      </x:c>
      <x:c r="L660" s="19" t="n">
        <x:v>175.83</x:v>
      </x:c>
      <x:c r="M660" s="19" t="n">
        <x:v>8.789999999999999</x:v>
      </x:c>
      <x:c r="N660" s="19" t="n">
        <x:v>167.04</x:v>
      </x:c>
      <x:c r="O660" s="4" t="n">
        <x:f>YEAR(C660)</x:f>
        <x:v>2025</x:v>
      </x:c>
      <x:c r="P660" s="4" t="str">
        <x:f>TEXT(C660,"yyyy-mm")</x:f>
        <x:v>2025-06</x:v>
      </x:c>
      <x:c r="Q660" s="4" t="str">
        <x:f>TEXT(C660,"mmmm")</x:f>
        <x:v>June</x:v>
      </x:c>
    </x:row>
    <x:row r="661" ht="20" customHeight="1">
      <x:c r="A661" s="4" t="inlineStr">
        <x:is>
          <x:t xml:space="preserve">LINE-00666</x:t>
        </x:is>
      </x:c>
      <x:c r="B661" s="4" t="inlineStr">
        <x:is>
          <x:t xml:space="preserve">ORD-2025-0418</x:t>
        </x:is>
      </x:c>
      <x:c r="C661" s="17" t="n">
        <x:v>45760</x:v>
      </x:c>
      <x:c r="D661" s="4" t="inlineStr">
        <x:is>
          <x:t xml:space="preserve">CUS-0121</x:t>
        </x:is>
      </x:c>
      <x:c r="E661" s="4" t="inlineStr">
        <x:is>
          <x:t xml:space="preserve">Wireless Mouse</x:t>
        </x:is>
      </x:c>
      <x:c r="F661" s="4" t="inlineStr">
        <x:is>
          <x:t xml:space="preserve">Accessories</x:t>
        </x:is>
      </x:c>
      <x:c r="G661" s="4" t="inlineStr">
        <x:is>
          <x:t xml:space="preserve">San Francisco</x:t>
        </x:is>
      </x:c>
      <x:c r="H661" s="18" t="n">
        <x:v>3</x:v>
      </x:c>
      <x:c r="I661" s="19" t="n">
        <x:v>47.42</x:v>
      </x:c>
      <x:c r="J661" s="20" t="n">
        <x:v>0</x:v>
      </x:c>
      <x:c r="K661" s="4" t="inlineStr">
        <x:is>
          <x:t xml:space="preserve">Debit Card</x:t>
        </x:is>
      </x:c>
      <x:c r="L661" s="19" t="n">
        <x:v>142.26</x:v>
      </x:c>
      <x:c r="M661" s="19" t="n">
        <x:v>0</x:v>
      </x:c>
      <x:c r="N661" s="19" t="n">
        <x:v>142.26</x:v>
      </x:c>
      <x:c r="O661" s="4" t="n">
        <x:f>YEAR(C661)</x:f>
        <x:v>2025</x:v>
      </x:c>
      <x:c r="P661" s="4" t="str">
        <x:f>TEXT(C661,"yyyy-mm")</x:f>
        <x:v>2025-04</x:v>
      </x:c>
      <x:c r="Q661" s="4" t="str">
        <x:f>TEXT(C661,"mmmm")</x:f>
        <x:v>April</x:v>
      </x:c>
    </x:row>
    <x:row r="662" ht="20" customHeight="1">
      <x:c r="A662" s="4" t="inlineStr">
        <x:is>
          <x:t xml:space="preserve">LINE-00667</x:t>
        </x:is>
      </x:c>
      <x:c r="B662" s="4" t="inlineStr">
        <x:is>
          <x:t xml:space="preserve">ORD-2025-0418</x:t>
        </x:is>
      </x:c>
      <x:c r="C662" s="17" t="n">
        <x:v>45760</x:v>
      </x:c>
      <x:c r="D662" s="4" t="inlineStr">
        <x:is>
          <x:t xml:space="preserve">CUS-0121</x:t>
        </x:is>
      </x:c>
      <x:c r="E662" s="4" t="inlineStr">
        <x:is>
          <x:t xml:space="preserve">Desk Lamp</x:t>
        </x:is>
      </x:c>
      <x:c r="F662" s="4" t="inlineStr">
        <x:is>
          <x:t xml:space="preserve">Furniture</x:t>
        </x:is>
      </x:c>
      <x:c r="G662" s="4" t="inlineStr">
        <x:is>
          <x:t xml:space="preserve">San Francisco</x:t>
        </x:is>
      </x:c>
      <x:c r="H662" s="18" t="n">
        <x:v>3</x:v>
      </x:c>
      <x:c r="I662" s="19" t="n">
        <x:v>51.65</x:v>
      </x:c>
      <x:c r="J662" s="20" t="n">
        <x:v>0</x:v>
      </x:c>
      <x:c r="K662" s="4" t="inlineStr">
        <x:is>
          <x:t xml:space="preserve">Debit Card</x:t>
        </x:is>
      </x:c>
      <x:c r="L662" s="19" t="n">
        <x:v>154.95</x:v>
      </x:c>
      <x:c r="M662" s="19" t="n">
        <x:v>0</x:v>
      </x:c>
      <x:c r="N662" s="19" t="n">
        <x:v>154.95</x:v>
      </x:c>
      <x:c r="O662" s="4" t="n">
        <x:f>YEAR(C662)</x:f>
        <x:v>2025</x:v>
      </x:c>
      <x:c r="P662" s="4" t="str">
        <x:f>TEXT(C662,"yyyy-mm")</x:f>
        <x:v>2025-04</x:v>
      </x:c>
      <x:c r="Q662" s="4" t="str">
        <x:f>TEXT(C662,"mmmm")</x:f>
        <x:v>April</x:v>
      </x:c>
    </x:row>
    <x:row r="663" ht="20" customHeight="1">
      <x:c r="A663" s="4" t="inlineStr">
        <x:is>
          <x:t xml:space="preserve">LINE-00668</x:t>
        </x:is>
      </x:c>
      <x:c r="B663" s="4" t="inlineStr">
        <x:is>
          <x:t xml:space="preserve">ORD-2025-0418</x:t>
        </x:is>
      </x:c>
      <x:c r="C663" s="17" t="n">
        <x:v>45760</x:v>
      </x:c>
      <x:c r="D663" s="4" t="inlineStr">
        <x:is>
          <x:t xml:space="preserve">CUS-0121</x:t>
        </x:is>
      </x:c>
      <x:c r="E663" s="4" t="inlineStr">
        <x:is>
          <x:t xml:space="preserve">Office Chair</x:t>
        </x:is>
      </x:c>
      <x:c r="F663" s="4" t="inlineStr">
        <x:is>
          <x:t xml:space="preserve">Furniture</x:t>
        </x:is>
      </x:c>
      <x:c r="G663" s="4" t="inlineStr">
        <x:is>
          <x:t xml:space="preserve">San Francisco</x:t>
        </x:is>
      </x:c>
      <x:c r="H663" s="18" t="n">
        <x:v>5</x:v>
      </x:c>
      <x:c r="I663" s="19" t="n">
        <x:v>239.72</x:v>
      </x:c>
      <x:c r="J663" s="20" t="n">
        <x:v>0</x:v>
      </x:c>
      <x:c r="K663" s="4" t="inlineStr">
        <x:is>
          <x:t xml:space="preserve">Debit Card</x:t>
        </x:is>
      </x:c>
      <x:c r="L663" s="19" t="n">
        <x:v>1198.6</x:v>
      </x:c>
      <x:c r="M663" s="19" t="n">
        <x:v>0</x:v>
      </x:c>
      <x:c r="N663" s="19" t="n">
        <x:v>1198.6</x:v>
      </x:c>
      <x:c r="O663" s="4" t="n">
        <x:f>YEAR(C663)</x:f>
        <x:v>2025</x:v>
      </x:c>
      <x:c r="P663" s="4" t="str">
        <x:f>TEXT(C663,"yyyy-mm")</x:f>
        <x:v>2025-04</x:v>
      </x:c>
      <x:c r="Q663" s="4" t="str">
        <x:f>TEXT(C663,"mmmm")</x:f>
        <x:v>April</x:v>
      </x:c>
    </x:row>
    <x:row r="664" ht="20" customHeight="1">
      <x:c r="A664" s="4" t="inlineStr">
        <x:is>
          <x:t xml:space="preserve">LINE-00669</x:t>
        </x:is>
      </x:c>
      <x:c r="B664" s="4" t="inlineStr">
        <x:is>
          <x:t xml:space="preserve">ORD-2025-0419</x:t>
        </x:is>
      </x:c>
      <x:c r="C664" s="17" t="n">
        <x:v>45935</x:v>
      </x:c>
      <x:c r="D664" s="4" t="inlineStr">
        <x:is>
          <x:t xml:space="preserve">CUS-0022</x:t>
        </x:is>
      </x:c>
      <x:c r="E664" s="4" t="inlineStr">
        <x:is>
          <x:t xml:space="preserve">Bluetooth Speaker</x:t>
        </x:is>
      </x:c>
      <x:c r="F664" s="4" t="inlineStr">
        <x:is>
          <x:t xml:space="preserve">Audio</x:t>
        </x:is>
      </x:c>
      <x:c r="G664" s="4" t="inlineStr">
        <x:is>
          <x:t xml:space="preserve">Seattle</x:t>
        </x:is>
      </x:c>
      <x:c r="H664" s="18" t="n">
        <x:v>4</x:v>
      </x:c>
      <x:c r="I664" s="19" t="n">
        <x:v>109.84</x:v>
      </x:c>
      <x:c r="J664" s="20" t="n">
        <x:v>0.2</x:v>
      </x:c>
      <x:c r="K664" s="4" t="inlineStr">
        <x:is>
          <x:t xml:space="preserve">PayPal</x:t>
        </x:is>
      </x:c>
      <x:c r="L664" s="19" t="n">
        <x:v>439.36</x:v>
      </x:c>
      <x:c r="M664" s="19" t="n">
        <x:v>87.87</x:v>
      </x:c>
      <x:c r="N664" s="19" t="n">
        <x:v>351.49</x:v>
      </x:c>
      <x:c r="O664" s="4" t="n">
        <x:f>YEAR(C664)</x:f>
        <x:v>2025</x:v>
      </x:c>
      <x:c r="P664" s="4" t="str">
        <x:f>TEXT(C664,"yyyy-mm")</x:f>
        <x:v>2025-10</x:v>
      </x:c>
      <x:c r="Q664" s="4" t="str">
        <x:f>TEXT(C664,"mmmm")</x:f>
        <x:v>October</x:v>
      </x:c>
    </x:row>
    <x:row r="665" ht="20" customHeight="1">
      <x:c r="A665" s="4" t="inlineStr">
        <x:is>
          <x:t xml:space="preserve">LINE-00670</x:t>
        </x:is>
      </x:c>
      <x:c r="B665" s="4" t="inlineStr">
        <x:is>
          <x:t xml:space="preserve">ORD-2025-0419</x:t>
        </x:is>
      </x:c>
      <x:c r="C665" s="17" t="n">
        <x:v>45935</x:v>
      </x:c>
      <x:c r="D665" s="4" t="inlineStr">
        <x:is>
          <x:t xml:space="preserve">CUS-0022</x:t>
        </x:is>
      </x:c>
      <x:c r="E665" s="4" t="inlineStr">
        <x:is>
          <x:t xml:space="preserve">USB Flash Drive</x:t>
        </x:is>
      </x:c>
      <x:c r="F665" s="4" t="inlineStr">
        <x:is>
          <x:t xml:space="preserve">Storage</x:t>
        </x:is>
      </x:c>
      <x:c r="G665" s="4" t="inlineStr">
        <x:is>
          <x:t xml:space="preserve">Seattle</x:t>
        </x:is>
      </x:c>
      <x:c r="H665" s="18" t="n">
        <x:v>4</x:v>
      </x:c>
      <x:c r="I665" s="19" t="n">
        <x:v>28.95</x:v>
      </x:c>
      <x:c r="J665" s="20" t="n">
        <x:v>0</x:v>
      </x:c>
      <x:c r="K665" s="4" t="inlineStr">
        <x:is>
          <x:t xml:space="preserve">PayPal</x:t>
        </x:is>
      </x:c>
      <x:c r="L665" s="19" t="n">
        <x:v>115.8</x:v>
      </x:c>
      <x:c r="M665" s="19" t="n">
        <x:v>0</x:v>
      </x:c>
      <x:c r="N665" s="19" t="n">
        <x:v>115.8</x:v>
      </x:c>
      <x:c r="O665" s="4" t="n">
        <x:f>YEAR(C665)</x:f>
        <x:v>2025</x:v>
      </x:c>
      <x:c r="P665" s="4" t="str">
        <x:f>TEXT(C665,"yyyy-mm")</x:f>
        <x:v>2025-10</x:v>
      </x:c>
      <x:c r="Q665" s="4" t="str">
        <x:f>TEXT(C665,"mmmm")</x:f>
        <x:v>October</x:v>
      </x:c>
    </x:row>
    <x:row r="666" ht="20" customHeight="1">
      <x:c r="A666" s="4" t="inlineStr">
        <x:is>
          <x:t xml:space="preserve">LINE-00671</x:t>
        </x:is>
      </x:c>
      <x:c r="B666" s="4" t="inlineStr">
        <x:is>
          <x:t xml:space="preserve">ORD-2025-0420</x:t>
        </x:is>
      </x:c>
      <x:c r="C666" s="17" t="n">
        <x:v>45953</x:v>
      </x:c>
      <x:c r="D666" s="4" t="inlineStr">
        <x:is>
          <x:t xml:space="preserve">CUS-0066</x:t>
        </x:is>
      </x:c>
      <x:c r="E666" s="4" t="inlineStr">
        <x:is>
          <x:t xml:space="preserve">External SSD</x:t>
        </x:is>
      </x:c>
      <x:c r="F666" s="4" t="inlineStr">
        <x:is>
          <x:t xml:space="preserve">Storage</x:t>
        </x:is>
      </x:c>
      <x:c r="G666" s="4" t="inlineStr">
        <x:is>
          <x:t xml:space="preserve">New York</x:t>
        </x:is>
      </x:c>
      <x:c r="H666" s="18" t="n">
        <x:v>1</x:v>
      </x:c>
      <x:c r="I666" s="19" t="n">
        <x:v>146.33</x:v>
      </x:c>
      <x:c r="J666" s="20" t="n">
        <x:v>0.1</x:v>
      </x:c>
      <x:c r="K666" s="4" t="inlineStr">
        <x:is>
          <x:t xml:space="preserve">Bank Transfer</x:t>
        </x:is>
      </x:c>
      <x:c r="L666" s="19" t="n">
        <x:v>146.33</x:v>
      </x:c>
      <x:c r="M666" s="19" t="n">
        <x:v>14.63</x:v>
      </x:c>
      <x:c r="N666" s="19" t="n">
        <x:v>131.7</x:v>
      </x:c>
      <x:c r="O666" s="4" t="n">
        <x:f>YEAR(C666)</x:f>
        <x:v>2025</x:v>
      </x:c>
      <x:c r="P666" s="4" t="str">
        <x:f>TEXT(C666,"yyyy-mm")</x:f>
        <x:v>2025-10</x:v>
      </x:c>
      <x:c r="Q666" s="4" t="str">
        <x:f>TEXT(C666,"mmmm")</x:f>
        <x:v>October</x:v>
      </x:c>
    </x:row>
    <x:row r="667" ht="20" customHeight="1">
      <x:c r="A667" s="4" t="inlineStr">
        <x:is>
          <x:t xml:space="preserve">LINE-00672</x:t>
        </x:is>
      </x:c>
      <x:c r="B667" s="4" t="inlineStr">
        <x:is>
          <x:t xml:space="preserve">ORD-2025-0421</x:t>
        </x:is>
      </x:c>
      <x:c r="C667" s="17" t="n">
        <x:v>45747</x:v>
      </x:c>
      <x:c r="D667" s="4" t="inlineStr">
        <x:is>
          <x:t xml:space="preserve">CUS-0235</x:t>
        </x:is>
      </x:c>
      <x:c r="E667" s="4" t="inlineStr">
        <x:is>
          <x:t xml:space="preserve">Laptop</x:t>
        </x:is>
      </x:c>
      <x:c r="F667" s="4" t="inlineStr">
        <x:is>
          <x:t xml:space="preserve">Computers</x:t>
        </x:is>
      </x:c>
      <x:c r="G667" s="4" t="inlineStr">
        <x:is>
          <x:t xml:space="preserve">New York</x:t>
        </x:is>
      </x:c>
      <x:c r="H667" s="18" t="n">
        <x:v>1</x:v>
      </x:c>
      <x:c r="I667" s="19" t="n">
        <x:v>906.03</x:v>
      </x:c>
      <x:c r="J667" s="20" t="n">
        <x:v>0.05</x:v>
      </x:c>
      <x:c r="K667" s="4" t="inlineStr">
        <x:is>
          <x:t xml:space="preserve">Bank Transfer</x:t>
        </x:is>
      </x:c>
      <x:c r="L667" s="19" t="n">
        <x:v>906.03</x:v>
      </x:c>
      <x:c r="M667" s="19" t="n">
        <x:v>45.3</x:v>
      </x:c>
      <x:c r="N667" s="19" t="n">
        <x:v>860.73</x:v>
      </x:c>
      <x:c r="O667" s="4" t="n">
        <x:f>YEAR(C667)</x:f>
        <x:v>2025</x:v>
      </x:c>
      <x:c r="P667" s="4" t="str">
        <x:f>TEXT(C667,"yyyy-mm")</x:f>
        <x:v>2025-03</x:v>
      </x:c>
      <x:c r="Q667" s="4" t="str">
        <x:f>TEXT(C667,"mmmm")</x:f>
        <x:v>March</x:v>
      </x:c>
    </x:row>
    <x:row r="668" ht="20" customHeight="1">
      <x:c r="A668" s="4" t="inlineStr">
        <x:is>
          <x:t xml:space="preserve">LINE-00673</x:t>
        </x:is>
      </x:c>
      <x:c r="B668" s="4" t="inlineStr">
        <x:is>
          <x:t xml:space="preserve">ORD-2025-0422</x:t>
        </x:is>
      </x:c>
      <x:c r="C668" s="17" t="n">
        <x:v>45824</x:v>
      </x:c>
      <x:c r="D668" s="4" t="inlineStr">
        <x:is>
          <x:t xml:space="preserve">CUS-0186</x:t>
        </x:is>
      </x:c>
      <x:c r="E668" s="4" t="inlineStr">
        <x:is>
          <x:t xml:space="preserve">USB-C Hub</x:t>
        </x:is>
      </x:c>
      <x:c r="F668" s="4" t="inlineStr">
        <x:is>
          <x:t xml:space="preserve">Accessories</x:t>
        </x:is>
      </x:c>
      <x:c r="G668" s="4" t="inlineStr">
        <x:is>
          <x:t xml:space="preserve">Boston</x:t>
        </x:is>
      </x:c>
      <x:c r="H668" s="18" t="n">
        <x:v>1</x:v>
      </x:c>
      <x:c r="I668" s="19" t="n">
        <x:v>64.7</x:v>
      </x:c>
      <x:c r="J668" s="20" t="n">
        <x:v>0.05</x:v>
      </x:c>
      <x:c r="K668" s="4" t="inlineStr">
        <x:is>
          <x:t xml:space="preserve">PayPal</x:t>
        </x:is>
      </x:c>
      <x:c r="L668" s="19" t="n">
        <x:v>64.7</x:v>
      </x:c>
      <x:c r="M668" s="19" t="n">
        <x:v>3.24</x:v>
      </x:c>
      <x:c r="N668" s="19" t="n">
        <x:v>61.46</x:v>
      </x:c>
      <x:c r="O668" s="4" t="n">
        <x:f>YEAR(C668)</x:f>
        <x:v>2025</x:v>
      </x:c>
      <x:c r="P668" s="4" t="str">
        <x:f>TEXT(C668,"yyyy-mm")</x:f>
        <x:v>2025-06</x:v>
      </x:c>
      <x:c r="Q668" s="4" t="str">
        <x:f>TEXT(C668,"mmmm")</x:f>
        <x:v>June</x:v>
      </x:c>
    </x:row>
    <x:row r="669" ht="20" customHeight="1">
      <x:c r="A669" s="4" t="inlineStr">
        <x:is>
          <x:t xml:space="preserve">LINE-00674</x:t>
        </x:is>
      </x:c>
      <x:c r="B669" s="4" t="inlineStr">
        <x:is>
          <x:t xml:space="preserve">ORD-2025-0423</x:t>
        </x:is>
      </x:c>
      <x:c r="C669" s="17" t="n">
        <x:v>45845</x:v>
      </x:c>
      <x:c r="D669" s="4" t="inlineStr">
        <x:is>
          <x:t xml:space="preserve">CUS-0095</x:t>
        </x:is>
      </x:c>
      <x:c r="E669" s="4" t="inlineStr">
        <x:is>
          <x:t xml:space="preserve">Desk Lamp</x:t>
        </x:is>
      </x:c>
      <x:c r="F669" s="4" t="inlineStr">
        <x:is>
          <x:t xml:space="preserve">Furniture</x:t>
        </x:is>
      </x:c>
      <x:c r="G669" s="4" t="inlineStr">
        <x:is>
          <x:t xml:space="preserve">Seattle</x:t>
        </x:is>
      </x:c>
      <x:c r="H669" s="18" t="n">
        <x:v>3</x:v>
      </x:c>
      <x:c r="I669" s="19" t="n">
        <x:v>53.81</x:v>
      </x:c>
      <x:c r="J669" s="20" t="n">
        <x:v>0</x:v>
      </x:c>
      <x:c r="K669" s="4" t="inlineStr">
        <x:is>
          <x:t xml:space="preserve">Bank Transfer</x:t>
        </x:is>
      </x:c>
      <x:c r="L669" s="19" t="n">
        <x:v>161.43</x:v>
      </x:c>
      <x:c r="M669" s="19" t="n">
        <x:v>0</x:v>
      </x:c>
      <x:c r="N669" s="19" t="n">
        <x:v>161.43</x:v>
      </x:c>
      <x:c r="O669" s="4" t="n">
        <x:f>YEAR(C669)</x:f>
        <x:v>2025</x:v>
      </x:c>
      <x:c r="P669" s="4" t="str">
        <x:f>TEXT(C669,"yyyy-mm")</x:f>
        <x:v>2025-07</x:v>
      </x:c>
      <x:c r="Q669" s="4" t="str">
        <x:f>TEXT(C669,"mmmm")</x:f>
        <x:v>July</x:v>
      </x:c>
    </x:row>
    <x:row r="670" ht="20" customHeight="1">
      <x:c r="A670" s="4" t="inlineStr">
        <x:is>
          <x:t xml:space="preserve">LINE-00675</x:t>
        </x:is>
      </x:c>
      <x:c r="B670" s="4" t="inlineStr">
        <x:is>
          <x:t xml:space="preserve">ORD-2025-0424</x:t>
        </x:is>
      </x:c>
      <x:c r="C670" s="17" t="n">
        <x:v>45888</x:v>
      </x:c>
      <x:c r="D670" s="4" t="inlineStr">
        <x:is>
          <x:t xml:space="preserve">CUS-0093</x:t>
        </x:is>
      </x:c>
      <x:c r="E670" s="4" t="inlineStr">
        <x:is>
          <x:t xml:space="preserve">Office Chair</x:t>
        </x:is>
      </x:c>
      <x:c r="F670" s="4" t="inlineStr">
        <x:is>
          <x:t xml:space="preserve">Furniture</x:t>
        </x:is>
      </x:c>
      <x:c r="G670" s="4" t="inlineStr">
        <x:is>
          <x:t xml:space="preserve">Boston</x:t>
        </x:is>
      </x:c>
      <x:c r="H670" s="18" t="n">
        <x:v>3</x:v>
      </x:c>
      <x:c r="I670" s="19" t="n">
        <x:v>251.68</x:v>
      </x:c>
      <x:c r="J670" s="20" t="n">
        <x:v>0.05</x:v>
      </x:c>
      <x:c r="K670" s="4" t="inlineStr">
        <x:is>
          <x:t xml:space="preserve">Debit Card</x:t>
        </x:is>
      </x:c>
      <x:c r="L670" s="19" t="n">
        <x:v>755.04</x:v>
      </x:c>
      <x:c r="M670" s="19" t="n">
        <x:v>37.75</x:v>
      </x:c>
      <x:c r="N670" s="19" t="n">
        <x:v>717.29</x:v>
      </x:c>
      <x:c r="O670" s="4" t="n">
        <x:f>YEAR(C670)</x:f>
        <x:v>2025</x:v>
      </x:c>
      <x:c r="P670" s="4" t="str">
        <x:f>TEXT(C670,"yyyy-mm")</x:f>
        <x:v>2025-08</x:v>
      </x:c>
      <x:c r="Q670" s="4" t="str">
        <x:f>TEXT(C670,"mmmm")</x:f>
        <x:v>August</x:v>
      </x:c>
    </x:row>
    <x:row r="671" ht="20" customHeight="1">
      <x:c r="A671" s="4" t="inlineStr">
        <x:is>
          <x:t xml:space="preserve">LINE-00676</x:t>
        </x:is>
      </x:c>
      <x:c r="B671" s="4" t="inlineStr">
        <x:is>
          <x:t xml:space="preserve">ORD-2025-0424</x:t>
        </x:is>
      </x:c>
      <x:c r="C671" s="17" t="n">
        <x:v>45888</x:v>
      </x:c>
      <x:c r="D671" s="4" t="inlineStr">
        <x:is>
          <x:t xml:space="preserve">CUS-0093</x:t>
        </x:is>
      </x:c>
      <x:c r="E671" s="4" t="inlineStr">
        <x:is>
          <x:t xml:space="preserve">Wireless Mouse</x:t>
        </x:is>
      </x:c>
      <x:c r="F671" s="4" t="inlineStr">
        <x:is>
          <x:t xml:space="preserve">Accessories</x:t>
        </x:is>
      </x:c>
      <x:c r="G671" s="4" t="inlineStr">
        <x:is>
          <x:t xml:space="preserve">Boston</x:t>
        </x:is>
      </x:c>
      <x:c r="H671" s="18" t="n">
        <x:v>3</x:v>
      </x:c>
      <x:c r="I671" s="19" t="n">
        <x:v>42.81</x:v>
      </x:c>
      <x:c r="J671" s="20" t="n">
        <x:v>0.1</x:v>
      </x:c>
      <x:c r="K671" s="4" t="inlineStr">
        <x:is>
          <x:t xml:space="preserve">Debit Card</x:t>
        </x:is>
      </x:c>
      <x:c r="L671" s="19" t="n">
        <x:v>128.43</x:v>
      </x:c>
      <x:c r="M671" s="19" t="n">
        <x:v>12.84</x:v>
      </x:c>
      <x:c r="N671" s="19" t="n">
        <x:v>115.59</x:v>
      </x:c>
      <x:c r="O671" s="4" t="n">
        <x:f>YEAR(C671)</x:f>
        <x:v>2025</x:v>
      </x:c>
      <x:c r="P671" s="4" t="str">
        <x:f>TEXT(C671,"yyyy-mm")</x:f>
        <x:v>2025-08</x:v>
      </x:c>
      <x:c r="Q671" s="4" t="str">
        <x:f>TEXT(C671,"mmmm")</x:f>
        <x:v>August</x:v>
      </x:c>
    </x:row>
    <x:row r="672" ht="20" customHeight="1">
      <x:c r="A672" s="4" t="inlineStr">
        <x:is>
          <x:t xml:space="preserve">LINE-00677</x:t>
        </x:is>
      </x:c>
      <x:c r="B672" s="4" t="inlineStr">
        <x:is>
          <x:t xml:space="preserve">ORD-2025-0424</x:t>
        </x:is>
      </x:c>
      <x:c r="C672" s="17" t="n">
        <x:v>45888</x:v>
      </x:c>
      <x:c r="D672" s="4" t="inlineStr">
        <x:is>
          <x:t xml:space="preserve">CUS-0093</x:t>
        </x:is>
      </x:c>
      <x:c r="E672" s="4" t="inlineStr">
        <x:is>
          <x:t xml:space="preserve">Monitor</x:t>
        </x:is>
      </x:c>
      <x:c r="F672" s="4" t="inlineStr">
        <x:is>
          <x:t xml:space="preserve">Computers</x:t>
        </x:is>
      </x:c>
      <x:c r="G672" s="4" t="inlineStr">
        <x:is>
          <x:t xml:space="preserve">Boston</x:t>
        </x:is>
      </x:c>
      <x:c r="H672" s="18" t="n">
        <x:v>3</x:v>
      </x:c>
      <x:c r="I672" s="19" t="n">
        <x:v>278.79</x:v>
      </x:c>
      <x:c r="J672" s="20" t="n">
        <x:v>0</x:v>
      </x:c>
      <x:c r="K672" s="4" t="inlineStr">
        <x:is>
          <x:t xml:space="preserve">Debit Card</x:t>
        </x:is>
      </x:c>
      <x:c r="L672" s="19" t="n">
        <x:v>836.37</x:v>
      </x:c>
      <x:c r="M672" s="19" t="n">
        <x:v>0</x:v>
      </x:c>
      <x:c r="N672" s="19" t="n">
        <x:v>836.37</x:v>
      </x:c>
      <x:c r="O672" s="4" t="n">
        <x:f>YEAR(C672)</x:f>
        <x:v>2025</x:v>
      </x:c>
      <x:c r="P672" s="4" t="str">
        <x:f>TEXT(C672,"yyyy-mm")</x:f>
        <x:v>2025-08</x:v>
      </x:c>
      <x:c r="Q672" s="4" t="str">
        <x:f>TEXT(C672,"mmmm")</x:f>
        <x:v>August</x:v>
      </x:c>
    </x:row>
    <x:row r="673" ht="20" customHeight="1">
      <x:c r="A673" s="4" t="inlineStr">
        <x:is>
          <x:t xml:space="preserve">LINE-00678</x:t>
        </x:is>
      </x:c>
      <x:c r="B673" s="4" t="inlineStr">
        <x:is>
          <x:t xml:space="preserve">ORD-2025-0425</x:t>
        </x:is>
      </x:c>
      <x:c r="C673" s="17" t="n">
        <x:v>45873</x:v>
      </x:c>
      <x:c r="D673" s="4" t="inlineStr">
        <x:is>
          <x:t xml:space="preserve">CUS-0256</x:t>
        </x:is>
      </x:c>
      <x:c r="E673" s="4" t="inlineStr">
        <x:is>
          <x:t xml:space="preserve">USB-C Hub</x:t>
        </x:is>
      </x:c>
      <x:c r="F673" s="4" t="inlineStr">
        <x:is>
          <x:t xml:space="preserve">Accessories</x:t>
        </x:is>
      </x:c>
      <x:c r="G673" s="4" t="inlineStr">
        <x:is>
          <x:t xml:space="preserve">Chicago</x:t>
        </x:is>
      </x:c>
      <x:c r="H673" s="18" t="n">
        <x:v>2</x:v>
      </x:c>
      <x:c r="I673" s="19" t="n">
        <x:v>65.70999999999999</x:v>
      </x:c>
      <x:c r="J673" s="20" t="n">
        <x:v>0</x:v>
      </x:c>
      <x:c r="K673" s="4" t="inlineStr">
        <x:is>
          <x:t xml:space="preserve">PayPal</x:t>
        </x:is>
      </x:c>
      <x:c r="L673" s="19" t="n">
        <x:v>131.42</x:v>
      </x:c>
      <x:c r="M673" s="19" t="n">
        <x:v>0</x:v>
      </x:c>
      <x:c r="N673" s="19" t="n">
        <x:v>131.42</x:v>
      </x:c>
      <x:c r="O673" s="4" t="n">
        <x:f>YEAR(C673)</x:f>
        <x:v>2025</x:v>
      </x:c>
      <x:c r="P673" s="4" t="str">
        <x:f>TEXT(C673,"yyyy-mm")</x:f>
        <x:v>2025-08</x:v>
      </x:c>
      <x:c r="Q673" s="4" t="str">
        <x:f>TEXT(C673,"mmmm")</x:f>
        <x:v>August</x:v>
      </x:c>
    </x:row>
    <x:row r="674" ht="20" customHeight="1">
      <x:c r="A674" s="4" t="inlineStr">
        <x:is>
          <x:t xml:space="preserve">LINE-00679</x:t>
        </x:is>
      </x:c>
      <x:c r="B674" s="4" t="inlineStr">
        <x:is>
          <x:t xml:space="preserve">ORD-2025-0425</x:t>
        </x:is>
      </x:c>
      <x:c r="C674" s="17" t="n">
        <x:v>45873</x:v>
      </x:c>
      <x:c r="D674" s="4" t="inlineStr">
        <x:is>
          <x:t xml:space="preserve">CUS-0256</x:t>
        </x:is>
      </x:c>
      <x:c r="E674" s="4" t="inlineStr">
        <x:is>
          <x:t xml:space="preserve">Desk Lamp</x:t>
        </x:is>
      </x:c>
      <x:c r="F674" s="4" t="inlineStr">
        <x:is>
          <x:t xml:space="preserve">Furniture</x:t>
        </x:is>
      </x:c>
      <x:c r="G674" s="4" t="inlineStr">
        <x:is>
          <x:t xml:space="preserve">Chicago</x:t>
        </x:is>
      </x:c>
      <x:c r="H674" s="18" t="n">
        <x:v>3</x:v>
      </x:c>
      <x:c r="I674" s="19" t="n">
        <x:v>51.13</x:v>
      </x:c>
      <x:c r="J674" s="20" t="n">
        <x:v>0.1</x:v>
      </x:c>
      <x:c r="K674" s="4" t="inlineStr">
        <x:is>
          <x:t xml:space="preserve">PayPal</x:t>
        </x:is>
      </x:c>
      <x:c r="L674" s="19" t="n">
        <x:v>153.39</x:v>
      </x:c>
      <x:c r="M674" s="19" t="n">
        <x:v>15.34</x:v>
      </x:c>
      <x:c r="N674" s="19" t="n">
        <x:v>138.05</x:v>
      </x:c>
      <x:c r="O674" s="4" t="n">
        <x:f>YEAR(C674)</x:f>
        <x:v>2025</x:v>
      </x:c>
      <x:c r="P674" s="4" t="str">
        <x:f>TEXT(C674,"yyyy-mm")</x:f>
        <x:v>2025-08</x:v>
      </x:c>
      <x:c r="Q674" s="4" t="str">
        <x:f>TEXT(C674,"mmmm")</x:f>
        <x:v>August</x:v>
      </x:c>
    </x:row>
    <x:row r="675" ht="20" customHeight="1">
      <x:c r="A675" s="4" t="inlineStr">
        <x:is>
          <x:t xml:space="preserve">LINE-00680</x:t>
        </x:is>
      </x:c>
      <x:c r="B675" s="4" t="inlineStr">
        <x:is>
          <x:t xml:space="preserve">ORD-2025-0426</x:t>
        </x:is>
      </x:c>
      <x:c r="C675" s="17" t="n">
        <x:v>45901</x:v>
      </x:c>
      <x:c r="D675" s="4" t="inlineStr">
        <x:is>
          <x:t xml:space="preserve">CUS-0323</x:t>
        </x:is>
      </x:c>
      <x:c r="E675" s="4" t="inlineStr">
        <x:is>
          <x:t xml:space="preserve">USB-C Hub</x:t>
        </x:is>
      </x:c>
      <x:c r="F675" s="4" t="inlineStr">
        <x:is>
          <x:t xml:space="preserve">Accessories</x:t>
        </x:is>
      </x:c>
      <x:c r="G675" s="4" t="inlineStr">
        <x:is>
          <x:t xml:space="preserve">New York</x:t>
        </x:is>
      </x:c>
      <x:c r="H675" s="18" t="n">
        <x:v>1</x:v>
      </x:c>
      <x:c r="I675" s="19" t="n">
        <x:v>65.59999999999999</x:v>
      </x:c>
      <x:c r="J675" s="20" t="n">
        <x:v>0.1</x:v>
      </x:c>
      <x:c r="K675" s="4" t="inlineStr">
        <x:is>
          <x:t xml:space="preserve">Bank Transfer</x:t>
        </x:is>
      </x:c>
      <x:c r="L675" s="19" t="n">
        <x:v>65.59999999999999</x:v>
      </x:c>
      <x:c r="M675" s="19" t="n">
        <x:v>6.56</x:v>
      </x:c>
      <x:c r="N675" s="19" t="n">
        <x:v>59.04</x:v>
      </x:c>
      <x:c r="O675" s="4" t="n">
        <x:f>YEAR(C675)</x:f>
        <x:v>2025</x:v>
      </x:c>
      <x:c r="P675" s="4" t="str">
        <x:f>TEXT(C675,"yyyy-mm")</x:f>
        <x:v>2025-09</x:v>
      </x:c>
      <x:c r="Q675" s="4" t="str">
        <x:f>TEXT(C675,"mmmm")</x:f>
        <x:v>September</x:v>
      </x:c>
    </x:row>
    <x:row r="676" ht="20" customHeight="1">
      <x:c r="A676" s="4" t="inlineStr">
        <x:is>
          <x:t xml:space="preserve">LINE-00681</x:t>
        </x:is>
      </x:c>
      <x:c r="B676" s="4" t="inlineStr">
        <x:is>
          <x:t xml:space="preserve">ORD-2025-0426</x:t>
        </x:is>
      </x:c>
      <x:c r="C676" s="17" t="n">
        <x:v>45901</x:v>
      </x:c>
      <x:c r="D676" s="4" t="inlineStr">
        <x:is>
          <x:t xml:space="preserve">CUS-0323</x:t>
        </x:is>
      </x:c>
      <x:c r="E676" s="4" t="inlineStr">
        <x:is>
          <x:t xml:space="preserve">Webcam</x:t>
        </x:is>
      </x:c>
      <x:c r="F676" s="4" t="inlineStr">
        <x:is>
          <x:t xml:space="preserve">Accessories</x:t>
        </x:is>
      </x:c>
      <x:c r="G676" s="4" t="inlineStr">
        <x:is>
          <x:t xml:space="preserve">New York</x:t>
        </x:is>
      </x:c>
      <x:c r="H676" s="18" t="n">
        <x:v>1</x:v>
      </x:c>
      <x:c r="I676" s="19" t="n">
        <x:v>88.73</x:v>
      </x:c>
      <x:c r="J676" s="20" t="n">
        <x:v>0</x:v>
      </x:c>
      <x:c r="K676" s="4" t="inlineStr">
        <x:is>
          <x:t xml:space="preserve">Bank Transfer</x:t>
        </x:is>
      </x:c>
      <x:c r="L676" s="19" t="n">
        <x:v>88.73</x:v>
      </x:c>
      <x:c r="M676" s="19" t="n">
        <x:v>0</x:v>
      </x:c>
      <x:c r="N676" s="19" t="n">
        <x:v>88.73</x:v>
      </x:c>
      <x:c r="O676" s="4" t="n">
        <x:f>YEAR(C676)</x:f>
        <x:v>2025</x:v>
      </x:c>
      <x:c r="P676" s="4" t="str">
        <x:f>TEXT(C676,"yyyy-mm")</x:f>
        <x:v>2025-09</x:v>
      </x:c>
      <x:c r="Q676" s="4" t="str">
        <x:f>TEXT(C676,"mmmm")</x:f>
        <x:v>September</x:v>
      </x:c>
    </x:row>
    <x:row r="677" ht="20" customHeight="1">
      <x:c r="A677" s="4" t="inlineStr">
        <x:is>
          <x:t xml:space="preserve">LINE-00682</x:t>
        </x:is>
      </x:c>
      <x:c r="B677" s="4" t="inlineStr">
        <x:is>
          <x:t xml:space="preserve">ORD-2025-0427</x:t>
        </x:is>
      </x:c>
      <x:c r="C677" s="17" t="n">
        <x:v>46005</x:v>
      </x:c>
      <x:c r="D677" s="4" t="inlineStr">
        <x:is>
          <x:t xml:space="preserve">CUS-0311</x:t>
        </x:is>
      </x:c>
      <x:c r="E677" s="4" t="inlineStr">
        <x:is>
          <x:t xml:space="preserve">USB-C Hub</x:t>
        </x:is>
      </x:c>
      <x:c r="F677" s="4" t="inlineStr">
        <x:is>
          <x:t xml:space="preserve">Accessories</x:t>
        </x:is>
      </x:c>
      <x:c r="G677" s="4" t="inlineStr">
        <x:is>
          <x:t xml:space="preserve">Chicago</x:t>
        </x:is>
      </x:c>
      <x:c r="H677" s="18" t="n">
        <x:v>2</x:v>
      </x:c>
      <x:c r="I677" s="19" t="n">
        <x:v>64.87</x:v>
      </x:c>
      <x:c r="J677" s="20" t="n">
        <x:v>0.1</x:v>
      </x:c>
      <x:c r="K677" s="4" t="inlineStr">
        <x:is>
          <x:t xml:space="preserve">Debit Card</x:t>
        </x:is>
      </x:c>
      <x:c r="L677" s="19" t="n">
        <x:v>129.74</x:v>
      </x:c>
      <x:c r="M677" s="19" t="n">
        <x:v>12.97</x:v>
      </x:c>
      <x:c r="N677" s="19" t="n">
        <x:v>116.77</x:v>
      </x:c>
      <x:c r="O677" s="4" t="n">
        <x:f>YEAR(C677)</x:f>
        <x:v>2025</x:v>
      </x:c>
      <x:c r="P677" s="4" t="str">
        <x:f>TEXT(C677,"yyyy-mm")</x:f>
        <x:v>2025-12</x:v>
      </x:c>
      <x:c r="Q677" s="4" t="str">
        <x:f>TEXT(C677,"mmmm")</x:f>
        <x:v>December</x:v>
      </x:c>
    </x:row>
    <x:row r="678" ht="20" customHeight="1">
      <x:c r="A678" s="4" t="inlineStr">
        <x:is>
          <x:t xml:space="preserve">LINE-00683</x:t>
        </x:is>
      </x:c>
      <x:c r="B678" s="4" t="inlineStr">
        <x:is>
          <x:t xml:space="preserve">ORD-2025-0427</x:t>
        </x:is>
      </x:c>
      <x:c r="C678" s="17" t="n">
        <x:v>46005</x:v>
      </x:c>
      <x:c r="D678" s="4" t="inlineStr">
        <x:is>
          <x:t xml:space="preserve">CUS-0311</x:t>
        </x:is>
      </x:c>
      <x:c r="E678" s="4" t="inlineStr">
        <x:is>
          <x:t xml:space="preserve">Webcam</x:t>
        </x:is>
      </x:c>
      <x:c r="F678" s="4" t="inlineStr">
        <x:is>
          <x:t xml:space="preserve">Accessories</x:t>
        </x:is>
      </x:c>
      <x:c r="G678" s="4" t="inlineStr">
        <x:is>
          <x:t xml:space="preserve">Chicago</x:t>
        </x:is>
      </x:c>
      <x:c r="H678" s="18" t="n">
        <x:v>4</x:v>
      </x:c>
      <x:c r="I678" s="19" t="n">
        <x:v>88.29000000000001</x:v>
      </x:c>
      <x:c r="J678" s="20" t="n">
        <x:v>0</x:v>
      </x:c>
      <x:c r="K678" s="4" t="inlineStr">
        <x:is>
          <x:t xml:space="preserve">Debit Card</x:t>
        </x:is>
      </x:c>
      <x:c r="L678" s="19" t="n">
        <x:v>353.16</x:v>
      </x:c>
      <x:c r="M678" s="19" t="n">
        <x:v>0</x:v>
      </x:c>
      <x:c r="N678" s="19" t="n">
        <x:v>353.16</x:v>
      </x:c>
      <x:c r="O678" s="4" t="n">
        <x:f>YEAR(C678)</x:f>
        <x:v>2025</x:v>
      </x:c>
      <x:c r="P678" s="4" t="str">
        <x:f>TEXT(C678,"yyyy-mm")</x:f>
        <x:v>2025-12</x:v>
      </x:c>
      <x:c r="Q678" s="4" t="str">
        <x:f>TEXT(C678,"mmmm")</x:f>
        <x:v>December</x:v>
      </x:c>
    </x:row>
    <x:row r="679" ht="20" customHeight="1">
      <x:c r="A679" s="4" t="inlineStr">
        <x:is>
          <x:t xml:space="preserve">LINE-00684</x:t>
        </x:is>
      </x:c>
      <x:c r="B679" s="4" t="inlineStr">
        <x:is>
          <x:t xml:space="preserve">ORD-2025-0427</x:t>
        </x:is>
      </x:c>
      <x:c r="C679" s="17" t="n">
        <x:v>46005</x:v>
      </x:c>
      <x:c r="D679" s="4" t="inlineStr">
        <x:is>
          <x:t xml:space="preserve">CUS-0311</x:t>
        </x:is>
      </x:c>
      <x:c r="E679" s="4" t="inlineStr">
        <x:is>
          <x:t xml:space="preserve">Office Chair</x:t>
        </x:is>
      </x:c>
      <x:c r="F679" s="4" t="inlineStr">
        <x:is>
          <x:t xml:space="preserve">Furniture</x:t>
        </x:is>
      </x:c>
      <x:c r="G679" s="4" t="inlineStr">
        <x:is>
          <x:t xml:space="preserve">Chicago</x:t>
        </x:is>
      </x:c>
      <x:c r="H679" s="18" t="n">
        <x:v>2</x:v>
      </x:c>
      <x:c r="I679" s="19" t="n">
        <x:v>226.36</x:v>
      </x:c>
      <x:c r="J679" s="20" t="n">
        <x:v>0</x:v>
      </x:c>
      <x:c r="K679" s="4" t="inlineStr">
        <x:is>
          <x:t xml:space="preserve">Debit Card</x:t>
        </x:is>
      </x:c>
      <x:c r="L679" s="19" t="n">
        <x:v>452.72</x:v>
      </x:c>
      <x:c r="M679" s="19" t="n">
        <x:v>0</x:v>
      </x:c>
      <x:c r="N679" s="19" t="n">
        <x:v>452.72</x:v>
      </x:c>
      <x:c r="O679" s="4" t="n">
        <x:f>YEAR(C679)</x:f>
        <x:v>2025</x:v>
      </x:c>
      <x:c r="P679" s="4" t="str">
        <x:f>TEXT(C679,"yyyy-mm")</x:f>
        <x:v>2025-12</x:v>
      </x:c>
      <x:c r="Q679" s="4" t="str">
        <x:f>TEXT(C679,"mmmm")</x:f>
        <x:v>December</x:v>
      </x:c>
    </x:row>
    <x:row r="680" ht="20" customHeight="1">
      <x:c r="A680" s="4" t="inlineStr">
        <x:is>
          <x:t xml:space="preserve">LINE-00685</x:t>
        </x:is>
      </x:c>
      <x:c r="B680" s="4" t="inlineStr">
        <x:is>
          <x:t xml:space="preserve">ORD-2025-0428</x:t>
        </x:is>
      </x:c>
      <x:c r="C680" s="17" t="n">
        <x:v>45830</x:v>
      </x:c>
      <x:c r="D680" s="4" t="inlineStr">
        <x:is>
          <x:t xml:space="preserve">CUS-0216</x:t>
        </x:is>
      </x:c>
      <x:c r="E680" s="4" t="inlineStr">
        <x:is>
          <x:t xml:space="preserve">Monitor</x:t>
        </x:is>
      </x:c>
      <x:c r="F680" s="4" t="inlineStr">
        <x:is>
          <x:t xml:space="preserve">Computers</x:t>
        </x:is>
      </x:c>
      <x:c r="G680" s="4" t="inlineStr">
        <x:is>
          <x:t xml:space="preserve">San Francisco</x:t>
        </x:is>
      </x:c>
      <x:c r="H680" s="18" t="n">
        <x:v>1</x:v>
      </x:c>
      <x:c r="I680" s="19" t="n">
        <x:v>267.82</x:v>
      </x:c>
      <x:c r="J680" s="20" t="n">
        <x:v>0</x:v>
      </x:c>
      <x:c r="K680" s="4" t="inlineStr">
        <x:is>
          <x:t xml:space="preserve">Bank Transfer</x:t>
        </x:is>
      </x:c>
      <x:c r="L680" s="19" t="n">
        <x:v>267.82</x:v>
      </x:c>
      <x:c r="M680" s="19" t="n">
        <x:v>0</x:v>
      </x:c>
      <x:c r="N680" s="19" t="n">
        <x:v>267.82</x:v>
      </x:c>
      <x:c r="O680" s="4" t="n">
        <x:f>YEAR(C680)</x:f>
        <x:v>2025</x:v>
      </x:c>
      <x:c r="P680" s="4" t="str">
        <x:f>TEXT(C680,"yyyy-mm")</x:f>
        <x:v>2025-06</x:v>
      </x:c>
      <x:c r="Q680" s="4" t="str">
        <x:f>TEXT(C680,"mmmm")</x:f>
        <x:v>June</x:v>
      </x:c>
    </x:row>
    <x:row r="681" ht="20" customHeight="1">
      <x:c r="A681" s="4" t="inlineStr">
        <x:is>
          <x:t xml:space="preserve">LINE-00686</x:t>
        </x:is>
      </x:c>
      <x:c r="B681" s="4" t="inlineStr">
        <x:is>
          <x:t xml:space="preserve">ORD-2025-0428</x:t>
        </x:is>
      </x:c>
      <x:c r="C681" s="17" t="n">
        <x:v>45830</x:v>
      </x:c>
      <x:c r="D681" s="4" t="inlineStr">
        <x:is>
          <x:t xml:space="preserve">CUS-0216</x:t>
        </x:is>
      </x:c>
      <x:c r="E681" s="4" t="inlineStr">
        <x:is>
          <x:t xml:space="preserve">Desk Lamp</x:t>
        </x:is>
      </x:c>
      <x:c r="F681" s="4" t="inlineStr">
        <x:is>
          <x:t xml:space="preserve">Furniture</x:t>
        </x:is>
      </x:c>
      <x:c r="G681" s="4" t="inlineStr">
        <x:is>
          <x:t xml:space="preserve">San Francisco</x:t>
        </x:is>
      </x:c>
      <x:c r="H681" s="18" t="n">
        <x:v>1</x:v>
      </x:c>
      <x:c r="I681" s="19" t="n">
        <x:v>52.95</x:v>
      </x:c>
      <x:c r="J681" s="20" t="n">
        <x:v>0.05</x:v>
      </x:c>
      <x:c r="K681" s="4" t="inlineStr">
        <x:is>
          <x:t xml:space="preserve">Bank Transfer</x:t>
        </x:is>
      </x:c>
      <x:c r="L681" s="19" t="n">
        <x:v>52.95</x:v>
      </x:c>
      <x:c r="M681" s="19" t="n">
        <x:v>2.65</x:v>
      </x:c>
      <x:c r="N681" s="19" t="n">
        <x:v>50.3</x:v>
      </x:c>
      <x:c r="O681" s="4" t="n">
        <x:f>YEAR(C681)</x:f>
        <x:v>2025</x:v>
      </x:c>
      <x:c r="P681" s="4" t="str">
        <x:f>TEXT(C681,"yyyy-mm")</x:f>
        <x:v>2025-06</x:v>
      </x:c>
      <x:c r="Q681" s="4" t="str">
        <x:f>TEXT(C681,"mmmm")</x:f>
        <x:v>June</x:v>
      </x:c>
    </x:row>
    <x:row r="682" ht="20" customHeight="1">
      <x:c r="A682" s="4" t="inlineStr">
        <x:is>
          <x:t xml:space="preserve">LINE-00687</x:t>
        </x:is>
      </x:c>
      <x:c r="B682" s="4" t="inlineStr">
        <x:is>
          <x:t xml:space="preserve">ORD-2025-0429</x:t>
        </x:is>
      </x:c>
      <x:c r="C682" s="17" t="n">
        <x:v>45796</x:v>
      </x:c>
      <x:c r="D682" s="4" t="inlineStr">
        <x:is>
          <x:t xml:space="preserve">CUS-0228</x:t>
        </x:is>
      </x:c>
      <x:c r="E682" s="4" t="inlineStr">
        <x:is>
          <x:t xml:space="preserve">Keyboard</x:t>
        </x:is>
      </x:c>
      <x:c r="F682" s="4" t="inlineStr">
        <x:is>
          <x:t xml:space="preserve">Accessories</x:t>
        </x:is>
      </x:c>
      <x:c r="G682" s="4" t="inlineStr">
        <x:is>
          <x:t xml:space="preserve">Austin</x:t>
        </x:is>
      </x:c>
      <x:c r="H682" s="18" t="n">
        <x:v>3</x:v>
      </x:c>
      <x:c r="I682" s="19" t="n">
        <x:v>70.5</x:v>
      </x:c>
      <x:c r="J682" s="20" t="n">
        <x:v>0</x:v>
      </x:c>
      <x:c r="K682" s="4" t="inlineStr">
        <x:is>
          <x:t xml:space="preserve">Bank Transfer</x:t>
        </x:is>
      </x:c>
      <x:c r="L682" s="19" t="n">
        <x:v>211.5</x:v>
      </x:c>
      <x:c r="M682" s="19" t="n">
        <x:v>0</x:v>
      </x:c>
      <x:c r="N682" s="19" t="n">
        <x:v>211.5</x:v>
      </x:c>
      <x:c r="O682" s="4" t="n">
        <x:f>YEAR(C682)</x:f>
        <x:v>2025</x:v>
      </x:c>
      <x:c r="P682" s="4" t="str">
        <x:f>TEXT(C682,"yyyy-mm")</x:f>
        <x:v>2025-05</x:v>
      </x:c>
      <x:c r="Q682" s="4" t="str">
        <x:f>TEXT(C682,"mmmm")</x:f>
        <x:v>May</x:v>
      </x:c>
    </x:row>
    <x:row r="683" ht="20" customHeight="1">
      <x:c r="A683" s="4" t="inlineStr">
        <x:is>
          <x:t xml:space="preserve">LINE-00688</x:t>
        </x:is>
      </x:c>
      <x:c r="B683" s="4" t="inlineStr">
        <x:is>
          <x:t xml:space="preserve">ORD-2025-0430</x:t>
        </x:is>
      </x:c>
      <x:c r="C683" s="17" t="n">
        <x:v>45786</x:v>
      </x:c>
      <x:c r="D683" s="4" t="inlineStr">
        <x:is>
          <x:t xml:space="preserve">CUS-0041</x:t>
        </x:is>
      </x:c>
      <x:c r="E683" s="4" t="inlineStr">
        <x:is>
          <x:t xml:space="preserve">Monitor</x:t>
        </x:is>
      </x:c>
      <x:c r="F683" s="4" t="inlineStr">
        <x:is>
          <x:t xml:space="preserve">Computers</x:t>
        </x:is>
      </x:c>
      <x:c r="G683" s="4" t="inlineStr">
        <x:is>
          <x:t xml:space="preserve">Chicago</x:t>
        </x:is>
      </x:c>
      <x:c r="H683" s="18" t="n">
        <x:v>1</x:v>
      </x:c>
      <x:c r="I683" s="19" t="n">
        <x:v>296.97</x:v>
      </x:c>
      <x:c r="J683" s="20" t="n">
        <x:v>0.05</x:v>
      </x:c>
      <x:c r="K683" s="4" t="inlineStr">
        <x:is>
          <x:t xml:space="preserve">Debit Card</x:t>
        </x:is>
      </x:c>
      <x:c r="L683" s="19" t="n">
        <x:v>296.97</x:v>
      </x:c>
      <x:c r="M683" s="19" t="n">
        <x:v>14.85</x:v>
      </x:c>
      <x:c r="N683" s="19" t="n">
        <x:v>282.12</x:v>
      </x:c>
      <x:c r="O683" s="4" t="n">
        <x:f>YEAR(C683)</x:f>
        <x:v>2025</x:v>
      </x:c>
      <x:c r="P683" s="4" t="str">
        <x:f>TEXT(C683,"yyyy-mm")</x:f>
        <x:v>2025-05</x:v>
      </x:c>
      <x:c r="Q683" s="4" t="str">
        <x:f>TEXT(C683,"mmmm")</x:f>
        <x:v>May</x:v>
      </x:c>
    </x:row>
    <x:row r="684" ht="20" customHeight="1">
      <x:c r="A684" s="4" t="inlineStr">
        <x:is>
          <x:t xml:space="preserve">LINE-00689</x:t>
        </x:is>
      </x:c>
      <x:c r="B684" s="4" t="inlineStr">
        <x:is>
          <x:t xml:space="preserve">ORD-2025-0431</x:t>
        </x:is>
      </x:c>
      <x:c r="C684" s="17" t="n">
        <x:v>45671</x:v>
      </x:c>
      <x:c r="D684" s="4" t="inlineStr">
        <x:is>
          <x:t xml:space="preserve">CUS-0204</x:t>
        </x:is>
      </x:c>
      <x:c r="E684" s="4" t="inlineStr">
        <x:is>
          <x:t xml:space="preserve">USB Flash Drive</x:t>
        </x:is>
      </x:c>
      <x:c r="F684" s="4" t="inlineStr">
        <x:is>
          <x:t xml:space="preserve">Storage</x:t>
        </x:is>
      </x:c>
      <x:c r="G684" s="4" t="inlineStr">
        <x:is>
          <x:t xml:space="preserve">Boston</x:t>
        </x:is>
      </x:c>
      <x:c r="H684" s="18" t="n">
        <x:v>1</x:v>
      </x:c>
      <x:c r="I684" s="19" t="n">
        <x:v>30.74</x:v>
      </x:c>
      <x:c r="J684" s="20" t="n">
        <x:v>0.15</x:v>
      </x:c>
      <x:c r="K684" s="4" t="inlineStr">
        <x:is>
          <x:t xml:space="preserve">Credit Card</x:t>
        </x:is>
      </x:c>
      <x:c r="L684" s="19" t="n">
        <x:v>30.74</x:v>
      </x:c>
      <x:c r="M684" s="19" t="n">
        <x:v>4.61</x:v>
      </x:c>
      <x:c r="N684" s="19" t="n">
        <x:v>26.13</x:v>
      </x:c>
      <x:c r="O684" s="4" t="n">
        <x:f>YEAR(C684)</x:f>
        <x:v>2025</x:v>
      </x:c>
      <x:c r="P684" s="4" t="str">
        <x:f>TEXT(C684,"yyyy-mm")</x:f>
        <x:v>2025-01</x:v>
      </x:c>
      <x:c r="Q684" s="4" t="str">
        <x:f>TEXT(C684,"mmmm")</x:f>
        <x:v>January</x:v>
      </x:c>
    </x:row>
    <x:row r="685" ht="20" customHeight="1">
      <x:c r="A685" s="4" t="inlineStr">
        <x:is>
          <x:t xml:space="preserve">LINE-00690</x:t>
        </x:is>
      </x:c>
      <x:c r="B685" s="4" t="inlineStr">
        <x:is>
          <x:t xml:space="preserve">ORD-2025-0432</x:t>
        </x:is>
      </x:c>
      <x:c r="C685" s="17" t="n">
        <x:v>45816</x:v>
      </x:c>
      <x:c r="D685" s="4" t="inlineStr">
        <x:is>
          <x:t xml:space="preserve">CUS-0118</x:t>
        </x:is>
      </x:c>
      <x:c r="E685" s="4" t="inlineStr">
        <x:is>
          <x:t xml:space="preserve">Keyboard</x:t>
        </x:is>
      </x:c>
      <x:c r="F685" s="4" t="inlineStr">
        <x:is>
          <x:t xml:space="preserve">Accessories</x:t>
        </x:is>
      </x:c>
      <x:c r="G685" s="4" t="inlineStr">
        <x:is>
          <x:t xml:space="preserve">Chicago</x:t>
        </x:is>
      </x:c>
      <x:c r="H685" s="18" t="n">
        <x:v>1</x:v>
      </x:c>
      <x:c r="I685" s="19" t="n">
        <x:v>79.06</x:v>
      </x:c>
      <x:c r="J685" s="20" t="n">
        <x:v>0</x:v>
      </x:c>
      <x:c r="K685" s="4" t="inlineStr">
        <x:is>
          <x:t xml:space="preserve">Unknown</x:t>
        </x:is>
      </x:c>
      <x:c r="L685" s="19" t="n">
        <x:v>79.06</x:v>
      </x:c>
      <x:c r="M685" s="19" t="n">
        <x:v>0</x:v>
      </x:c>
      <x:c r="N685" s="19" t="n">
        <x:v>79.06</x:v>
      </x:c>
      <x:c r="O685" s="4" t="n">
        <x:f>YEAR(C685)</x:f>
        <x:v>2025</x:v>
      </x:c>
      <x:c r="P685" s="4" t="str">
        <x:f>TEXT(C685,"yyyy-mm")</x:f>
        <x:v>2025-06</x:v>
      </x:c>
      <x:c r="Q685" s="4" t="str">
        <x:f>TEXT(C685,"mmmm")</x:f>
        <x:v>June</x:v>
      </x:c>
    </x:row>
    <x:row r="686" ht="20" customHeight="1">
      <x:c r="A686" s="4" t="inlineStr">
        <x:is>
          <x:t xml:space="preserve">LINE-00691</x:t>
        </x:is>
      </x:c>
      <x:c r="B686" s="4" t="inlineStr">
        <x:is>
          <x:t xml:space="preserve">ORD-2025-0433</x:t>
        </x:is>
      </x:c>
      <x:c r="C686" s="17" t="n">
        <x:v>45997</x:v>
      </x:c>
      <x:c r="D686" s="4" t="inlineStr">
        <x:is>
          <x:t xml:space="preserve">CUS-0183</x:t>
        </x:is>
      </x:c>
      <x:c r="E686" s="4" t="inlineStr">
        <x:is>
          <x:t xml:space="preserve">External SSD</x:t>
        </x:is>
      </x:c>
      <x:c r="F686" s="4" t="inlineStr">
        <x:is>
          <x:t xml:space="preserve">Storage</x:t>
        </x:is>
      </x:c>
      <x:c r="G686" s="4" t="inlineStr">
        <x:is>
          <x:t xml:space="preserve">Austin</x:t>
        </x:is>
      </x:c>
      <x:c r="H686" s="18" t="n">
        <x:v>4</x:v>
      </x:c>
      <x:c r="I686" s="19" t="n">
        <x:v>151.17</x:v>
      </x:c>
      <x:c r="J686" s="20" t="n">
        <x:v>0</x:v>
      </x:c>
      <x:c r="K686" s="4" t="inlineStr">
        <x:is>
          <x:t xml:space="preserve">Bank Transfer</x:t>
        </x:is>
      </x:c>
      <x:c r="L686" s="19" t="n">
        <x:v>604.6799999999999</x:v>
      </x:c>
      <x:c r="M686" s="19" t="n">
        <x:v>0</x:v>
      </x:c>
      <x:c r="N686" s="19" t="n">
        <x:v>604.6799999999999</x:v>
      </x:c>
      <x:c r="O686" s="4" t="n">
        <x:f>YEAR(C686)</x:f>
        <x:v>2025</x:v>
      </x:c>
      <x:c r="P686" s="4" t="str">
        <x:f>TEXT(C686,"yyyy-mm")</x:f>
        <x:v>2025-12</x:v>
      </x:c>
      <x:c r="Q686" s="4" t="str">
        <x:f>TEXT(C686,"mmmm")</x:f>
        <x:v>December</x:v>
      </x:c>
    </x:row>
    <x:row r="687" ht="20" customHeight="1">
      <x:c r="A687" s="4" t="inlineStr">
        <x:is>
          <x:t xml:space="preserve">LINE-00692</x:t>
        </x:is>
      </x:c>
      <x:c r="B687" s="4" t="inlineStr">
        <x:is>
          <x:t xml:space="preserve">ORD-2025-0434</x:t>
        </x:is>
      </x:c>
      <x:c r="C687" s="17" t="n">
        <x:v>46015</x:v>
      </x:c>
      <x:c r="D687" s="4" t="inlineStr">
        <x:is>
          <x:t xml:space="preserve">CUS-0277</x:t>
        </x:is>
      </x:c>
      <x:c r="E687" s="4" t="inlineStr">
        <x:is>
          <x:t xml:space="preserve">Office Chair</x:t>
        </x:is>
      </x:c>
      <x:c r="F687" s="4" t="inlineStr">
        <x:is>
          <x:t xml:space="preserve">Furniture</x:t>
        </x:is>
      </x:c>
      <x:c r="G687" s="4" t="inlineStr">
        <x:is>
          <x:t xml:space="preserve">Chicago</x:t>
        </x:is>
      </x:c>
      <x:c r="H687" s="18" t="n">
        <x:v>2</x:v>
      </x:c>
      <x:c r="I687" s="19" t="n">
        <x:v>245.37</x:v>
      </x:c>
      <x:c r="J687" s="20" t="n">
        <x:v>0.05</x:v>
      </x:c>
      <x:c r="K687" s="4" t="inlineStr">
        <x:is>
          <x:t xml:space="preserve">Bank Transfer</x:t>
        </x:is>
      </x:c>
      <x:c r="L687" s="19" t="n">
        <x:v>490.74</x:v>
      </x:c>
      <x:c r="M687" s="19" t="n">
        <x:v>24.54</x:v>
      </x:c>
      <x:c r="N687" s="19" t="n">
        <x:v>466.2</x:v>
      </x:c>
      <x:c r="O687" s="4" t="n">
        <x:f>YEAR(C687)</x:f>
        <x:v>2025</x:v>
      </x:c>
      <x:c r="P687" s="4" t="str">
        <x:f>TEXT(C687,"yyyy-mm")</x:f>
        <x:v>2025-12</x:v>
      </x:c>
      <x:c r="Q687" s="4" t="str">
        <x:f>TEXT(C687,"mmmm")</x:f>
        <x:v>December</x:v>
      </x:c>
    </x:row>
    <x:row r="688" ht="20" customHeight="1">
      <x:c r="A688" s="4" t="inlineStr">
        <x:is>
          <x:t xml:space="preserve">LINE-00693</x:t>
        </x:is>
      </x:c>
      <x:c r="B688" s="4" t="inlineStr">
        <x:is>
          <x:t xml:space="preserve">ORD-2025-0434</x:t>
        </x:is>
      </x:c>
      <x:c r="C688" s="17" t="n">
        <x:v>46015</x:v>
      </x:c>
      <x:c r="D688" s="4" t="inlineStr">
        <x:is>
          <x:t xml:space="preserve">CUS-0277</x:t>
        </x:is>
      </x:c>
      <x:c r="E688" s="4" t="inlineStr">
        <x:is>
          <x:t xml:space="preserve">USB Flash Drive</x:t>
        </x:is>
      </x:c>
      <x:c r="F688" s="4" t="inlineStr">
        <x:is>
          <x:t xml:space="preserve">Storage</x:t>
        </x:is>
      </x:c>
      <x:c r="G688" s="4" t="inlineStr">
        <x:is>
          <x:t xml:space="preserve">Chicago</x:t>
        </x:is>
      </x:c>
      <x:c r="H688" s="18" t="n">
        <x:v>4</x:v>
      </x:c>
      <x:c r="I688" s="19" t="n">
        <x:v>29.91</x:v>
      </x:c>
      <x:c r="J688" s="20" t="n">
        <x:v>0</x:v>
      </x:c>
      <x:c r="K688" s="4" t="inlineStr">
        <x:is>
          <x:t xml:space="preserve">Bank Transfer</x:t>
        </x:is>
      </x:c>
      <x:c r="L688" s="19" t="n">
        <x:v>119.64</x:v>
      </x:c>
      <x:c r="M688" s="19" t="n">
        <x:v>0</x:v>
      </x:c>
      <x:c r="N688" s="19" t="n">
        <x:v>119.64</x:v>
      </x:c>
      <x:c r="O688" s="4" t="n">
        <x:f>YEAR(C688)</x:f>
        <x:v>2025</x:v>
      </x:c>
      <x:c r="P688" s="4" t="str">
        <x:f>TEXT(C688,"yyyy-mm")</x:f>
        <x:v>2025-12</x:v>
      </x:c>
      <x:c r="Q688" s="4" t="str">
        <x:f>TEXT(C688,"mmmm")</x:f>
        <x:v>December</x:v>
      </x:c>
    </x:row>
    <x:row r="689" ht="20" customHeight="1">
      <x:c r="A689" s="4" t="inlineStr">
        <x:is>
          <x:t xml:space="preserve">LINE-00694</x:t>
        </x:is>
      </x:c>
      <x:c r="B689" s="4" t="inlineStr">
        <x:is>
          <x:t xml:space="preserve">ORD-2025-0435</x:t>
        </x:is>
      </x:c>
      <x:c r="C689" s="17" t="n">
        <x:v>45703</x:v>
      </x:c>
      <x:c r="D689" s="4" t="inlineStr">
        <x:is>
          <x:t xml:space="preserve">CUS-0227</x:t>
        </x:is>
      </x:c>
      <x:c r="E689" s="4" t="inlineStr">
        <x:is>
          <x:t xml:space="preserve">Keyboard</x:t>
        </x:is>
      </x:c>
      <x:c r="F689" s="4" t="inlineStr">
        <x:is>
          <x:t xml:space="preserve">Accessories</x:t>
        </x:is>
      </x:c>
      <x:c r="G689" s="4" t="inlineStr">
        <x:is>
          <x:t xml:space="preserve">Austin</x:t>
        </x:is>
      </x:c>
      <x:c r="H689" s="18" t="n">
        <x:v>1</x:v>
      </x:c>
      <x:c r="I689" s="19" t="n">
        <x:v>69</x:v>
      </x:c>
      <x:c r="J689" s="20" t="n">
        <x:v>0.1</x:v>
      </x:c>
      <x:c r="K689" s="4" t="inlineStr">
        <x:is>
          <x:t xml:space="preserve">PayPal</x:t>
        </x:is>
      </x:c>
      <x:c r="L689" s="19" t="n">
        <x:v>69</x:v>
      </x:c>
      <x:c r="M689" s="19" t="n">
        <x:v>6.9</x:v>
      </x:c>
      <x:c r="N689" s="19" t="n">
        <x:v>62.1</x:v>
      </x:c>
      <x:c r="O689" s="4" t="n">
        <x:f>YEAR(C689)</x:f>
        <x:v>2025</x:v>
      </x:c>
      <x:c r="P689" s="4" t="str">
        <x:f>TEXT(C689,"yyyy-mm")</x:f>
        <x:v>2025-02</x:v>
      </x:c>
      <x:c r="Q689" s="4" t="str">
        <x:f>TEXT(C689,"mmmm")</x:f>
        <x:v>February</x:v>
      </x:c>
    </x:row>
    <x:row r="690" ht="20" customHeight="1">
      <x:c r="A690" s="4" t="inlineStr">
        <x:is>
          <x:t xml:space="preserve">LINE-00695</x:t>
        </x:is>
      </x:c>
      <x:c r="B690" s="4" t="inlineStr">
        <x:is>
          <x:t xml:space="preserve">ORD-2025-0436</x:t>
        </x:is>
      </x:c>
      <x:c r="C690" s="17" t="n">
        <x:v>45727</x:v>
      </x:c>
      <x:c r="D690" s="4" t="inlineStr">
        <x:is>
          <x:t xml:space="preserve">CUS-0177</x:t>
        </x:is>
      </x:c>
      <x:c r="E690" s="4" t="inlineStr">
        <x:is>
          <x:t xml:space="preserve">Desk Lamp</x:t>
        </x:is>
      </x:c>
      <x:c r="F690" s="4" t="inlineStr">
        <x:is>
          <x:t xml:space="preserve">Furniture</x:t>
        </x:is>
      </x:c>
      <x:c r="G690" s="4" t="inlineStr">
        <x:is>
          <x:t xml:space="preserve">Austin</x:t>
        </x:is>
      </x:c>
      <x:c r="H690" s="18" t="n">
        <x:v>4</x:v>
      </x:c>
      <x:c r="I690" s="19" t="n">
        <x:v>54.8</x:v>
      </x:c>
      <x:c r="J690" s="20" t="n">
        <x:v>0</x:v>
      </x:c>
      <x:c r="K690" s="4" t="inlineStr">
        <x:is>
          <x:t xml:space="preserve">Bank Transfer</x:t>
        </x:is>
      </x:c>
      <x:c r="L690" s="19" t="n">
        <x:v>219.2</x:v>
      </x:c>
      <x:c r="M690" s="19" t="n">
        <x:v>0</x:v>
      </x:c>
      <x:c r="N690" s="19" t="n">
        <x:v>219.2</x:v>
      </x:c>
      <x:c r="O690" s="4" t="n">
        <x:f>YEAR(C690)</x:f>
        <x:v>2025</x:v>
      </x:c>
      <x:c r="P690" s="4" t="str">
        <x:f>TEXT(C690,"yyyy-mm")</x:f>
        <x:v>2025-03</x:v>
      </x:c>
      <x:c r="Q690" s="4" t="str">
        <x:f>TEXT(C690,"mmmm")</x:f>
        <x:v>March</x:v>
      </x:c>
    </x:row>
    <x:row r="691" ht="20" customHeight="1">
      <x:c r="A691" s="4" t="inlineStr">
        <x:is>
          <x:t xml:space="preserve">LINE-00696</x:t>
        </x:is>
      </x:c>
      <x:c r="B691" s="4" t="inlineStr">
        <x:is>
          <x:t xml:space="preserve">ORD-2025-0436</x:t>
        </x:is>
      </x:c>
      <x:c r="C691" s="17" t="n">
        <x:v>45727</x:v>
      </x:c>
      <x:c r="D691" s="4" t="inlineStr">
        <x:is>
          <x:t xml:space="preserve">CUS-0177</x:t>
        </x:is>
      </x:c>
      <x:c r="E691" s="4" t="inlineStr">
        <x:is>
          <x:t xml:space="preserve">Bluetooth Speaker</x:t>
        </x:is>
      </x:c>
      <x:c r="F691" s="4" t="inlineStr">
        <x:is>
          <x:t xml:space="preserve">Audio</x:t>
        </x:is>
      </x:c>
      <x:c r="G691" s="4" t="inlineStr">
        <x:is>
          <x:t xml:space="preserve">Austin</x:t>
        </x:is>
      </x:c>
      <x:c r="H691" s="18" t="n">
        <x:v>2</x:v>
      </x:c>
      <x:c r="I691" s="19" t="n">
        <x:v>106.36</x:v>
      </x:c>
      <x:c r="J691" s="20" t="n">
        <x:v>0</x:v>
      </x:c>
      <x:c r="K691" s="4" t="inlineStr">
        <x:is>
          <x:t xml:space="preserve">Bank Transfer</x:t>
        </x:is>
      </x:c>
      <x:c r="L691" s="19" t="n">
        <x:v>212.72</x:v>
      </x:c>
      <x:c r="M691" s="19" t="n">
        <x:v>0</x:v>
      </x:c>
      <x:c r="N691" s="19" t="n">
        <x:v>212.72</x:v>
      </x:c>
      <x:c r="O691" s="4" t="n">
        <x:f>YEAR(C691)</x:f>
        <x:v>2025</x:v>
      </x:c>
      <x:c r="P691" s="4" t="str">
        <x:f>TEXT(C691,"yyyy-mm")</x:f>
        <x:v>2025-03</x:v>
      </x:c>
      <x:c r="Q691" s="4" t="str">
        <x:f>TEXT(C691,"mmmm")</x:f>
        <x:v>March</x:v>
      </x:c>
    </x:row>
    <x:row r="692" ht="20" customHeight="1">
      <x:c r="A692" s="4" t="inlineStr">
        <x:is>
          <x:t xml:space="preserve">LINE-00697</x:t>
        </x:is>
      </x:c>
      <x:c r="B692" s="4" t="inlineStr">
        <x:is>
          <x:t xml:space="preserve">ORD-2025-0437</x:t>
        </x:is>
      </x:c>
      <x:c r="C692" s="17" t="n">
        <x:v>45661</x:v>
      </x:c>
      <x:c r="D692" s="4" t="inlineStr">
        <x:is>
          <x:t xml:space="preserve">CUS-0281</x:t>
        </x:is>
      </x:c>
      <x:c r="E692" s="4" t="inlineStr">
        <x:is>
          <x:t xml:space="preserve">External SSD</x:t>
        </x:is>
      </x:c>
      <x:c r="F692" s="4" t="inlineStr">
        <x:is>
          <x:t xml:space="preserve">Storage</x:t>
        </x:is>
      </x:c>
      <x:c r="G692" s="4" t="inlineStr">
        <x:is>
          <x:t xml:space="preserve">Austin</x:t>
        </x:is>
      </x:c>
      <x:c r="H692" s="18" t="n">
        <x:v>2</x:v>
      </x:c>
      <x:c r="I692" s="19" t="n">
        <x:v>144</x:v>
      </x:c>
      <x:c r="J692" s="20" t="n">
        <x:v>0.1</x:v>
      </x:c>
      <x:c r="K692" s="4" t="inlineStr">
        <x:is>
          <x:t xml:space="preserve">Debit Card</x:t>
        </x:is>
      </x:c>
      <x:c r="L692" s="19" t="n">
        <x:v>288</x:v>
      </x:c>
      <x:c r="M692" s="19" t="n">
        <x:v>28.8</x:v>
      </x:c>
      <x:c r="N692" s="19" t="n">
        <x:v>259.2</x:v>
      </x:c>
      <x:c r="O692" s="4" t="n">
        <x:f>YEAR(C692)</x:f>
        <x:v>2025</x:v>
      </x:c>
      <x:c r="P692" s="4" t="str">
        <x:f>TEXT(C692,"yyyy-mm")</x:f>
        <x:v>2025-01</x:v>
      </x:c>
      <x:c r="Q692" s="4" t="str">
        <x:f>TEXT(C692,"mmmm")</x:f>
        <x:v>January</x:v>
      </x:c>
    </x:row>
    <x:row r="693" ht="20" customHeight="1">
      <x:c r="A693" s="4" t="inlineStr">
        <x:is>
          <x:t xml:space="preserve">LINE-00698</x:t>
        </x:is>
      </x:c>
      <x:c r="B693" s="4" t="inlineStr">
        <x:is>
          <x:t xml:space="preserve">ORD-2025-0438</x:t>
        </x:is>
      </x:c>
      <x:c r="C693" s="17" t="n">
        <x:v>45988</x:v>
      </x:c>
      <x:c r="D693" s="4" t="inlineStr">
        <x:is>
          <x:t xml:space="preserve">CUS-0200</x:t>
        </x:is>
      </x:c>
      <x:c r="E693" s="4" t="inlineStr">
        <x:is>
          <x:t xml:space="preserve">Headphones</x:t>
        </x:is>
      </x:c>
      <x:c r="F693" s="4" t="inlineStr">
        <x:is>
          <x:t xml:space="preserve">Audio</x:t>
        </x:is>
      </x:c>
      <x:c r="G693" s="4" t="inlineStr">
        <x:is>
          <x:t xml:space="preserve">Seattle</x:t>
        </x:is>
      </x:c>
      <x:c r="H693" s="18" t="n">
        <x:v>2</x:v>
      </x:c>
      <x:c r="I693" s="19" t="n">
        <x:v>130.35</x:v>
      </x:c>
      <x:c r="J693" s="20" t="n">
        <x:v>0.1</x:v>
      </x:c>
      <x:c r="K693" s="4" t="inlineStr">
        <x:is>
          <x:t xml:space="preserve">Debit Card</x:t>
        </x:is>
      </x:c>
      <x:c r="L693" s="19" t="n">
        <x:v>260.7</x:v>
      </x:c>
      <x:c r="M693" s="19" t="n">
        <x:v>26.07</x:v>
      </x:c>
      <x:c r="N693" s="19" t="n">
        <x:v>234.63</x:v>
      </x:c>
      <x:c r="O693" s="4" t="n">
        <x:f>YEAR(C693)</x:f>
        <x:v>2025</x:v>
      </x:c>
      <x:c r="P693" s="4" t="str">
        <x:f>TEXT(C693,"yyyy-mm")</x:f>
        <x:v>2025-11</x:v>
      </x:c>
      <x:c r="Q693" s="4" t="str">
        <x:f>TEXT(C693,"mmmm")</x:f>
        <x:v>November</x:v>
      </x:c>
    </x:row>
    <x:row r="694" ht="20" customHeight="1">
      <x:c r="A694" s="4" t="inlineStr">
        <x:is>
          <x:t xml:space="preserve">LINE-00699</x:t>
        </x:is>
      </x:c>
      <x:c r="B694" s="4" t="inlineStr">
        <x:is>
          <x:t xml:space="preserve">ORD-2025-0439</x:t>
        </x:is>
      </x:c>
      <x:c r="C694" s="17" t="n">
        <x:v>45971</x:v>
      </x:c>
      <x:c r="D694" s="4" t="inlineStr">
        <x:is>
          <x:t xml:space="preserve">CUS-0140</x:t>
        </x:is>
      </x:c>
      <x:c r="E694" s="4" t="inlineStr">
        <x:is>
          <x:t xml:space="preserve">Monitor</x:t>
        </x:is>
      </x:c>
      <x:c r="F694" s="4" t="inlineStr">
        <x:is>
          <x:t xml:space="preserve">Computers</x:t>
        </x:is>
      </x:c>
      <x:c r="G694" s="4" t="inlineStr">
        <x:is>
          <x:t xml:space="preserve">Austin</x:t>
        </x:is>
      </x:c>
      <x:c r="H694" s="18" t="n">
        <x:v>1</x:v>
      </x:c>
      <x:c r="I694" s="19" t="n">
        <x:v>270.57</x:v>
      </x:c>
      <x:c r="J694" s="20" t="n">
        <x:v>0.05</x:v>
      </x:c>
      <x:c r="K694" s="4" t="inlineStr">
        <x:is>
          <x:t xml:space="preserve">PayPal</x:t>
        </x:is>
      </x:c>
      <x:c r="L694" s="19" t="n">
        <x:v>270.57</x:v>
      </x:c>
      <x:c r="M694" s="19" t="n">
        <x:v>13.53</x:v>
      </x:c>
      <x:c r="N694" s="19" t="n">
        <x:v>257.04</x:v>
      </x:c>
      <x:c r="O694" s="4" t="n">
        <x:f>YEAR(C694)</x:f>
        <x:v>2025</x:v>
      </x:c>
      <x:c r="P694" s="4" t="str">
        <x:f>TEXT(C694,"yyyy-mm")</x:f>
        <x:v>2025-11</x:v>
      </x:c>
      <x:c r="Q694" s="4" t="str">
        <x:f>TEXT(C694,"mmmm")</x:f>
        <x:v>November</x:v>
      </x:c>
    </x:row>
    <x:row r="695" ht="20" customHeight="1">
      <x:c r="A695" s="4" t="inlineStr">
        <x:is>
          <x:t xml:space="preserve">LINE-00700</x:t>
        </x:is>
      </x:c>
      <x:c r="B695" s="4" t="inlineStr">
        <x:is>
          <x:t xml:space="preserve">ORD-2025-0440</x:t>
        </x:is>
      </x:c>
      <x:c r="C695" s="17" t="n">
        <x:v>45974</x:v>
      </x:c>
      <x:c r="D695" s="4" t="inlineStr">
        <x:is>
          <x:t xml:space="preserve">CUS-0232</x:t>
        </x:is>
      </x:c>
      <x:c r="E695" s="4" t="inlineStr">
        <x:is>
          <x:t xml:space="preserve">Laptop</x:t>
        </x:is>
      </x:c>
      <x:c r="F695" s="4" t="inlineStr">
        <x:is>
          <x:t xml:space="preserve">Computers</x:t>
        </x:is>
      </x:c>
      <x:c r="G695" s="4" t="inlineStr">
        <x:is>
          <x:t xml:space="preserve">Austin</x:t>
        </x:is>
      </x:c>
      <x:c r="H695" s="18" t="n">
        <x:v>1</x:v>
      </x:c>
      <x:c r="I695" s="19" t="n">
        <x:v>1021.4</x:v>
      </x:c>
      <x:c r="J695" s="20" t="n">
        <x:v>0</x:v>
      </x:c>
      <x:c r="K695" s="4" t="inlineStr">
        <x:is>
          <x:t xml:space="preserve">Bank Transfer</x:t>
        </x:is>
      </x:c>
      <x:c r="L695" s="19" t="n">
        <x:v>1021.4</x:v>
      </x:c>
      <x:c r="M695" s="19" t="n">
        <x:v>0</x:v>
      </x:c>
      <x:c r="N695" s="19" t="n">
        <x:v>1021.4</x:v>
      </x:c>
      <x:c r="O695" s="4" t="n">
        <x:f>YEAR(C695)</x:f>
        <x:v>2025</x:v>
      </x:c>
      <x:c r="P695" s="4" t="str">
        <x:f>TEXT(C695,"yyyy-mm")</x:f>
        <x:v>2025-11</x:v>
      </x:c>
      <x:c r="Q695" s="4" t="str">
        <x:f>TEXT(C695,"mmmm")</x:f>
        <x:v>November</x:v>
      </x:c>
    </x:row>
    <x:row r="696" ht="20" customHeight="1">
      <x:c r="A696" s="4" t="inlineStr">
        <x:is>
          <x:t xml:space="preserve">LINE-00701</x:t>
        </x:is>
      </x:c>
      <x:c r="B696" s="4" t="inlineStr">
        <x:is>
          <x:t xml:space="preserve">ORD-2025-0441</x:t>
        </x:is>
      </x:c>
      <x:c r="C696" s="17" t="n">
        <x:v>45710</x:v>
      </x:c>
      <x:c r="D696" s="4" t="inlineStr">
        <x:is>
          <x:t xml:space="preserve">CUS-0145</x:t>
        </x:is>
      </x:c>
      <x:c r="E696" s="4" t="inlineStr">
        <x:is>
          <x:t xml:space="preserve">Desk Lamp</x:t>
        </x:is>
      </x:c>
      <x:c r="F696" s="4" t="inlineStr">
        <x:is>
          <x:t xml:space="preserve">Furniture</x:t>
        </x:is>
      </x:c>
      <x:c r="G696" s="4" t="inlineStr">
        <x:is>
          <x:t xml:space="preserve">Austin</x:t>
        </x:is>
      </x:c>
      <x:c r="H696" s="18" t="n">
        <x:v>1</x:v>
      </x:c>
      <x:c r="I696" s="19" t="n">
        <x:v>51.93</x:v>
      </x:c>
      <x:c r="J696" s="20" t="n">
        <x:v>0.05</x:v>
      </x:c>
      <x:c r="K696" s="4" t="inlineStr">
        <x:is>
          <x:t xml:space="preserve">Debit Card</x:t>
        </x:is>
      </x:c>
      <x:c r="L696" s="19" t="n">
        <x:v>51.93</x:v>
      </x:c>
      <x:c r="M696" s="19" t="n">
        <x:v>2.6</x:v>
      </x:c>
      <x:c r="N696" s="19" t="n">
        <x:v>49.33</x:v>
      </x:c>
      <x:c r="O696" s="4" t="n">
        <x:f>YEAR(C696)</x:f>
        <x:v>2025</x:v>
      </x:c>
      <x:c r="P696" s="4" t="str">
        <x:f>TEXT(C696,"yyyy-mm")</x:f>
        <x:v>2025-02</x:v>
      </x:c>
      <x:c r="Q696" s="4" t="str">
        <x:f>TEXT(C696,"mmmm")</x:f>
        <x:v>February</x:v>
      </x:c>
    </x:row>
    <x:row r="697" ht="20" customHeight="1">
      <x:c r="A697" s="4" t="inlineStr">
        <x:is>
          <x:t xml:space="preserve">LINE-00702</x:t>
        </x:is>
      </x:c>
      <x:c r="B697" s="4" t="inlineStr">
        <x:is>
          <x:t xml:space="preserve">ORD-2025-0441</x:t>
        </x:is>
      </x:c>
      <x:c r="C697" s="17" t="n">
        <x:v>45710</x:v>
      </x:c>
      <x:c r="D697" s="4" t="inlineStr">
        <x:is>
          <x:t xml:space="preserve">CUS-0145</x:t>
        </x:is>
      </x:c>
      <x:c r="E697" s="4" t="inlineStr">
        <x:is>
          <x:t xml:space="preserve">Laptop</x:t>
        </x:is>
      </x:c>
      <x:c r="F697" s="4" t="inlineStr">
        <x:is>
          <x:t xml:space="preserve">Computers</x:t>
        </x:is>
      </x:c>
      <x:c r="G697" s="4" t="inlineStr">
        <x:is>
          <x:t xml:space="preserve">Austin</x:t>
        </x:is>
      </x:c>
      <x:c r="H697" s="18" t="n">
        <x:v>1</x:v>
      </x:c>
      <x:c r="I697" s="19" t="n">
        <x:v>921.36</x:v>
      </x:c>
      <x:c r="J697" s="20" t="n">
        <x:v>0.1</x:v>
      </x:c>
      <x:c r="K697" s="4" t="inlineStr">
        <x:is>
          <x:t xml:space="preserve">Debit Card</x:t>
        </x:is>
      </x:c>
      <x:c r="L697" s="19" t="n">
        <x:v>921.36</x:v>
      </x:c>
      <x:c r="M697" s="19" t="n">
        <x:v>92.14</x:v>
      </x:c>
      <x:c r="N697" s="19" t="n">
        <x:v>829.22</x:v>
      </x:c>
      <x:c r="O697" s="4" t="n">
        <x:f>YEAR(C697)</x:f>
        <x:v>2025</x:v>
      </x:c>
      <x:c r="P697" s="4" t="str">
        <x:f>TEXT(C697,"yyyy-mm")</x:f>
        <x:v>2025-02</x:v>
      </x:c>
      <x:c r="Q697" s="4" t="str">
        <x:f>TEXT(C697,"mmmm")</x:f>
        <x:v>February</x:v>
      </x:c>
    </x:row>
    <x:row r="698" ht="20" customHeight="1">
      <x:c r="A698" s="4" t="inlineStr">
        <x:is>
          <x:t xml:space="preserve">LINE-00703</x:t>
        </x:is>
      </x:c>
      <x:c r="B698" s="4" t="inlineStr">
        <x:is>
          <x:t xml:space="preserve">ORD-2025-0442</x:t>
        </x:is>
      </x:c>
      <x:c r="C698" s="17" t="n">
        <x:v>45848</x:v>
      </x:c>
      <x:c r="D698" s="4" t="inlineStr">
        <x:is>
          <x:t xml:space="preserve">CUS-0238</x:t>
        </x:is>
      </x:c>
      <x:c r="E698" s="4" t="inlineStr">
        <x:is>
          <x:t xml:space="preserve">Keyboard</x:t>
        </x:is>
      </x:c>
      <x:c r="F698" s="4" t="inlineStr">
        <x:is>
          <x:t xml:space="preserve">Accessories</x:t>
        </x:is>
      </x:c>
      <x:c r="G698" s="4" t="inlineStr">
        <x:is>
          <x:t xml:space="preserve">San Francisco</x:t>
        </x:is>
      </x:c>
      <x:c r="H698" s="18" t="n">
        <x:v>1</x:v>
      </x:c>
      <x:c r="I698" s="19" t="n">
        <x:v>78.31</x:v>
      </x:c>
      <x:c r="J698" s="20" t="n">
        <x:v>0</x:v>
      </x:c>
      <x:c r="K698" s="4" t="inlineStr">
        <x:is>
          <x:t xml:space="preserve">Credit Card</x:t>
        </x:is>
      </x:c>
      <x:c r="L698" s="19" t="n">
        <x:v>78.31</x:v>
      </x:c>
      <x:c r="M698" s="19" t="n">
        <x:v>0</x:v>
      </x:c>
      <x:c r="N698" s="19" t="n">
        <x:v>78.31</x:v>
      </x:c>
      <x:c r="O698" s="4" t="n">
        <x:f>YEAR(C698)</x:f>
        <x:v>2025</x:v>
      </x:c>
      <x:c r="P698" s="4" t="str">
        <x:f>TEXT(C698,"yyyy-mm")</x:f>
        <x:v>2025-07</x:v>
      </x:c>
      <x:c r="Q698" s="4" t="str">
        <x:f>TEXT(C698,"mmmm")</x:f>
        <x:v>July</x:v>
      </x:c>
    </x:row>
    <x:row r="699" ht="20" customHeight="1">
      <x:c r="A699" s="4" t="inlineStr">
        <x:is>
          <x:t xml:space="preserve">LINE-00704</x:t>
        </x:is>
      </x:c>
      <x:c r="B699" s="4" t="inlineStr">
        <x:is>
          <x:t xml:space="preserve">ORD-2025-0443</x:t>
        </x:is>
      </x:c>
      <x:c r="C699" s="17" t="n">
        <x:v>45898</x:v>
      </x:c>
      <x:c r="D699" s="4" t="inlineStr">
        <x:is>
          <x:t xml:space="preserve">CUS-0093</x:t>
        </x:is>
      </x:c>
      <x:c r="E699" s="4" t="inlineStr">
        <x:is>
          <x:t xml:space="preserve">Laptop</x:t>
        </x:is>
      </x:c>
      <x:c r="F699" s="4" t="inlineStr">
        <x:is>
          <x:t xml:space="preserve">Computers</x:t>
        </x:is>
      </x:c>
      <x:c r="G699" s="4" t="inlineStr">
        <x:is>
          <x:t xml:space="preserve">Chicago</x:t>
        </x:is>
      </x:c>
      <x:c r="H699" s="18" t="n">
        <x:v>5</x:v>
      </x:c>
      <x:c r="I699" s="19" t="n">
        <x:v>982.63</x:v>
      </x:c>
      <x:c r="J699" s="20" t="n">
        <x:v>0</x:v>
      </x:c>
      <x:c r="K699" s="4" t="inlineStr">
        <x:is>
          <x:t xml:space="preserve">PayPal</x:t>
        </x:is>
      </x:c>
      <x:c r="L699" s="19" t="n">
        <x:v>4913.15</x:v>
      </x:c>
      <x:c r="M699" s="19" t="n">
        <x:v>0</x:v>
      </x:c>
      <x:c r="N699" s="19" t="n">
        <x:v>4913.15</x:v>
      </x:c>
      <x:c r="O699" s="4" t="n">
        <x:f>YEAR(C699)</x:f>
        <x:v>2025</x:v>
      </x:c>
      <x:c r="P699" s="4" t="str">
        <x:f>TEXT(C699,"yyyy-mm")</x:f>
        <x:v>2025-08</x:v>
      </x:c>
      <x:c r="Q699" s="4" t="str">
        <x:f>TEXT(C699,"mmmm")</x:f>
        <x:v>August</x:v>
      </x:c>
    </x:row>
    <x:row r="700" ht="20" customHeight="1">
      <x:c r="A700" s="4" t="inlineStr">
        <x:is>
          <x:t xml:space="preserve">LINE-00705</x:t>
        </x:is>
      </x:c>
      <x:c r="B700" s="4" t="inlineStr">
        <x:is>
          <x:t xml:space="preserve">ORD-2025-0443</x:t>
        </x:is>
      </x:c>
      <x:c r="C700" s="17" t="n">
        <x:v>45898</x:v>
      </x:c>
      <x:c r="D700" s="4" t="inlineStr">
        <x:is>
          <x:t xml:space="preserve">CUS-0093</x:t>
        </x:is>
      </x:c>
      <x:c r="E700" s="4" t="inlineStr">
        <x:is>
          <x:t xml:space="preserve">Monitor</x:t>
        </x:is>
      </x:c>
      <x:c r="F700" s="4" t="inlineStr">
        <x:is>
          <x:t xml:space="preserve">Computers</x:t>
        </x:is>
      </x:c>
      <x:c r="G700" s="4" t="inlineStr">
        <x:is>
          <x:t xml:space="preserve">Chicago</x:t>
        </x:is>
      </x:c>
      <x:c r="H700" s="18" t="n">
        <x:v>5</x:v>
      </x:c>
      <x:c r="I700" s="19" t="n">
        <x:v>268.67</x:v>
      </x:c>
      <x:c r="J700" s="20" t="n">
        <x:v>0.2</x:v>
      </x:c>
      <x:c r="K700" s="4" t="inlineStr">
        <x:is>
          <x:t xml:space="preserve">PayPal</x:t>
        </x:is>
      </x:c>
      <x:c r="L700" s="19" t="n">
        <x:v>1343.35</x:v>
      </x:c>
      <x:c r="M700" s="19" t="n">
        <x:v>268.67</x:v>
      </x:c>
      <x:c r="N700" s="19" t="n">
        <x:v>1074.68</x:v>
      </x:c>
      <x:c r="O700" s="4" t="n">
        <x:f>YEAR(C700)</x:f>
        <x:v>2025</x:v>
      </x:c>
      <x:c r="P700" s="4" t="str">
        <x:f>TEXT(C700,"yyyy-mm")</x:f>
        <x:v>2025-08</x:v>
      </x:c>
      <x:c r="Q700" s="4" t="str">
        <x:f>TEXT(C700,"mmmm")</x:f>
        <x:v>August</x:v>
      </x:c>
    </x:row>
    <x:row r="701" ht="20" customHeight="1">
      <x:c r="A701" s="4" t="inlineStr">
        <x:is>
          <x:t xml:space="preserve">LINE-00706</x:t>
        </x:is>
      </x:c>
      <x:c r="B701" s="4" t="inlineStr">
        <x:is>
          <x:t xml:space="preserve">ORD-2025-0444</x:t>
        </x:is>
      </x:c>
      <x:c r="C701" s="17" t="n">
        <x:v>45759</x:v>
      </x:c>
      <x:c r="D701" s="4" t="inlineStr">
        <x:is>
          <x:t xml:space="preserve">CUS-0236</x:t>
        </x:is>
      </x:c>
      <x:c r="E701" s="4" t="inlineStr">
        <x:is>
          <x:t xml:space="preserve">Wireless Mouse</x:t>
        </x:is>
      </x:c>
      <x:c r="F701" s="4" t="inlineStr">
        <x:is>
          <x:t xml:space="preserve">Accessories</x:t>
        </x:is>
      </x:c>
      <x:c r="G701" s="4" t="inlineStr">
        <x:is>
          <x:t xml:space="preserve">San Francisco</x:t>
        </x:is>
      </x:c>
      <x:c r="H701" s="18" t="n">
        <x:v>1</x:v>
      </x:c>
      <x:c r="I701" s="19" t="n">
        <x:v>48.32</x:v>
      </x:c>
      <x:c r="J701" s="20" t="n">
        <x:v>0.15</x:v>
      </x:c>
      <x:c r="K701" s="4" t="inlineStr">
        <x:is>
          <x:t xml:space="preserve">Credit Card</x:t>
        </x:is>
      </x:c>
      <x:c r="L701" s="19" t="n">
        <x:v>48.32</x:v>
      </x:c>
      <x:c r="M701" s="19" t="n">
        <x:v>7.25</x:v>
      </x:c>
      <x:c r="N701" s="19" t="n">
        <x:v>41.07</x:v>
      </x:c>
      <x:c r="O701" s="4" t="n">
        <x:f>YEAR(C701)</x:f>
        <x:v>2025</x:v>
      </x:c>
      <x:c r="P701" s="4" t="str">
        <x:f>TEXT(C701,"yyyy-mm")</x:f>
        <x:v>2025-04</x:v>
      </x:c>
      <x:c r="Q701" s="4" t="str">
        <x:f>TEXT(C701,"mmmm")</x:f>
        <x:v>April</x:v>
      </x:c>
    </x:row>
    <x:row r="702" ht="20" customHeight="1">
      <x:c r="A702" s="4" t="inlineStr">
        <x:is>
          <x:t xml:space="preserve">LINE-00707</x:t>
        </x:is>
      </x:c>
      <x:c r="B702" s="4" t="inlineStr">
        <x:is>
          <x:t xml:space="preserve">ORD-2025-0444</x:t>
        </x:is>
      </x:c>
      <x:c r="C702" s="17" t="n">
        <x:v>45759</x:v>
      </x:c>
      <x:c r="D702" s="4" t="inlineStr">
        <x:is>
          <x:t xml:space="preserve">CUS-0236</x:t>
        </x:is>
      </x:c>
      <x:c r="E702" s="4" t="inlineStr">
        <x:is>
          <x:t xml:space="preserve">Bluetooth Speaker</x:t>
        </x:is>
      </x:c>
      <x:c r="F702" s="4" t="inlineStr">
        <x:is>
          <x:t xml:space="preserve">Audio</x:t>
        </x:is>
      </x:c>
      <x:c r="G702" s="4" t="inlineStr">
        <x:is>
          <x:t xml:space="preserve">San Francisco</x:t>
        </x:is>
      </x:c>
      <x:c r="H702" s="18" t="n">
        <x:v>1</x:v>
      </x:c>
      <x:c r="I702" s="19" t="n">
        <x:v>114.02</x:v>
      </x:c>
      <x:c r="J702" s="20" t="n">
        <x:v>0.1</x:v>
      </x:c>
      <x:c r="K702" s="4" t="inlineStr">
        <x:is>
          <x:t xml:space="preserve">Credit Card</x:t>
        </x:is>
      </x:c>
      <x:c r="L702" s="19" t="n">
        <x:v>114.02</x:v>
      </x:c>
      <x:c r="M702" s="19" t="n">
        <x:v>11.4</x:v>
      </x:c>
      <x:c r="N702" s="19" t="n">
        <x:v>102.62</x:v>
      </x:c>
      <x:c r="O702" s="4" t="n">
        <x:f>YEAR(C702)</x:f>
        <x:v>2025</x:v>
      </x:c>
      <x:c r="P702" s="4" t="str">
        <x:f>TEXT(C702,"yyyy-mm")</x:f>
        <x:v>2025-04</x:v>
      </x:c>
      <x:c r="Q702" s="4" t="str">
        <x:f>TEXT(C702,"mmmm")</x:f>
        <x:v>April</x:v>
      </x:c>
    </x:row>
    <x:row r="703" ht="20" customHeight="1">
      <x:c r="A703" s="4" t="inlineStr">
        <x:is>
          <x:t xml:space="preserve">LINE-00708</x:t>
        </x:is>
      </x:c>
      <x:c r="B703" s="4" t="inlineStr">
        <x:is>
          <x:t xml:space="preserve">ORD-2025-0445</x:t>
        </x:is>
      </x:c>
      <x:c r="C703" s="17" t="n">
        <x:v>45939</x:v>
      </x:c>
      <x:c r="D703" s="4" t="inlineStr">
        <x:is>
          <x:t xml:space="preserve">CUS-0267</x:t>
        </x:is>
      </x:c>
      <x:c r="E703" s="4" t="inlineStr">
        <x:is>
          <x:t xml:space="preserve">USB-C Hub</x:t>
        </x:is>
      </x:c>
      <x:c r="F703" s="4" t="inlineStr">
        <x:is>
          <x:t xml:space="preserve">Accessories</x:t>
        </x:is>
      </x:c>
      <x:c r="G703" s="4" t="inlineStr">
        <x:is>
          <x:t xml:space="preserve">New York</x:t>
        </x:is>
      </x:c>
      <x:c r="H703" s="18" t="n">
        <x:v>1</x:v>
      </x:c>
      <x:c r="I703" s="19" t="n">
        <x:v>69.03</x:v>
      </x:c>
      <x:c r="J703" s="20" t="n">
        <x:v>0.1</x:v>
      </x:c>
      <x:c r="K703" s="4" t="inlineStr">
        <x:is>
          <x:t xml:space="preserve">PayPal</x:t>
        </x:is>
      </x:c>
      <x:c r="L703" s="19" t="n">
        <x:v>69.03</x:v>
      </x:c>
      <x:c r="M703" s="19" t="n">
        <x:v>6.9</x:v>
      </x:c>
      <x:c r="N703" s="19" t="n">
        <x:v>62.13</x:v>
      </x:c>
      <x:c r="O703" s="4" t="n">
        <x:f>YEAR(C703)</x:f>
        <x:v>2025</x:v>
      </x:c>
      <x:c r="P703" s="4" t="str">
        <x:f>TEXT(C703,"yyyy-mm")</x:f>
        <x:v>2025-10</x:v>
      </x:c>
      <x:c r="Q703" s="4" t="str">
        <x:f>TEXT(C703,"mmmm")</x:f>
        <x:v>October</x:v>
      </x:c>
    </x:row>
    <x:row r="704" ht="20" customHeight="1">
      <x:c r="A704" s="4" t="inlineStr">
        <x:is>
          <x:t xml:space="preserve">LINE-00709</x:t>
        </x:is>
      </x:c>
      <x:c r="B704" s="4" t="inlineStr">
        <x:is>
          <x:t xml:space="preserve">ORD-2025-0446</x:t>
        </x:is>
      </x:c>
      <x:c r="C704" s="17" t="n">
        <x:v>45769</x:v>
      </x:c>
      <x:c r="D704" s="4" t="inlineStr">
        <x:is>
          <x:t xml:space="preserve">CUS-0058</x:t>
        </x:is>
      </x:c>
      <x:c r="E704" s="4" t="inlineStr">
        <x:is>
          <x:t xml:space="preserve">Keyboard</x:t>
        </x:is>
      </x:c>
      <x:c r="F704" s="4" t="inlineStr">
        <x:is>
          <x:t xml:space="preserve">Accessories</x:t>
        </x:is>
      </x:c>
      <x:c r="G704" s="4" t="inlineStr">
        <x:is>
          <x:t xml:space="preserve">Chicago</x:t>
        </x:is>
      </x:c>
      <x:c r="H704" s="18" t="n">
        <x:v>3</x:v>
      </x:c>
      <x:c r="I704" s="19" t="n">
        <x:v>76.02</x:v>
      </x:c>
      <x:c r="J704" s="20" t="n">
        <x:v>0</x:v>
      </x:c>
      <x:c r="K704" s="4" t="inlineStr">
        <x:is>
          <x:t xml:space="preserve">Bank Transfer</x:t>
        </x:is>
      </x:c>
      <x:c r="L704" s="19" t="n">
        <x:v>228.06</x:v>
      </x:c>
      <x:c r="M704" s="19" t="n">
        <x:v>0</x:v>
      </x:c>
      <x:c r="N704" s="19" t="n">
        <x:v>228.06</x:v>
      </x:c>
      <x:c r="O704" s="4" t="n">
        <x:f>YEAR(C704)</x:f>
        <x:v>2025</x:v>
      </x:c>
      <x:c r="P704" s="4" t="str">
        <x:f>TEXT(C704,"yyyy-mm")</x:f>
        <x:v>2025-04</x:v>
      </x:c>
      <x:c r="Q704" s="4" t="str">
        <x:f>TEXT(C704,"mmmm")</x:f>
        <x:v>April</x:v>
      </x:c>
    </x:row>
    <x:row r="705" ht="20" customHeight="1">
      <x:c r="A705" s="4" t="inlineStr">
        <x:is>
          <x:t xml:space="preserve">LINE-00710</x:t>
        </x:is>
      </x:c>
      <x:c r="B705" s="4" t="inlineStr">
        <x:is>
          <x:t xml:space="preserve">ORD-2025-0447</x:t>
        </x:is>
      </x:c>
      <x:c r="C705" s="17" t="n">
        <x:v>45782</x:v>
      </x:c>
      <x:c r="D705" s="4" t="inlineStr">
        <x:is>
          <x:t xml:space="preserve">CUS-0005</x:t>
        </x:is>
      </x:c>
      <x:c r="E705" s="4" t="inlineStr">
        <x:is>
          <x:t xml:space="preserve">Keyboard</x:t>
        </x:is>
      </x:c>
      <x:c r="F705" s="4" t="inlineStr">
        <x:is>
          <x:t xml:space="preserve">Accessories</x:t>
        </x:is>
      </x:c>
      <x:c r="G705" s="4" t="inlineStr">
        <x:is>
          <x:t xml:space="preserve">New York</x:t>
        </x:is>
      </x:c>
      <x:c r="H705" s="18" t="n">
        <x:v>3</x:v>
      </x:c>
      <x:c r="I705" s="19" t="n">
        <x:v>71.98</x:v>
      </x:c>
      <x:c r="J705" s="20" t="n">
        <x:v>0.05</x:v>
      </x:c>
      <x:c r="K705" s="4" t="inlineStr">
        <x:is>
          <x:t xml:space="preserve">Bank Transfer</x:t>
        </x:is>
      </x:c>
      <x:c r="L705" s="19" t="n">
        <x:v>215.94</x:v>
      </x:c>
      <x:c r="M705" s="19" t="n">
        <x:v>10.8</x:v>
      </x:c>
      <x:c r="N705" s="19" t="n">
        <x:v>205.14</x:v>
      </x:c>
      <x:c r="O705" s="4" t="n">
        <x:f>YEAR(C705)</x:f>
        <x:v>2025</x:v>
      </x:c>
      <x:c r="P705" s="4" t="str">
        <x:f>TEXT(C705,"yyyy-mm")</x:f>
        <x:v>2025-05</x:v>
      </x:c>
      <x:c r="Q705" s="4" t="str">
        <x:f>TEXT(C705,"mmmm")</x:f>
        <x:v>May</x:v>
      </x:c>
    </x:row>
    <x:row r="706" ht="20" customHeight="1">
      <x:c r="A706" s="4" t="inlineStr">
        <x:is>
          <x:t xml:space="preserve">LINE-00711</x:t>
        </x:is>
      </x:c>
      <x:c r="B706" s="4" t="inlineStr">
        <x:is>
          <x:t xml:space="preserve">ORD-2025-0447</x:t>
        </x:is>
      </x:c>
      <x:c r="C706" s="17" t="n">
        <x:v>45782</x:v>
      </x:c>
      <x:c r="D706" s="4" t="inlineStr">
        <x:is>
          <x:t xml:space="preserve">CUS-0005</x:t>
        </x:is>
      </x:c>
      <x:c r="E706" s="4" t="inlineStr">
        <x:is>
          <x:t xml:space="preserve">Webcam</x:t>
        </x:is>
      </x:c>
      <x:c r="F706" s="4" t="inlineStr">
        <x:is>
          <x:t xml:space="preserve">Accessories</x:t>
        </x:is>
      </x:c>
      <x:c r="G706" s="4" t="inlineStr">
        <x:is>
          <x:t xml:space="preserve">New York</x:t>
        </x:is>
      </x:c>
      <x:c r="H706" s="18" t="n">
        <x:v>3</x:v>
      </x:c>
      <x:c r="I706" s="19" t="n">
        <x:v>87.67</x:v>
      </x:c>
      <x:c r="J706" s="20" t="n">
        <x:v>0.2</x:v>
      </x:c>
      <x:c r="K706" s="4" t="inlineStr">
        <x:is>
          <x:t xml:space="preserve">Bank Transfer</x:t>
        </x:is>
      </x:c>
      <x:c r="L706" s="19" t="n">
        <x:v>263.01</x:v>
      </x:c>
      <x:c r="M706" s="19" t="n">
        <x:v>52.6</x:v>
      </x:c>
      <x:c r="N706" s="19" t="n">
        <x:v>210.41</x:v>
      </x:c>
      <x:c r="O706" s="4" t="n">
        <x:f>YEAR(C706)</x:f>
        <x:v>2025</x:v>
      </x:c>
      <x:c r="P706" s="4" t="str">
        <x:f>TEXT(C706,"yyyy-mm")</x:f>
        <x:v>2025-05</x:v>
      </x:c>
      <x:c r="Q706" s="4" t="str">
        <x:f>TEXT(C706,"mmmm")</x:f>
        <x:v>May</x:v>
      </x:c>
    </x:row>
    <x:row r="707" ht="20" customHeight="1">
      <x:c r="A707" s="4" t="inlineStr">
        <x:is>
          <x:t xml:space="preserve">LINE-00712</x:t>
        </x:is>
      </x:c>
      <x:c r="B707" s="4" t="inlineStr">
        <x:is>
          <x:t xml:space="preserve">ORD-2025-0448</x:t>
        </x:is>
      </x:c>
      <x:c r="C707" s="17" t="n">
        <x:v>45978</x:v>
      </x:c>
      <x:c r="D707" s="4" t="inlineStr">
        <x:is>
          <x:t xml:space="preserve">CUS-0031</x:t>
        </x:is>
      </x:c>
      <x:c r="E707" s="4" t="inlineStr">
        <x:is>
          <x:t xml:space="preserve">Desk Lamp</x:t>
        </x:is>
      </x:c>
      <x:c r="F707" s="4" t="inlineStr">
        <x:is>
          <x:t xml:space="preserve">Furniture</x:t>
        </x:is>
      </x:c>
      <x:c r="G707" s="4" t="inlineStr">
        <x:is>
          <x:t xml:space="preserve">New York</x:t>
        </x:is>
      </x:c>
      <x:c r="H707" s="18" t="n">
        <x:v>3</x:v>
      </x:c>
      <x:c r="I707" s="19" t="n">
        <x:v>51.71</x:v>
      </x:c>
      <x:c r="J707" s="20" t="n">
        <x:v>0</x:v>
      </x:c>
      <x:c r="K707" s="4" t="inlineStr">
        <x:is>
          <x:t xml:space="preserve">PayPal</x:t>
        </x:is>
      </x:c>
      <x:c r="L707" s="19" t="n">
        <x:v>155.13</x:v>
      </x:c>
      <x:c r="M707" s="19" t="n">
        <x:v>0</x:v>
      </x:c>
      <x:c r="N707" s="19" t="n">
        <x:v>155.13</x:v>
      </x:c>
      <x:c r="O707" s="4" t="n">
        <x:f>YEAR(C707)</x:f>
        <x:v>2025</x:v>
      </x:c>
      <x:c r="P707" s="4" t="str">
        <x:f>TEXT(C707,"yyyy-mm")</x:f>
        <x:v>2025-11</x:v>
      </x:c>
      <x:c r="Q707" s="4" t="str">
        <x:f>TEXT(C707,"mmmm")</x:f>
        <x:v>November</x:v>
      </x:c>
    </x:row>
    <x:row r="708" ht="20" customHeight="1">
      <x:c r="A708" s="4" t="inlineStr">
        <x:is>
          <x:t xml:space="preserve">LINE-00713</x:t>
        </x:is>
      </x:c>
      <x:c r="B708" s="4" t="inlineStr">
        <x:is>
          <x:t xml:space="preserve">ORD-2025-0448</x:t>
        </x:is>
      </x:c>
      <x:c r="C708" s="17" t="n">
        <x:v>45978</x:v>
      </x:c>
      <x:c r="D708" s="4" t="inlineStr">
        <x:is>
          <x:t xml:space="preserve">CUS-0031</x:t>
        </x:is>
      </x:c>
      <x:c r="E708" s="4" t="inlineStr">
        <x:is>
          <x:t xml:space="preserve">External SSD</x:t>
        </x:is>
      </x:c>
      <x:c r="F708" s="4" t="inlineStr">
        <x:is>
          <x:t xml:space="preserve">Storage</x:t>
        </x:is>
      </x:c>
      <x:c r="G708" s="4" t="inlineStr">
        <x:is>
          <x:t xml:space="preserve">New York</x:t>
        </x:is>
      </x:c>
      <x:c r="H708" s="18" t="n">
        <x:v>5</x:v>
      </x:c>
      <x:c r="I708" s="19" t="n">
        <x:v>156.93</x:v>
      </x:c>
      <x:c r="J708" s="20" t="n">
        <x:v>0.1</x:v>
      </x:c>
      <x:c r="K708" s="4" t="inlineStr">
        <x:is>
          <x:t xml:space="preserve">PayPal</x:t>
        </x:is>
      </x:c>
      <x:c r="L708" s="19" t="n">
        <x:v>784.65</x:v>
      </x:c>
      <x:c r="M708" s="19" t="n">
        <x:v>78.45999999999999</x:v>
      </x:c>
      <x:c r="N708" s="19" t="n">
        <x:v>706.1900000000001</x:v>
      </x:c>
      <x:c r="O708" s="4" t="n">
        <x:f>YEAR(C708)</x:f>
        <x:v>2025</x:v>
      </x:c>
      <x:c r="P708" s="4" t="str">
        <x:f>TEXT(C708,"yyyy-mm")</x:f>
        <x:v>2025-11</x:v>
      </x:c>
      <x:c r="Q708" s="4" t="str">
        <x:f>TEXT(C708,"mmmm")</x:f>
        <x:v>November</x:v>
      </x:c>
    </x:row>
    <x:row r="709" ht="20" customHeight="1">
      <x:c r="A709" s="4" t="inlineStr">
        <x:is>
          <x:t xml:space="preserve">LINE-00714</x:t>
        </x:is>
      </x:c>
      <x:c r="B709" s="4" t="inlineStr">
        <x:is>
          <x:t xml:space="preserve">ORD-2025-0449</x:t>
        </x:is>
      </x:c>
      <x:c r="C709" s="17" t="n">
        <x:v>45882</x:v>
      </x:c>
      <x:c r="D709" s="4" t="inlineStr">
        <x:is>
          <x:t xml:space="preserve">CUS-0099</x:t>
        </x:is>
      </x:c>
      <x:c r="E709" s="4" t="inlineStr">
        <x:is>
          <x:t xml:space="preserve">Keyboard</x:t>
        </x:is>
      </x:c>
      <x:c r="F709" s="4" t="inlineStr">
        <x:is>
          <x:t xml:space="preserve">Accessories</x:t>
        </x:is>
      </x:c>
      <x:c r="G709" s="4" t="inlineStr">
        <x:is>
          <x:t xml:space="preserve">New York</x:t>
        </x:is>
      </x:c>
      <x:c r="H709" s="18" t="n">
        <x:v>1</x:v>
      </x:c>
      <x:c r="I709" s="19" t="n">
        <x:v>69.47</x:v>
      </x:c>
      <x:c r="J709" s="20" t="n">
        <x:v>0.1</x:v>
      </x:c>
      <x:c r="K709" s="4" t="inlineStr">
        <x:is>
          <x:t xml:space="preserve">Bank Transfer</x:t>
        </x:is>
      </x:c>
      <x:c r="L709" s="19" t="n">
        <x:v>69.47</x:v>
      </x:c>
      <x:c r="M709" s="19" t="n">
        <x:v>6.95</x:v>
      </x:c>
      <x:c r="N709" s="19" t="n">
        <x:v>62.52</x:v>
      </x:c>
      <x:c r="O709" s="4" t="n">
        <x:f>YEAR(C709)</x:f>
        <x:v>2025</x:v>
      </x:c>
      <x:c r="P709" s="4" t="str">
        <x:f>TEXT(C709,"yyyy-mm")</x:f>
        <x:v>2025-08</x:v>
      </x:c>
      <x:c r="Q709" s="4" t="str">
        <x:f>TEXT(C709,"mmmm")</x:f>
        <x:v>August</x:v>
      </x:c>
    </x:row>
    <x:row r="710" ht="20" customHeight="1">
      <x:c r="A710" s="4" t="inlineStr">
        <x:is>
          <x:t xml:space="preserve">LINE-00715</x:t>
        </x:is>
      </x:c>
      <x:c r="B710" s="4" t="inlineStr">
        <x:is>
          <x:t xml:space="preserve">ORD-2025-0450</x:t>
        </x:is>
      </x:c>
      <x:c r="C710" s="17" t="n">
        <x:v>45944</x:v>
      </x:c>
      <x:c r="D710" s="4" t="inlineStr">
        <x:is>
          <x:t xml:space="preserve">CUS-0151</x:t>
        </x:is>
      </x:c>
      <x:c r="E710" s="4" t="inlineStr">
        <x:is>
          <x:t xml:space="preserve">Keyboard</x:t>
        </x:is>
      </x:c>
      <x:c r="F710" s="4" t="inlineStr">
        <x:is>
          <x:t xml:space="preserve">Accessories</x:t>
        </x:is>
      </x:c>
      <x:c r="G710" s="4" t="inlineStr">
        <x:is>
          <x:t xml:space="preserve">Boston</x:t>
        </x:is>
      </x:c>
      <x:c r="H710" s="18" t="n">
        <x:v>2</x:v>
      </x:c>
      <x:c r="I710" s="19" t="n">
        <x:v>72.88</x:v>
      </x:c>
      <x:c r="J710" s="20" t="n">
        <x:v>0.05</x:v>
      </x:c>
      <x:c r="K710" s="4" t="inlineStr">
        <x:is>
          <x:t xml:space="preserve">Bank Transfer</x:t>
        </x:is>
      </x:c>
      <x:c r="L710" s="19" t="n">
        <x:v>145.76</x:v>
      </x:c>
      <x:c r="M710" s="19" t="n">
        <x:v>7.29</x:v>
      </x:c>
      <x:c r="N710" s="19" t="n">
        <x:v>138.47</x:v>
      </x:c>
      <x:c r="O710" s="4" t="n">
        <x:f>YEAR(C710)</x:f>
        <x:v>2025</x:v>
      </x:c>
      <x:c r="P710" s="4" t="str">
        <x:f>TEXT(C710,"yyyy-mm")</x:f>
        <x:v>2025-10</x:v>
      </x:c>
      <x:c r="Q710" s="4" t="str">
        <x:f>TEXT(C710,"mmmm")</x:f>
        <x:v>October</x:v>
      </x:c>
    </x:row>
    <x:row r="711" ht="20" customHeight="1">
      <x:c r="A711" s="4" t="inlineStr">
        <x:is>
          <x:t xml:space="preserve">LINE-00716</x:t>
        </x:is>
      </x:c>
      <x:c r="B711" s="4" t="inlineStr">
        <x:is>
          <x:t xml:space="preserve">ORD-2025-0451</x:t>
        </x:is>
      </x:c>
      <x:c r="C711" s="17" t="n">
        <x:v>45964</x:v>
      </x:c>
      <x:c r="D711" s="4" t="inlineStr">
        <x:is>
          <x:t xml:space="preserve">CUS-0284</x:t>
        </x:is>
      </x:c>
      <x:c r="E711" s="4" t="inlineStr">
        <x:is>
          <x:t xml:space="preserve">Bluetooth Speaker</x:t>
        </x:is>
      </x:c>
      <x:c r="F711" s="4" t="inlineStr">
        <x:is>
          <x:t xml:space="preserve">Audio</x:t>
        </x:is>
      </x:c>
      <x:c r="G711" s="4" t="inlineStr">
        <x:is>
          <x:t xml:space="preserve">Chicago</x:t>
        </x:is>
      </x:c>
      <x:c r="H711" s="18" t="n">
        <x:v>3</x:v>
      </x:c>
      <x:c r="I711" s="19" t="n">
        <x:v>110.73</x:v>
      </x:c>
      <x:c r="J711" s="20" t="n">
        <x:v>0.05</x:v>
      </x:c>
      <x:c r="K711" s="4" t="inlineStr">
        <x:is>
          <x:t xml:space="preserve">Credit Card</x:t>
        </x:is>
      </x:c>
      <x:c r="L711" s="19" t="n">
        <x:v>332.19</x:v>
      </x:c>
      <x:c r="M711" s="19" t="n">
        <x:v>16.61</x:v>
      </x:c>
      <x:c r="N711" s="19" t="n">
        <x:v>315.58</x:v>
      </x:c>
      <x:c r="O711" s="4" t="n">
        <x:f>YEAR(C711)</x:f>
        <x:v>2025</x:v>
      </x:c>
      <x:c r="P711" s="4" t="str">
        <x:f>TEXT(C711,"yyyy-mm")</x:f>
        <x:v>2025-11</x:v>
      </x:c>
      <x:c r="Q711" s="4" t="str">
        <x:f>TEXT(C711,"mmmm")</x:f>
        <x:v>November</x:v>
      </x:c>
    </x:row>
    <x:row r="712" ht="20" customHeight="1">
      <x:c r="A712" s="4" t="inlineStr">
        <x:is>
          <x:t xml:space="preserve">LINE-00717</x:t>
        </x:is>
      </x:c>
      <x:c r="B712" s="4" t="inlineStr">
        <x:is>
          <x:t xml:space="preserve">ORD-2025-0451</x:t>
        </x:is>
      </x:c>
      <x:c r="C712" s="17" t="n">
        <x:v>45964</x:v>
      </x:c>
      <x:c r="D712" s="4" t="inlineStr">
        <x:is>
          <x:t xml:space="preserve">CUS-0284</x:t>
        </x:is>
      </x:c>
      <x:c r="E712" s="4" t="inlineStr">
        <x:is>
          <x:t xml:space="preserve">USB-C Hub</x:t>
        </x:is>
      </x:c>
      <x:c r="F712" s="4" t="inlineStr">
        <x:is>
          <x:t xml:space="preserve">Accessories</x:t>
        </x:is>
      </x:c>
      <x:c r="G712" s="4" t="inlineStr">
        <x:is>
          <x:t xml:space="preserve">Chicago</x:t>
        </x:is>
      </x:c>
      <x:c r="H712" s="18" t="n">
        <x:v>3</x:v>
      </x:c>
      <x:c r="I712" s="19" t="n">
        <x:v>65.06</x:v>
      </x:c>
      <x:c r="J712" s="20" t="n">
        <x:v>0.1</x:v>
      </x:c>
      <x:c r="K712" s="4" t="inlineStr">
        <x:is>
          <x:t xml:space="preserve">Credit Card</x:t>
        </x:is>
      </x:c>
      <x:c r="L712" s="19" t="n">
        <x:v>195.18</x:v>
      </x:c>
      <x:c r="M712" s="19" t="n">
        <x:v>19.52</x:v>
      </x:c>
      <x:c r="N712" s="19" t="n">
        <x:v>175.66</x:v>
      </x:c>
      <x:c r="O712" s="4" t="n">
        <x:f>YEAR(C712)</x:f>
        <x:v>2025</x:v>
      </x:c>
      <x:c r="P712" s="4" t="str">
        <x:f>TEXT(C712,"yyyy-mm")</x:f>
        <x:v>2025-11</x:v>
      </x:c>
      <x:c r="Q712" s="4" t="str">
        <x:f>TEXT(C712,"mmmm")</x:f>
        <x:v>November</x:v>
      </x:c>
    </x:row>
    <x:row r="713" ht="20" customHeight="1">
      <x:c r="A713" s="4" t="inlineStr">
        <x:is>
          <x:t xml:space="preserve">LINE-00718</x:t>
        </x:is>
      </x:c>
      <x:c r="B713" s="4" t="inlineStr">
        <x:is>
          <x:t xml:space="preserve">ORD-2025-0452</x:t>
        </x:is>
      </x:c>
      <x:c r="C713" s="17" t="n">
        <x:v>45667</x:v>
      </x:c>
      <x:c r="D713" s="4" t="inlineStr">
        <x:is>
          <x:t xml:space="preserve">CUS-0318</x:t>
        </x:is>
      </x:c>
      <x:c r="E713" s="4" t="inlineStr">
        <x:is>
          <x:t xml:space="preserve">Monitor</x:t>
        </x:is>
      </x:c>
      <x:c r="F713" s="4" t="inlineStr">
        <x:is>
          <x:t xml:space="preserve">Computers</x:t>
        </x:is>
      </x:c>
      <x:c r="G713" s="4" t="inlineStr">
        <x:is>
          <x:t xml:space="preserve">Austin</x:t>
        </x:is>
      </x:c>
      <x:c r="H713" s="18" t="n">
        <x:v>2</x:v>
      </x:c>
      <x:c r="I713" s="19" t="n">
        <x:v>281.75</x:v>
      </x:c>
      <x:c r="J713" s="20" t="n">
        <x:v>0</x:v>
      </x:c>
      <x:c r="K713" s="4" t="inlineStr">
        <x:is>
          <x:t xml:space="preserve">Debit Card</x:t>
        </x:is>
      </x:c>
      <x:c r="L713" s="19" t="n">
        <x:v>563.5</x:v>
      </x:c>
      <x:c r="M713" s="19" t="n">
        <x:v>0</x:v>
      </x:c>
      <x:c r="N713" s="19" t="n">
        <x:v>563.5</x:v>
      </x:c>
      <x:c r="O713" s="4" t="n">
        <x:f>YEAR(C713)</x:f>
        <x:v>2025</x:v>
      </x:c>
      <x:c r="P713" s="4" t="str">
        <x:f>TEXT(C713,"yyyy-mm")</x:f>
        <x:v>2025-01</x:v>
      </x:c>
      <x:c r="Q713" s="4" t="str">
        <x:f>TEXT(C713,"mmmm")</x:f>
        <x:v>January</x:v>
      </x:c>
    </x:row>
    <x:row r="714" ht="20" customHeight="1">
      <x:c r="A714" s="4" t="inlineStr">
        <x:is>
          <x:t xml:space="preserve">LINE-00719</x:t>
        </x:is>
      </x:c>
      <x:c r="B714" s="4" t="inlineStr">
        <x:is>
          <x:t xml:space="preserve">ORD-2025-0453</x:t>
        </x:is>
      </x:c>
      <x:c r="C714" s="17" t="n">
        <x:v>45926</x:v>
      </x:c>
      <x:c r="D714" s="4" t="inlineStr">
        <x:is>
          <x:t xml:space="preserve">CUS-0350</x:t>
        </x:is>
      </x:c>
      <x:c r="E714" s="4" t="inlineStr">
        <x:is>
          <x:t xml:space="preserve">Webcam</x:t>
        </x:is>
      </x:c>
      <x:c r="F714" s="4" t="inlineStr">
        <x:is>
          <x:t xml:space="preserve">Accessories</x:t>
        </x:is>
      </x:c>
      <x:c r="G714" s="4" t="inlineStr">
        <x:is>
          <x:t xml:space="preserve">Seattle</x:t>
        </x:is>
      </x:c>
      <x:c r="H714" s="18" t="n">
        <x:v>2</x:v>
      </x:c>
      <x:c r="I714" s="19" t="n">
        <x:v>84.39</x:v>
      </x:c>
      <x:c r="J714" s="20" t="n">
        <x:v>0.05</x:v>
      </x:c>
      <x:c r="K714" s="4" t="inlineStr">
        <x:is>
          <x:t xml:space="preserve">Debit Card</x:t>
        </x:is>
      </x:c>
      <x:c r="L714" s="19" t="n">
        <x:v>168.78</x:v>
      </x:c>
      <x:c r="M714" s="19" t="n">
        <x:v>8.44</x:v>
      </x:c>
      <x:c r="N714" s="19" t="n">
        <x:v>160.34</x:v>
      </x:c>
      <x:c r="O714" s="4" t="n">
        <x:f>YEAR(C714)</x:f>
        <x:v>2025</x:v>
      </x:c>
      <x:c r="P714" s="4" t="str">
        <x:f>TEXT(C714,"yyyy-mm")</x:f>
        <x:v>2025-09</x:v>
      </x:c>
      <x:c r="Q714" s="4" t="str">
        <x:f>TEXT(C714,"mmmm")</x:f>
        <x:v>September</x:v>
      </x:c>
    </x:row>
    <x:row r="715" ht="20" customHeight="1">
      <x:c r="A715" s="4" t="inlineStr">
        <x:is>
          <x:t xml:space="preserve">LINE-00720</x:t>
        </x:is>
      </x:c>
      <x:c r="B715" s="4" t="inlineStr">
        <x:is>
          <x:t xml:space="preserve">ORD-2025-0453</x:t>
        </x:is>
      </x:c>
      <x:c r="C715" s="17" t="n">
        <x:v>45926</x:v>
      </x:c>
      <x:c r="D715" s="4" t="inlineStr">
        <x:is>
          <x:t xml:space="preserve">CUS-0350</x:t>
        </x:is>
      </x:c>
      <x:c r="E715" s="4" t="inlineStr">
        <x:is>
          <x:t xml:space="preserve">Headphones</x:t>
        </x:is>
      </x:c>
      <x:c r="F715" s="4" t="inlineStr">
        <x:is>
          <x:t xml:space="preserve">Audio</x:t>
        </x:is>
      </x:c>
      <x:c r="G715" s="4" t="inlineStr">
        <x:is>
          <x:t xml:space="preserve">Seattle</x:t>
        </x:is>
      </x:c>
      <x:c r="H715" s="18" t="n">
        <x:v>1</x:v>
      </x:c>
      <x:c r="I715" s="19" t="n">
        <x:v>136.97</x:v>
      </x:c>
      <x:c r="J715" s="20" t="n">
        <x:v>0</x:v>
      </x:c>
      <x:c r="K715" s="4" t="inlineStr">
        <x:is>
          <x:t xml:space="preserve">Debit Card</x:t>
        </x:is>
      </x:c>
      <x:c r="L715" s="19" t="n">
        <x:v>136.97</x:v>
      </x:c>
      <x:c r="M715" s="19" t="n">
        <x:v>0</x:v>
      </x:c>
      <x:c r="N715" s="19" t="n">
        <x:v>136.97</x:v>
      </x:c>
      <x:c r="O715" s="4" t="n">
        <x:f>YEAR(C715)</x:f>
        <x:v>2025</x:v>
      </x:c>
      <x:c r="P715" s="4" t="str">
        <x:f>TEXT(C715,"yyyy-mm")</x:f>
        <x:v>2025-09</x:v>
      </x:c>
      <x:c r="Q715" s="4" t="str">
        <x:f>TEXT(C715,"mmmm")</x:f>
        <x:v>September</x:v>
      </x:c>
    </x:row>
    <x:row r="716" ht="20" customHeight="1">
      <x:c r="A716" s="4" t="inlineStr">
        <x:is>
          <x:t xml:space="preserve">LINE-00721</x:t>
        </x:is>
      </x:c>
      <x:c r="B716" s="4" t="inlineStr">
        <x:is>
          <x:t xml:space="preserve">ORD-2025-0454</x:t>
        </x:is>
      </x:c>
      <x:c r="C716" s="17" t="n">
        <x:v>45674</x:v>
      </x:c>
      <x:c r="D716" s="4" t="inlineStr">
        <x:is>
          <x:t xml:space="preserve">CUS-0104</x:t>
        </x:is>
      </x:c>
      <x:c r="E716" s="4" t="inlineStr">
        <x:is>
          <x:t xml:space="preserve">Laptop</x:t>
        </x:is>
      </x:c>
      <x:c r="F716" s="4" t="inlineStr">
        <x:is>
          <x:t xml:space="preserve">Computers</x:t>
        </x:is>
      </x:c>
      <x:c r="G716" s="4" t="inlineStr">
        <x:is>
          <x:t xml:space="preserve">New York</x:t>
        </x:is>
      </x:c>
      <x:c r="H716" s="18" t="n">
        <x:v>2</x:v>
      </x:c>
      <x:c r="I716" s="19" t="n">
        <x:v>1001.12</x:v>
      </x:c>
      <x:c r="J716" s="20" t="n">
        <x:v>0.05</x:v>
      </x:c>
      <x:c r="K716" s="4" t="inlineStr">
        <x:is>
          <x:t xml:space="preserve">Bank Transfer</x:t>
        </x:is>
      </x:c>
      <x:c r="L716" s="19" t="n">
        <x:v>2002.24</x:v>
      </x:c>
      <x:c r="M716" s="19" t="n">
        <x:v>100.11</x:v>
      </x:c>
      <x:c r="N716" s="19" t="n">
        <x:v>1902.13</x:v>
      </x:c>
      <x:c r="O716" s="4" t="n">
        <x:f>YEAR(C716)</x:f>
        <x:v>2025</x:v>
      </x:c>
      <x:c r="P716" s="4" t="str">
        <x:f>TEXT(C716,"yyyy-mm")</x:f>
        <x:v>2025-01</x:v>
      </x:c>
      <x:c r="Q716" s="4" t="str">
        <x:f>TEXT(C716,"mmmm")</x:f>
        <x:v>January</x:v>
      </x:c>
    </x:row>
    <x:row r="717" ht="20" customHeight="1">
      <x:c r="A717" s="4" t="inlineStr">
        <x:is>
          <x:t xml:space="preserve">LINE-00722</x:t>
        </x:is>
      </x:c>
      <x:c r="B717" s="4" t="inlineStr">
        <x:is>
          <x:t xml:space="preserve">ORD-2025-0455</x:t>
        </x:is>
      </x:c>
      <x:c r="C717" s="17" t="n">
        <x:v>45927</x:v>
      </x:c>
      <x:c r="D717" s="4" t="inlineStr">
        <x:is>
          <x:t xml:space="preserve">CUS-0320</x:t>
        </x:is>
      </x:c>
      <x:c r="E717" s="4" t="inlineStr">
        <x:is>
          <x:t xml:space="preserve">Wireless Mouse</x:t>
        </x:is>
      </x:c>
      <x:c r="F717" s="4" t="inlineStr">
        <x:is>
          <x:t xml:space="preserve">Accessories</x:t>
        </x:is>
      </x:c>
      <x:c r="G717" s="4" t="inlineStr">
        <x:is>
          <x:t xml:space="preserve">San Francisco</x:t>
        </x:is>
      </x:c>
      <x:c r="H717" s="18" t="n">
        <x:v>2</x:v>
      </x:c>
      <x:c r="I717" s="19" t="n">
        <x:v>41.91</x:v>
      </x:c>
      <x:c r="J717" s="20" t="n">
        <x:v>0.15</x:v>
      </x:c>
      <x:c r="K717" s="4" t="inlineStr">
        <x:is>
          <x:t xml:space="preserve">PayPal</x:t>
        </x:is>
      </x:c>
      <x:c r="L717" s="19" t="n">
        <x:v>83.81999999999999</x:v>
      </x:c>
      <x:c r="M717" s="19" t="n">
        <x:v>12.57</x:v>
      </x:c>
      <x:c r="N717" s="19" t="n">
        <x:v>71.25</x:v>
      </x:c>
      <x:c r="O717" s="4" t="n">
        <x:f>YEAR(C717)</x:f>
        <x:v>2025</x:v>
      </x:c>
      <x:c r="P717" s="4" t="str">
        <x:f>TEXT(C717,"yyyy-mm")</x:f>
        <x:v>2025-09</x:v>
      </x:c>
      <x:c r="Q717" s="4" t="str">
        <x:f>TEXT(C717,"mmmm")</x:f>
        <x:v>September</x:v>
      </x:c>
    </x:row>
    <x:row r="718" ht="20" customHeight="1">
      <x:c r="A718" s="4" t="inlineStr">
        <x:is>
          <x:t xml:space="preserve">LINE-00723</x:t>
        </x:is>
      </x:c>
      <x:c r="B718" s="4" t="inlineStr">
        <x:is>
          <x:t xml:space="preserve">ORD-2025-0456</x:t>
        </x:is>
      </x:c>
      <x:c r="C718" s="17" t="n">
        <x:v>45764</x:v>
      </x:c>
      <x:c r="D718" s="4" t="inlineStr">
        <x:is>
          <x:t xml:space="preserve">CUS-0336</x:t>
        </x:is>
      </x:c>
      <x:c r="E718" s="4" t="inlineStr">
        <x:is>
          <x:t xml:space="preserve">Office Chair</x:t>
        </x:is>
      </x:c>
      <x:c r="F718" s="4" t="inlineStr">
        <x:is>
          <x:t xml:space="preserve">Furniture</x:t>
        </x:is>
      </x:c>
      <x:c r="G718" s="4" t="inlineStr">
        <x:is>
          <x:t xml:space="preserve">Seattle</x:t>
        </x:is>
      </x:c>
      <x:c r="H718" s="18" t="n">
        <x:v>1</x:v>
      </x:c>
      <x:c r="I718" s="19" t="n">
        <x:v>242.23</x:v>
      </x:c>
      <x:c r="J718" s="20" t="n">
        <x:v>0.15</x:v>
      </x:c>
      <x:c r="K718" s="4" t="inlineStr">
        <x:is>
          <x:t xml:space="preserve">Credit Card</x:t>
        </x:is>
      </x:c>
      <x:c r="L718" s="19" t="n">
        <x:v>242.23</x:v>
      </x:c>
      <x:c r="M718" s="19" t="n">
        <x:v>36.33</x:v>
      </x:c>
      <x:c r="N718" s="19" t="n">
        <x:v>205.9</x:v>
      </x:c>
      <x:c r="O718" s="4" t="n">
        <x:f>YEAR(C718)</x:f>
        <x:v>2025</x:v>
      </x:c>
      <x:c r="P718" s="4" t="str">
        <x:f>TEXT(C718,"yyyy-mm")</x:f>
        <x:v>2025-04</x:v>
      </x:c>
      <x:c r="Q718" s="4" t="str">
        <x:f>TEXT(C718,"mmmm")</x:f>
        <x:v>April</x:v>
      </x:c>
    </x:row>
    <x:row r="719" ht="20" customHeight="1">
      <x:c r="A719" s="4" t="inlineStr">
        <x:is>
          <x:t xml:space="preserve">LINE-00724</x:t>
        </x:is>
      </x:c>
      <x:c r="B719" s="4" t="inlineStr">
        <x:is>
          <x:t xml:space="preserve">ORD-2025-0457</x:t>
        </x:is>
      </x:c>
      <x:c r="C719" s="17" t="n">
        <x:v>45870</x:v>
      </x:c>
      <x:c r="D719" s="4" t="inlineStr">
        <x:is>
          <x:t xml:space="preserve">CUS-0189</x:t>
        </x:is>
      </x:c>
      <x:c r="E719" s="4" t="inlineStr">
        <x:is>
          <x:t xml:space="preserve">USB-C Hub</x:t>
        </x:is>
      </x:c>
      <x:c r="F719" s="4" t="inlineStr">
        <x:is>
          <x:t xml:space="preserve">Accessories</x:t>
        </x:is>
      </x:c>
      <x:c r="G719" s="4" t="inlineStr">
        <x:is>
          <x:t xml:space="preserve">San Francisco</x:t>
        </x:is>
      </x:c>
      <x:c r="H719" s="18" t="n">
        <x:v>1</x:v>
      </x:c>
      <x:c r="I719" s="19" t="n">
        <x:v>60.53</x:v>
      </x:c>
      <x:c r="J719" s="20" t="n">
        <x:v>0</x:v>
      </x:c>
      <x:c r="K719" s="4" t="inlineStr">
        <x:is>
          <x:t xml:space="preserve">Credit Card</x:t>
        </x:is>
      </x:c>
      <x:c r="L719" s="19" t="n">
        <x:v>60.53</x:v>
      </x:c>
      <x:c r="M719" s="19" t="n">
        <x:v>0</x:v>
      </x:c>
      <x:c r="N719" s="19" t="n">
        <x:v>60.53</x:v>
      </x:c>
      <x:c r="O719" s="4" t="n">
        <x:f>YEAR(C719)</x:f>
        <x:v>2025</x:v>
      </x:c>
      <x:c r="P719" s="4" t="str">
        <x:f>TEXT(C719,"yyyy-mm")</x:f>
        <x:v>2025-08</x:v>
      </x:c>
      <x:c r="Q719" s="4" t="str">
        <x:f>TEXT(C719,"mmmm")</x:f>
        <x:v>August</x:v>
      </x:c>
    </x:row>
    <x:row r="720" ht="20" customHeight="1">
      <x:c r="A720" s="4" t="inlineStr">
        <x:is>
          <x:t xml:space="preserve">LINE-00725</x:t>
        </x:is>
      </x:c>
      <x:c r="B720" s="4" t="inlineStr">
        <x:is>
          <x:t xml:space="preserve">ORD-2025-0457</x:t>
        </x:is>
      </x:c>
      <x:c r="C720" s="17" t="n">
        <x:v>45870</x:v>
      </x:c>
      <x:c r="D720" s="4" t="inlineStr">
        <x:is>
          <x:t xml:space="preserve">CUS-0189</x:t>
        </x:is>
      </x:c>
      <x:c r="E720" s="4" t="inlineStr">
        <x:is>
          <x:t xml:space="preserve">External SSD</x:t>
        </x:is>
      </x:c>
      <x:c r="F720" s="4" t="inlineStr">
        <x:is>
          <x:t xml:space="preserve">Storage</x:t>
        </x:is>
      </x:c>
      <x:c r="G720" s="4" t="inlineStr">
        <x:is>
          <x:t xml:space="preserve">San Francisco</x:t>
        </x:is>
      </x:c>
      <x:c r="H720" s="18" t="n">
        <x:v>4</x:v>
      </x:c>
      <x:c r="I720" s="19" t="n">
        <x:v>161.05</x:v>
      </x:c>
      <x:c r="J720" s="20" t="n">
        <x:v>0</x:v>
      </x:c>
      <x:c r="K720" s="4" t="inlineStr">
        <x:is>
          <x:t xml:space="preserve">Credit Card</x:t>
        </x:is>
      </x:c>
      <x:c r="L720" s="19" t="n">
        <x:v>644.2</x:v>
      </x:c>
      <x:c r="M720" s="19" t="n">
        <x:v>0</x:v>
      </x:c>
      <x:c r="N720" s="19" t="n">
        <x:v>644.2</x:v>
      </x:c>
      <x:c r="O720" s="4" t="n">
        <x:f>YEAR(C720)</x:f>
        <x:v>2025</x:v>
      </x:c>
      <x:c r="P720" s="4" t="str">
        <x:f>TEXT(C720,"yyyy-mm")</x:f>
        <x:v>2025-08</x:v>
      </x:c>
      <x:c r="Q720" s="4" t="str">
        <x:f>TEXT(C720,"mmmm")</x:f>
        <x:v>August</x:v>
      </x:c>
    </x:row>
    <x:row r="721" ht="20" customHeight="1">
      <x:c r="A721" s="4" t="inlineStr">
        <x:is>
          <x:t xml:space="preserve">LINE-00726</x:t>
        </x:is>
      </x:c>
      <x:c r="B721" s="4" t="inlineStr">
        <x:is>
          <x:t xml:space="preserve">ORD-2025-0458</x:t>
        </x:is>
      </x:c>
      <x:c r="C721" s="17" t="n">
        <x:v>45776</x:v>
      </x:c>
      <x:c r="D721" s="4" t="inlineStr">
        <x:is>
          <x:t xml:space="preserve">CUS-0273</x:t>
        </x:is>
      </x:c>
      <x:c r="E721" s="4" t="inlineStr">
        <x:is>
          <x:t xml:space="preserve">Office Chair</x:t>
        </x:is>
      </x:c>
      <x:c r="F721" s="4" t="inlineStr">
        <x:is>
          <x:t xml:space="preserve">Furniture</x:t>
        </x:is>
      </x:c>
      <x:c r="G721" s="4" t="inlineStr">
        <x:is>
          <x:t xml:space="preserve">Seattle</x:t>
        </x:is>
      </x:c>
      <x:c r="H721" s="18" t="n">
        <x:v>1</x:v>
      </x:c>
      <x:c r="I721" s="19" t="n">
        <x:v>244.81</x:v>
      </x:c>
      <x:c r="J721" s="20" t="n">
        <x:v>0</x:v>
      </x:c>
      <x:c r="K721" s="4" t="inlineStr">
        <x:is>
          <x:t xml:space="preserve">Debit Card</x:t>
        </x:is>
      </x:c>
      <x:c r="L721" s="19" t="n">
        <x:v>244.81</x:v>
      </x:c>
      <x:c r="M721" s="19" t="n">
        <x:v>0</x:v>
      </x:c>
      <x:c r="N721" s="19" t="n">
        <x:v>244.81</x:v>
      </x:c>
      <x:c r="O721" s="4" t="n">
        <x:f>YEAR(C721)</x:f>
        <x:v>2025</x:v>
      </x:c>
      <x:c r="P721" s="4" t="str">
        <x:f>TEXT(C721,"yyyy-mm")</x:f>
        <x:v>2025-04</x:v>
      </x:c>
      <x:c r="Q721" s="4" t="str">
        <x:f>TEXT(C721,"mmmm")</x:f>
        <x:v>April</x:v>
      </x:c>
    </x:row>
    <x:row r="722" ht="20" customHeight="1">
      <x:c r="A722" s="4" t="inlineStr">
        <x:is>
          <x:t xml:space="preserve">LINE-00727</x:t>
        </x:is>
      </x:c>
      <x:c r="B722" s="4" t="inlineStr">
        <x:is>
          <x:t xml:space="preserve">ORD-2025-0459</x:t>
        </x:is>
      </x:c>
      <x:c r="C722" s="17" t="n">
        <x:v>45943</x:v>
      </x:c>
      <x:c r="D722" s="4" t="inlineStr">
        <x:is>
          <x:t xml:space="preserve">CUS-0213</x:t>
        </x:is>
      </x:c>
      <x:c r="E722" s="4" t="inlineStr">
        <x:is>
          <x:t xml:space="preserve">USB Flash Drive</x:t>
        </x:is>
      </x:c>
      <x:c r="F722" s="4" t="inlineStr">
        <x:is>
          <x:t xml:space="preserve">Storage</x:t>
        </x:is>
      </x:c>
      <x:c r="G722" s="4" t="inlineStr">
        <x:is>
          <x:t xml:space="preserve">San Francisco</x:t>
        </x:is>
      </x:c>
      <x:c r="H722" s="18" t="n">
        <x:v>2</x:v>
      </x:c>
      <x:c r="I722" s="19" t="n">
        <x:v>30.97</x:v>
      </x:c>
      <x:c r="J722" s="20" t="n">
        <x:v>0</x:v>
      </x:c>
      <x:c r="K722" s="4" t="inlineStr">
        <x:is>
          <x:t xml:space="preserve">Credit Card</x:t>
        </x:is>
      </x:c>
      <x:c r="L722" s="19" t="n">
        <x:v>61.94</x:v>
      </x:c>
      <x:c r="M722" s="19" t="n">
        <x:v>0</x:v>
      </x:c>
      <x:c r="N722" s="19" t="n">
        <x:v>61.94</x:v>
      </x:c>
      <x:c r="O722" s="4" t="n">
        <x:f>YEAR(C722)</x:f>
        <x:v>2025</x:v>
      </x:c>
      <x:c r="P722" s="4" t="str">
        <x:f>TEXT(C722,"yyyy-mm")</x:f>
        <x:v>2025-10</x:v>
      </x:c>
      <x:c r="Q722" s="4" t="str">
        <x:f>TEXT(C722,"mmmm")</x:f>
        <x:v>October</x:v>
      </x:c>
    </x:row>
    <x:row r="723" ht="20" customHeight="1">
      <x:c r="A723" s="4" t="inlineStr">
        <x:is>
          <x:t xml:space="preserve">LINE-00728</x:t>
        </x:is>
      </x:c>
      <x:c r="B723" s="4" t="inlineStr">
        <x:is>
          <x:t xml:space="preserve">ORD-2025-0459</x:t>
        </x:is>
      </x:c>
      <x:c r="C723" s="17" t="n">
        <x:v>45943</x:v>
      </x:c>
      <x:c r="D723" s="4" t="inlineStr">
        <x:is>
          <x:t xml:space="preserve">CUS-0213</x:t>
        </x:is>
      </x:c>
      <x:c r="E723" s="4" t="inlineStr">
        <x:is>
          <x:t xml:space="preserve">Webcam</x:t>
        </x:is>
      </x:c>
      <x:c r="F723" s="4" t="inlineStr">
        <x:is>
          <x:t xml:space="preserve">Accessories</x:t>
        </x:is>
      </x:c>
      <x:c r="G723" s="4" t="inlineStr">
        <x:is>
          <x:t xml:space="preserve">San Francisco</x:t>
        </x:is>
      </x:c>
      <x:c r="H723" s="18" t="n">
        <x:v>1</x:v>
      </x:c>
      <x:c r="I723" s="19" t="n">
        <x:v>94.20999999999999</x:v>
      </x:c>
      <x:c r="J723" s="20" t="n">
        <x:v>0.05</x:v>
      </x:c>
      <x:c r="K723" s="4" t="inlineStr">
        <x:is>
          <x:t xml:space="preserve">Credit Card</x:t>
        </x:is>
      </x:c>
      <x:c r="L723" s="19" t="n">
        <x:v>94.20999999999999</x:v>
      </x:c>
      <x:c r="M723" s="19" t="n">
        <x:v>4.71</x:v>
      </x:c>
      <x:c r="N723" s="19" t="n">
        <x:v>89.5</x:v>
      </x:c>
      <x:c r="O723" s="4" t="n">
        <x:f>YEAR(C723)</x:f>
        <x:v>2025</x:v>
      </x:c>
      <x:c r="P723" s="4" t="str">
        <x:f>TEXT(C723,"yyyy-mm")</x:f>
        <x:v>2025-10</x:v>
      </x:c>
      <x:c r="Q723" s="4" t="str">
        <x:f>TEXT(C723,"mmmm")</x:f>
        <x:v>October</x:v>
      </x:c>
    </x:row>
    <x:row r="724" ht="20" customHeight="1">
      <x:c r="A724" s="4" t="inlineStr">
        <x:is>
          <x:t xml:space="preserve">LINE-00729</x:t>
        </x:is>
      </x:c>
      <x:c r="B724" s="4" t="inlineStr">
        <x:is>
          <x:t xml:space="preserve">ORD-2025-0460</x:t>
        </x:is>
      </x:c>
      <x:c r="C724" s="17" t="n">
        <x:v>45916</x:v>
      </x:c>
      <x:c r="D724" s="4" t="inlineStr">
        <x:is>
          <x:t xml:space="preserve">CUS-0173</x:t>
        </x:is>
      </x:c>
      <x:c r="E724" s="4" t="inlineStr">
        <x:is>
          <x:t xml:space="preserve">USB Flash Drive</x:t>
        </x:is>
      </x:c>
      <x:c r="F724" s="4" t="inlineStr">
        <x:is>
          <x:t xml:space="preserve">Storage</x:t>
        </x:is>
      </x:c>
      <x:c r="G724" s="4" t="inlineStr">
        <x:is>
          <x:t xml:space="preserve">San Francisco</x:t>
        </x:is>
      </x:c>
      <x:c r="H724" s="18" t="n">
        <x:v>4</x:v>
      </x:c>
      <x:c r="I724" s="19" t="n">
        <x:v>31.93</x:v>
      </x:c>
      <x:c r="J724" s="20" t="n">
        <x:v>0.05</x:v>
      </x:c>
      <x:c r="K724" s="4" t="inlineStr">
        <x:is>
          <x:t xml:space="preserve">Debit Card</x:t>
        </x:is>
      </x:c>
      <x:c r="L724" s="19" t="n">
        <x:v>127.72</x:v>
      </x:c>
      <x:c r="M724" s="19" t="n">
        <x:v>6.39</x:v>
      </x:c>
      <x:c r="N724" s="19" t="n">
        <x:v>121.33</x:v>
      </x:c>
      <x:c r="O724" s="4" t="n">
        <x:f>YEAR(C724)</x:f>
        <x:v>2025</x:v>
      </x:c>
      <x:c r="P724" s="4" t="str">
        <x:f>TEXT(C724,"yyyy-mm")</x:f>
        <x:v>2025-09</x:v>
      </x:c>
      <x:c r="Q724" s="4" t="str">
        <x:f>TEXT(C724,"mmmm")</x:f>
        <x:v>September</x:v>
      </x:c>
    </x:row>
    <x:row r="725" ht="20" customHeight="1">
      <x:c r="A725" s="4" t="inlineStr">
        <x:is>
          <x:t xml:space="preserve">LINE-00730</x:t>
        </x:is>
      </x:c>
      <x:c r="B725" s="4" t="inlineStr">
        <x:is>
          <x:t xml:space="preserve">ORD-2025-0460</x:t>
        </x:is>
      </x:c>
      <x:c r="C725" s="17" t="n">
        <x:v>45916</x:v>
      </x:c>
      <x:c r="D725" s="4" t="inlineStr">
        <x:is>
          <x:t xml:space="preserve">CUS-0173</x:t>
        </x:is>
      </x:c>
      <x:c r="E725" s="4" t="inlineStr">
        <x:is>
          <x:t xml:space="preserve">Bluetooth Speaker</x:t>
        </x:is>
      </x:c>
      <x:c r="F725" s="4" t="inlineStr">
        <x:is>
          <x:t xml:space="preserve">Audio</x:t>
        </x:is>
      </x:c>
      <x:c r="G725" s="4" t="inlineStr">
        <x:is>
          <x:t xml:space="preserve">San Francisco</x:t>
        </x:is>
      </x:c>
      <x:c r="H725" s="18" t="n">
        <x:v>5</x:v>
      </x:c>
      <x:c r="I725" s="19" t="n">
        <x:v>116.07</x:v>
      </x:c>
      <x:c r="J725" s="20" t="n">
        <x:v>0</x:v>
      </x:c>
      <x:c r="K725" s="4" t="inlineStr">
        <x:is>
          <x:t xml:space="preserve">Debit Card</x:t>
        </x:is>
      </x:c>
      <x:c r="L725" s="19" t="n">
        <x:v>580.35</x:v>
      </x:c>
      <x:c r="M725" s="19" t="n">
        <x:v>0</x:v>
      </x:c>
      <x:c r="N725" s="19" t="n">
        <x:v>580.35</x:v>
      </x:c>
      <x:c r="O725" s="4" t="n">
        <x:f>YEAR(C725)</x:f>
        <x:v>2025</x:v>
      </x:c>
      <x:c r="P725" s="4" t="str">
        <x:f>TEXT(C725,"yyyy-mm")</x:f>
        <x:v>2025-09</x:v>
      </x:c>
      <x:c r="Q725" s="4" t="str">
        <x:f>TEXT(C725,"mmmm")</x:f>
        <x:v>September</x:v>
      </x:c>
    </x:row>
    <x:row r="726" ht="20" customHeight="1">
      <x:c r="A726" s="4" t="inlineStr">
        <x:is>
          <x:t xml:space="preserve">LINE-00731</x:t>
        </x:is>
      </x:c>
      <x:c r="B726" s="4" t="inlineStr">
        <x:is>
          <x:t xml:space="preserve">ORD-2025-0461</x:t>
        </x:is>
      </x:c>
      <x:c r="C726" s="17" t="n">
        <x:v>45982</x:v>
      </x:c>
      <x:c r="D726" s="4" t="inlineStr">
        <x:is>
          <x:t xml:space="preserve">CUS-0221</x:t>
        </x:is>
      </x:c>
      <x:c r="E726" s="4" t="inlineStr">
        <x:is>
          <x:t xml:space="preserve">USB Flash Drive</x:t>
        </x:is>
      </x:c>
      <x:c r="F726" s="4" t="inlineStr">
        <x:is>
          <x:t xml:space="preserve">Storage</x:t>
        </x:is>
      </x:c>
      <x:c r="G726" s="4" t="inlineStr">
        <x:is>
          <x:t xml:space="preserve">San Francisco</x:t>
        </x:is>
      </x:c>
      <x:c r="H726" s="18" t="n">
        <x:v>1</x:v>
      </x:c>
      <x:c r="I726" s="19" t="n">
        <x:v>31.28</x:v>
      </x:c>
      <x:c r="J726" s="20" t="n">
        <x:v>0.15</x:v>
      </x:c>
      <x:c r="K726" s="4" t="inlineStr">
        <x:is>
          <x:t xml:space="preserve">PayPal</x:t>
        </x:is>
      </x:c>
      <x:c r="L726" s="19" t="n">
        <x:v>31.28</x:v>
      </x:c>
      <x:c r="M726" s="19" t="n">
        <x:v>4.69</x:v>
      </x:c>
      <x:c r="N726" s="19" t="n">
        <x:v>26.59</x:v>
      </x:c>
      <x:c r="O726" s="4" t="n">
        <x:f>YEAR(C726)</x:f>
        <x:v>2025</x:v>
      </x:c>
      <x:c r="P726" s="4" t="str">
        <x:f>TEXT(C726,"yyyy-mm")</x:f>
        <x:v>2025-11</x:v>
      </x:c>
      <x:c r="Q726" s="4" t="str">
        <x:f>TEXT(C726,"mmmm")</x:f>
        <x:v>November</x:v>
      </x:c>
    </x:row>
    <x:row r="727" ht="20" customHeight="1">
      <x:c r="A727" s="4" t="inlineStr">
        <x:is>
          <x:t xml:space="preserve">LINE-00732</x:t>
        </x:is>
      </x:c>
      <x:c r="B727" s="4" t="inlineStr">
        <x:is>
          <x:t xml:space="preserve">ORD-2025-0461</x:t>
        </x:is>
      </x:c>
      <x:c r="C727" s="17" t="n">
        <x:v>45982</x:v>
      </x:c>
      <x:c r="D727" s="4" t="inlineStr">
        <x:is>
          <x:t xml:space="preserve">CUS-0221</x:t>
        </x:is>
      </x:c>
      <x:c r="E727" s="4" t="inlineStr">
        <x:is>
          <x:t xml:space="preserve">External SSD</x:t>
        </x:is>
      </x:c>
      <x:c r="F727" s="4" t="inlineStr">
        <x:is>
          <x:t xml:space="preserve">Storage</x:t>
        </x:is>
      </x:c>
      <x:c r="G727" s="4" t="inlineStr">
        <x:is>
          <x:t xml:space="preserve">San Francisco</x:t>
        </x:is>
      </x:c>
      <x:c r="H727" s="18" t="n">
        <x:v>1</x:v>
      </x:c>
      <x:c r="I727" s="19" t="n">
        <x:v>161.08</x:v>
      </x:c>
      <x:c r="J727" s="20" t="n">
        <x:v>0</x:v>
      </x:c>
      <x:c r="K727" s="4" t="inlineStr">
        <x:is>
          <x:t xml:space="preserve">PayPal</x:t>
        </x:is>
      </x:c>
      <x:c r="L727" s="19" t="n">
        <x:v>161.08</x:v>
      </x:c>
      <x:c r="M727" s="19" t="n">
        <x:v>0</x:v>
      </x:c>
      <x:c r="N727" s="19" t="n">
        <x:v>161.08</x:v>
      </x:c>
      <x:c r="O727" s="4" t="n">
        <x:f>YEAR(C727)</x:f>
        <x:v>2025</x:v>
      </x:c>
      <x:c r="P727" s="4" t="str">
        <x:f>TEXT(C727,"yyyy-mm")</x:f>
        <x:v>2025-11</x:v>
      </x:c>
      <x:c r="Q727" s="4" t="str">
        <x:f>TEXT(C727,"mmmm")</x:f>
        <x:v>November</x:v>
      </x:c>
    </x:row>
    <x:row r="728" ht="20" customHeight="1">
      <x:c r="A728" s="4" t="inlineStr">
        <x:is>
          <x:t xml:space="preserve">LINE-00733</x:t>
        </x:is>
      </x:c>
      <x:c r="B728" s="4" t="inlineStr">
        <x:is>
          <x:t xml:space="preserve">ORD-2025-0462</x:t>
        </x:is>
      </x:c>
      <x:c r="C728" s="17" t="n">
        <x:v>45861</x:v>
      </x:c>
      <x:c r="D728" s="4" t="inlineStr">
        <x:is>
          <x:t xml:space="preserve">CUS-0001</x:t>
        </x:is>
      </x:c>
      <x:c r="E728" s="4" t="inlineStr">
        <x:is>
          <x:t xml:space="preserve">USB Flash Drive</x:t>
        </x:is>
      </x:c>
      <x:c r="F728" s="4" t="inlineStr">
        <x:is>
          <x:t xml:space="preserve">Storage</x:t>
        </x:is>
      </x:c>
      <x:c r="G728" s="4" t="inlineStr">
        <x:is>
          <x:t xml:space="preserve">San Francisco</x:t>
        </x:is>
      </x:c>
      <x:c r="H728" s="18" t="n">
        <x:v>1</x:v>
      </x:c>
      <x:c r="I728" s="19" t="n">
        <x:v>31.87</x:v>
      </x:c>
      <x:c r="J728" s="20" t="n">
        <x:v>0</x:v>
      </x:c>
      <x:c r="K728" s="4" t="inlineStr">
        <x:is>
          <x:t xml:space="preserve">Credit Card</x:t>
        </x:is>
      </x:c>
      <x:c r="L728" s="19" t="n">
        <x:v>31.87</x:v>
      </x:c>
      <x:c r="M728" s="19" t="n">
        <x:v>0</x:v>
      </x:c>
      <x:c r="N728" s="19" t="n">
        <x:v>31.87</x:v>
      </x:c>
      <x:c r="O728" s="4" t="n">
        <x:f>YEAR(C728)</x:f>
        <x:v>2025</x:v>
      </x:c>
      <x:c r="P728" s="4" t="str">
        <x:f>TEXT(C728,"yyyy-mm")</x:f>
        <x:v>2025-07</x:v>
      </x:c>
      <x:c r="Q728" s="4" t="str">
        <x:f>TEXT(C728,"mmmm")</x:f>
        <x:v>July</x:v>
      </x:c>
    </x:row>
    <x:row r="729" ht="20" customHeight="1">
      <x:c r="A729" s="4" t="inlineStr">
        <x:is>
          <x:t xml:space="preserve">LINE-00734</x:t>
        </x:is>
      </x:c>
      <x:c r="B729" s="4" t="inlineStr">
        <x:is>
          <x:t xml:space="preserve">ORD-2025-0462</x:t>
        </x:is>
      </x:c>
      <x:c r="C729" s="17" t="n">
        <x:v>45861</x:v>
      </x:c>
      <x:c r="D729" s="4" t="inlineStr">
        <x:is>
          <x:t xml:space="preserve">CUS-0001</x:t>
        </x:is>
      </x:c>
      <x:c r="E729" s="4" t="inlineStr">
        <x:is>
          <x:t xml:space="preserve">Laptop</x:t>
        </x:is>
      </x:c>
      <x:c r="F729" s="4" t="inlineStr">
        <x:is>
          <x:t xml:space="preserve">Computers</x:t>
        </x:is>
      </x:c>
      <x:c r="G729" s="4" t="inlineStr">
        <x:is>
          <x:t xml:space="preserve">San Francisco</x:t>
        </x:is>
      </x:c>
      <x:c r="H729" s="18" t="n">
        <x:v>5</x:v>
      </x:c>
      <x:c r="I729" s="19" t="n">
        <x:v>906.65</x:v>
      </x:c>
      <x:c r="J729" s="20" t="n">
        <x:v>0</x:v>
      </x:c>
      <x:c r="K729" s="4" t="inlineStr">
        <x:is>
          <x:t xml:space="preserve">Credit Card</x:t>
        </x:is>
      </x:c>
      <x:c r="L729" s="19" t="n">
        <x:v>4533.25</x:v>
      </x:c>
      <x:c r="M729" s="19" t="n">
        <x:v>0</x:v>
      </x:c>
      <x:c r="N729" s="19" t="n">
        <x:v>4533.25</x:v>
      </x:c>
      <x:c r="O729" s="4" t="n">
        <x:f>YEAR(C729)</x:f>
        <x:v>2025</x:v>
      </x:c>
      <x:c r="P729" s="4" t="str">
        <x:f>TEXT(C729,"yyyy-mm")</x:f>
        <x:v>2025-07</x:v>
      </x:c>
      <x:c r="Q729" s="4" t="str">
        <x:f>TEXT(C729,"mmmm")</x:f>
        <x:v>July</x:v>
      </x:c>
    </x:row>
    <x:row r="730" ht="20" customHeight="1">
      <x:c r="A730" s="4" t="inlineStr">
        <x:is>
          <x:t xml:space="preserve">LINE-00735</x:t>
        </x:is>
      </x:c>
      <x:c r="B730" s="4" t="inlineStr">
        <x:is>
          <x:t xml:space="preserve">ORD-2025-0462</x:t>
        </x:is>
      </x:c>
      <x:c r="C730" s="17" t="n">
        <x:v>45861</x:v>
      </x:c>
      <x:c r="D730" s="4" t="inlineStr">
        <x:is>
          <x:t xml:space="preserve">CUS-0001</x:t>
        </x:is>
      </x:c>
      <x:c r="E730" s="4" t="inlineStr">
        <x:is>
          <x:t xml:space="preserve">External SSD</x:t>
        </x:is>
      </x:c>
      <x:c r="F730" s="4" t="inlineStr">
        <x:is>
          <x:t xml:space="preserve">Storage</x:t>
        </x:is>
      </x:c>
      <x:c r="G730" s="4" t="inlineStr">
        <x:is>
          <x:t xml:space="preserve">San Francisco</x:t>
        </x:is>
      </x:c>
      <x:c r="H730" s="18" t="n">
        <x:v>3</x:v>
      </x:c>
      <x:c r="I730" s="19" t="n">
        <x:v>160.64</x:v>
      </x:c>
      <x:c r="J730" s="20" t="n">
        <x:v>0.1</x:v>
      </x:c>
      <x:c r="K730" s="4" t="inlineStr">
        <x:is>
          <x:t xml:space="preserve">Credit Card</x:t>
        </x:is>
      </x:c>
      <x:c r="L730" s="19" t="n">
        <x:v>481.92</x:v>
      </x:c>
      <x:c r="M730" s="19" t="n">
        <x:v>48.19</x:v>
      </x:c>
      <x:c r="N730" s="19" t="n">
        <x:v>433.73</x:v>
      </x:c>
      <x:c r="O730" s="4" t="n">
        <x:f>YEAR(C730)</x:f>
        <x:v>2025</x:v>
      </x:c>
      <x:c r="P730" s="4" t="str">
        <x:f>TEXT(C730,"yyyy-mm")</x:f>
        <x:v>2025-07</x:v>
      </x:c>
      <x:c r="Q730" s="4" t="str">
        <x:f>TEXT(C730,"mmmm")</x:f>
        <x:v>July</x:v>
      </x:c>
    </x:row>
    <x:row r="731" ht="20" customHeight="1">
      <x:c r="A731" s="4" t="inlineStr">
        <x:is>
          <x:t xml:space="preserve">LINE-00736</x:t>
        </x:is>
      </x:c>
      <x:c r="B731" s="4" t="inlineStr">
        <x:is>
          <x:t xml:space="preserve">ORD-2025-0463</x:t>
        </x:is>
      </x:c>
      <x:c r="C731" s="17" t="n">
        <x:v>45941</x:v>
      </x:c>
      <x:c r="D731" s="4" t="inlineStr">
        <x:is>
          <x:t xml:space="preserve">CUS-0262</x:t>
        </x:is>
      </x:c>
      <x:c r="E731" s="4" t="inlineStr">
        <x:is>
          <x:t xml:space="preserve">Bluetooth Speaker</x:t>
        </x:is>
      </x:c>
      <x:c r="F731" s="4" t="inlineStr">
        <x:is>
          <x:t xml:space="preserve">Audio</x:t>
        </x:is>
      </x:c>
      <x:c r="G731" s="4" t="inlineStr">
        <x:is>
          <x:t xml:space="preserve">Boston</x:t>
        </x:is>
      </x:c>
      <x:c r="H731" s="18" t="n">
        <x:v>1</x:v>
      </x:c>
      <x:c r="I731" s="19" t="n">
        <x:v>103.64</x:v>
      </x:c>
      <x:c r="J731" s="20" t="n">
        <x:v>0</x:v>
      </x:c>
      <x:c r="K731" s="4" t="inlineStr">
        <x:is>
          <x:t xml:space="preserve">Debit Card</x:t>
        </x:is>
      </x:c>
      <x:c r="L731" s="19" t="n">
        <x:v>103.64</x:v>
      </x:c>
      <x:c r="M731" s="19" t="n">
        <x:v>0</x:v>
      </x:c>
      <x:c r="N731" s="19" t="n">
        <x:v>103.64</x:v>
      </x:c>
      <x:c r="O731" s="4" t="n">
        <x:f>YEAR(C731)</x:f>
        <x:v>2025</x:v>
      </x:c>
      <x:c r="P731" s="4" t="str">
        <x:f>TEXT(C731,"yyyy-mm")</x:f>
        <x:v>2025-10</x:v>
      </x:c>
      <x:c r="Q731" s="4" t="str">
        <x:f>TEXT(C731,"mmmm")</x:f>
        <x:v>October</x:v>
      </x:c>
    </x:row>
    <x:row r="732" ht="20" customHeight="1">
      <x:c r="A732" s="4" t="inlineStr">
        <x:is>
          <x:t xml:space="preserve">LINE-00737</x:t>
        </x:is>
      </x:c>
      <x:c r="B732" s="4" t="inlineStr">
        <x:is>
          <x:t xml:space="preserve">ORD-2025-0464</x:t>
        </x:is>
      </x:c>
      <x:c r="C732" s="17" t="n">
        <x:v>45956</x:v>
      </x:c>
      <x:c r="D732" s="4" t="inlineStr">
        <x:is>
          <x:t xml:space="preserve">CUS-0128</x:t>
        </x:is>
      </x:c>
      <x:c r="E732" s="4" t="inlineStr">
        <x:is>
          <x:t xml:space="preserve">Monitor</x:t>
        </x:is>
      </x:c>
      <x:c r="F732" s="4" t="inlineStr">
        <x:is>
          <x:t xml:space="preserve">Computers</x:t>
        </x:is>
      </x:c>
      <x:c r="G732" s="4" t="inlineStr">
        <x:is>
          <x:t xml:space="preserve">Chicago</x:t>
        </x:is>
      </x:c>
      <x:c r="H732" s="18" t="n">
        <x:v>1</x:v>
      </x:c>
      <x:c r="I732" s="19" t="n">
        <x:v>298.72</x:v>
      </x:c>
      <x:c r="J732" s="20" t="n">
        <x:v>0.1</x:v>
      </x:c>
      <x:c r="K732" s="4" t="inlineStr">
        <x:is>
          <x:t xml:space="preserve">PayPal</x:t>
        </x:is>
      </x:c>
      <x:c r="L732" s="19" t="n">
        <x:v>298.72</x:v>
      </x:c>
      <x:c r="M732" s="19" t="n">
        <x:v>29.87</x:v>
      </x:c>
      <x:c r="N732" s="19" t="n">
        <x:v>268.85</x:v>
      </x:c>
      <x:c r="O732" s="4" t="n">
        <x:f>YEAR(C732)</x:f>
        <x:v>2025</x:v>
      </x:c>
      <x:c r="P732" s="4" t="str">
        <x:f>TEXT(C732,"yyyy-mm")</x:f>
        <x:v>2025-10</x:v>
      </x:c>
      <x:c r="Q732" s="4" t="str">
        <x:f>TEXT(C732,"mmmm")</x:f>
        <x:v>October</x:v>
      </x:c>
    </x:row>
    <x:row r="733" ht="20" customHeight="1">
      <x:c r="A733" s="4" t="inlineStr">
        <x:is>
          <x:t xml:space="preserve">LINE-00738</x:t>
        </x:is>
      </x:c>
      <x:c r="B733" s="4" t="inlineStr">
        <x:is>
          <x:t xml:space="preserve">ORD-2025-0464</x:t>
        </x:is>
      </x:c>
      <x:c r="C733" s="17" t="n">
        <x:v>45956</x:v>
      </x:c>
      <x:c r="D733" s="4" t="inlineStr">
        <x:is>
          <x:t xml:space="preserve">CUS-0128</x:t>
        </x:is>
      </x:c>
      <x:c r="E733" s="4" t="inlineStr">
        <x:is>
          <x:t xml:space="preserve">USB Flash Drive</x:t>
        </x:is>
      </x:c>
      <x:c r="F733" s="4" t="inlineStr">
        <x:is>
          <x:t xml:space="preserve">Storage</x:t>
        </x:is>
      </x:c>
      <x:c r="G733" s="4" t="inlineStr">
        <x:is>
          <x:t xml:space="preserve">Chicago</x:t>
        </x:is>
      </x:c>
      <x:c r="H733" s="18" t="n">
        <x:v>3</x:v>
      </x:c>
      <x:c r="I733" s="19" t="n">
        <x:v>31.41</x:v>
      </x:c>
      <x:c r="J733" s="20" t="n">
        <x:v>0</x:v>
      </x:c>
      <x:c r="K733" s="4" t="inlineStr">
        <x:is>
          <x:t xml:space="preserve">PayPal</x:t>
        </x:is>
      </x:c>
      <x:c r="L733" s="19" t="n">
        <x:v>94.23</x:v>
      </x:c>
      <x:c r="M733" s="19" t="n">
        <x:v>0</x:v>
      </x:c>
      <x:c r="N733" s="19" t="n">
        <x:v>94.23</x:v>
      </x:c>
      <x:c r="O733" s="4" t="n">
        <x:f>YEAR(C733)</x:f>
        <x:v>2025</x:v>
      </x:c>
      <x:c r="P733" s="4" t="str">
        <x:f>TEXT(C733,"yyyy-mm")</x:f>
        <x:v>2025-10</x:v>
      </x:c>
      <x:c r="Q733" s="4" t="str">
        <x:f>TEXT(C733,"mmmm")</x:f>
        <x:v>October</x:v>
      </x:c>
    </x:row>
    <x:row r="734" ht="20" customHeight="1">
      <x:c r="A734" s="4" t="inlineStr">
        <x:is>
          <x:t xml:space="preserve">LINE-00739</x:t>
        </x:is>
      </x:c>
      <x:c r="B734" s="4" t="inlineStr">
        <x:is>
          <x:t xml:space="preserve">ORD-2025-0465</x:t>
        </x:is>
      </x:c>
      <x:c r="C734" s="17" t="n">
        <x:v>46011</x:v>
      </x:c>
      <x:c r="D734" s="4" t="inlineStr">
        <x:is>
          <x:t xml:space="preserve">CUS-0296</x:t>
        </x:is>
      </x:c>
      <x:c r="E734" s="4" t="inlineStr">
        <x:is>
          <x:t xml:space="preserve">USB Flash Drive</x:t>
        </x:is>
      </x:c>
      <x:c r="F734" s="4" t="inlineStr">
        <x:is>
          <x:t xml:space="preserve">Storage</x:t>
        </x:is>
      </x:c>
      <x:c r="G734" s="4" t="inlineStr">
        <x:is>
          <x:t xml:space="preserve">New York</x:t>
        </x:is>
      </x:c>
      <x:c r="H734" s="18" t="n">
        <x:v>1</x:v>
      </x:c>
      <x:c r="I734" s="19" t="n">
        <x:v>31.34</x:v>
      </x:c>
      <x:c r="J734" s="20" t="n">
        <x:v>0.15</x:v>
      </x:c>
      <x:c r="K734" s="4" t="inlineStr">
        <x:is>
          <x:t xml:space="preserve">PayPal</x:t>
        </x:is>
      </x:c>
      <x:c r="L734" s="19" t="n">
        <x:v>31.34</x:v>
      </x:c>
      <x:c r="M734" s="19" t="n">
        <x:v>4.7</x:v>
      </x:c>
      <x:c r="N734" s="19" t="n">
        <x:v>26.64</x:v>
      </x:c>
      <x:c r="O734" s="4" t="n">
        <x:f>YEAR(C734)</x:f>
        <x:v>2025</x:v>
      </x:c>
      <x:c r="P734" s="4" t="str">
        <x:f>TEXT(C734,"yyyy-mm")</x:f>
        <x:v>2025-12</x:v>
      </x:c>
      <x:c r="Q734" s="4" t="str">
        <x:f>TEXT(C734,"mmmm")</x:f>
        <x:v>December</x:v>
      </x:c>
    </x:row>
    <x:row r="735" ht="20" customHeight="1">
      <x:c r="A735" s="4" t="inlineStr">
        <x:is>
          <x:t xml:space="preserve">LINE-00740</x:t>
        </x:is>
      </x:c>
      <x:c r="B735" s="4" t="inlineStr">
        <x:is>
          <x:t xml:space="preserve">ORD-2025-0466</x:t>
        </x:is>
      </x:c>
      <x:c r="C735" s="17" t="n">
        <x:v>45829</x:v>
      </x:c>
      <x:c r="D735" s="4" t="inlineStr">
        <x:is>
          <x:t xml:space="preserve">CUS-0179</x:t>
        </x:is>
      </x:c>
      <x:c r="E735" s="4" t="inlineStr">
        <x:is>
          <x:t xml:space="preserve">Monitor</x:t>
        </x:is>
      </x:c>
      <x:c r="F735" s="4" t="inlineStr">
        <x:is>
          <x:t xml:space="preserve">Computers</x:t>
        </x:is>
      </x:c>
      <x:c r="G735" s="4" t="inlineStr">
        <x:is>
          <x:t xml:space="preserve">Seattle</x:t>
        </x:is>
      </x:c>
      <x:c r="H735" s="18" t="n">
        <x:v>4</x:v>
      </x:c>
      <x:c r="I735" s="19" t="n">
        <x:v>286</x:v>
      </x:c>
      <x:c r="J735" s="20" t="n">
        <x:v>0.05</x:v>
      </x:c>
      <x:c r="K735" s="4" t="inlineStr">
        <x:is>
          <x:t xml:space="preserve">Bank Transfer</x:t>
        </x:is>
      </x:c>
      <x:c r="L735" s="19" t="n">
        <x:v>1144</x:v>
      </x:c>
      <x:c r="M735" s="19" t="n">
        <x:v>57.2</x:v>
      </x:c>
      <x:c r="N735" s="19" t="n">
        <x:v>1086.8</x:v>
      </x:c>
      <x:c r="O735" s="4" t="n">
        <x:f>YEAR(C735)</x:f>
        <x:v>2025</x:v>
      </x:c>
      <x:c r="P735" s="4" t="str">
        <x:f>TEXT(C735,"yyyy-mm")</x:f>
        <x:v>2025-06</x:v>
      </x:c>
      <x:c r="Q735" s="4" t="str">
        <x:f>TEXT(C735,"mmmm")</x:f>
        <x:v>June</x:v>
      </x:c>
    </x:row>
    <x:row r="736" ht="20" customHeight="1">
      <x:c r="A736" s="4" t="inlineStr">
        <x:is>
          <x:t xml:space="preserve">LINE-00741</x:t>
        </x:is>
      </x:c>
      <x:c r="B736" s="4" t="inlineStr">
        <x:is>
          <x:t xml:space="preserve">ORD-2025-0466</x:t>
        </x:is>
      </x:c>
      <x:c r="C736" s="17" t="n">
        <x:v>45829</x:v>
      </x:c>
      <x:c r="D736" s="4" t="inlineStr">
        <x:is>
          <x:t xml:space="preserve">CUS-0179</x:t>
        </x:is>
      </x:c>
      <x:c r="E736" s="4" t="inlineStr">
        <x:is>
          <x:t xml:space="preserve">Wireless Mouse</x:t>
        </x:is>
      </x:c>
      <x:c r="F736" s="4" t="inlineStr">
        <x:is>
          <x:t xml:space="preserve">Accessories</x:t>
        </x:is>
      </x:c>
      <x:c r="G736" s="4" t="inlineStr">
        <x:is>
          <x:t xml:space="preserve">Seattle</x:t>
        </x:is>
      </x:c>
      <x:c r="H736" s="18" t="n">
        <x:v>1</x:v>
      </x:c>
      <x:c r="I736" s="19" t="n">
        <x:v>45.18</x:v>
      </x:c>
      <x:c r="J736" s="20" t="n">
        <x:v>0</x:v>
      </x:c>
      <x:c r="K736" s="4" t="inlineStr">
        <x:is>
          <x:t xml:space="preserve">Bank Transfer</x:t>
        </x:is>
      </x:c>
      <x:c r="L736" s="19" t="n">
        <x:v>45.18</x:v>
      </x:c>
      <x:c r="M736" s="19" t="n">
        <x:v>0</x:v>
      </x:c>
      <x:c r="N736" s="19" t="n">
        <x:v>45.18</x:v>
      </x:c>
      <x:c r="O736" s="4" t="n">
        <x:f>YEAR(C736)</x:f>
        <x:v>2025</x:v>
      </x:c>
      <x:c r="P736" s="4" t="str">
        <x:f>TEXT(C736,"yyyy-mm")</x:f>
        <x:v>2025-06</x:v>
      </x:c>
      <x:c r="Q736" s="4" t="str">
        <x:f>TEXT(C736,"mmmm")</x:f>
        <x:v>June</x:v>
      </x:c>
    </x:row>
    <x:row r="737" ht="20" customHeight="1">
      <x:c r="A737" s="4" t="inlineStr">
        <x:is>
          <x:t xml:space="preserve">LINE-00742</x:t>
        </x:is>
      </x:c>
      <x:c r="B737" s="4" t="inlineStr">
        <x:is>
          <x:t xml:space="preserve">ORD-2025-0466</x:t>
        </x:is>
      </x:c>
      <x:c r="C737" s="17" t="n">
        <x:v>45829</x:v>
      </x:c>
      <x:c r="D737" s="4" t="inlineStr">
        <x:is>
          <x:t xml:space="preserve">CUS-0179</x:t>
        </x:is>
      </x:c>
      <x:c r="E737" s="4" t="inlineStr">
        <x:is>
          <x:t xml:space="preserve">USB Flash Drive</x:t>
        </x:is>
      </x:c>
      <x:c r="F737" s="4" t="inlineStr">
        <x:is>
          <x:t xml:space="preserve">Storage</x:t>
        </x:is>
      </x:c>
      <x:c r="G737" s="4" t="inlineStr">
        <x:is>
          <x:t xml:space="preserve">Seattle</x:t>
        </x:is>
      </x:c>
      <x:c r="H737" s="18" t="n">
        <x:v>2</x:v>
      </x:c>
      <x:c r="I737" s="19" t="n">
        <x:v>29.17</x:v>
      </x:c>
      <x:c r="J737" s="20" t="n">
        <x:v>0.05</x:v>
      </x:c>
      <x:c r="K737" s="4" t="inlineStr">
        <x:is>
          <x:t xml:space="preserve">Bank Transfer</x:t>
        </x:is>
      </x:c>
      <x:c r="L737" s="19" t="n">
        <x:v>58.34</x:v>
      </x:c>
      <x:c r="M737" s="19" t="n">
        <x:v>2.92</x:v>
      </x:c>
      <x:c r="N737" s="19" t="n">
        <x:v>55.42</x:v>
      </x:c>
      <x:c r="O737" s="4" t="n">
        <x:f>YEAR(C737)</x:f>
        <x:v>2025</x:v>
      </x:c>
      <x:c r="P737" s="4" t="str">
        <x:f>TEXT(C737,"yyyy-mm")</x:f>
        <x:v>2025-06</x:v>
      </x:c>
      <x:c r="Q737" s="4" t="str">
        <x:f>TEXT(C737,"mmmm")</x:f>
        <x:v>June</x:v>
      </x:c>
    </x:row>
    <x:row r="738" ht="20" customHeight="1">
      <x:c r="A738" s="4" t="inlineStr">
        <x:is>
          <x:t xml:space="preserve">LINE-00743</x:t>
        </x:is>
      </x:c>
      <x:c r="B738" s="4" t="inlineStr">
        <x:is>
          <x:t xml:space="preserve">ORD-2025-0467</x:t>
        </x:is>
      </x:c>
      <x:c r="C738" s="17" t="n">
        <x:v>45736</x:v>
      </x:c>
      <x:c r="D738" s="4" t="inlineStr">
        <x:is>
          <x:t xml:space="preserve">CUS-0026</x:t>
        </x:is>
      </x:c>
      <x:c r="E738" s="4" t="inlineStr">
        <x:is>
          <x:t xml:space="preserve">USB Flash Drive</x:t>
        </x:is>
      </x:c>
      <x:c r="F738" s="4" t="inlineStr">
        <x:is>
          <x:t xml:space="preserve">Storage</x:t>
        </x:is>
      </x:c>
      <x:c r="G738" s="4" t="inlineStr">
        <x:is>
          <x:t xml:space="preserve">San Francisco</x:t>
        </x:is>
      </x:c>
      <x:c r="H738" s="18" t="n">
        <x:v>1</x:v>
      </x:c>
      <x:c r="I738" s="19" t="n">
        <x:v>29.67</x:v>
      </x:c>
      <x:c r="J738" s="20" t="n">
        <x:v>0.1</x:v>
      </x:c>
      <x:c r="K738" s="4" t="inlineStr">
        <x:is>
          <x:t xml:space="preserve">Bank Transfer</x:t>
        </x:is>
      </x:c>
      <x:c r="L738" s="19" t="n">
        <x:v>29.67</x:v>
      </x:c>
      <x:c r="M738" s="19" t="n">
        <x:v>2.97</x:v>
      </x:c>
      <x:c r="N738" s="19" t="n">
        <x:v>26.7</x:v>
      </x:c>
      <x:c r="O738" s="4" t="n">
        <x:f>YEAR(C738)</x:f>
        <x:v>2025</x:v>
      </x:c>
      <x:c r="P738" s="4" t="str">
        <x:f>TEXT(C738,"yyyy-mm")</x:f>
        <x:v>2025-03</x:v>
      </x:c>
      <x:c r="Q738" s="4" t="str">
        <x:f>TEXT(C738,"mmmm")</x:f>
        <x:v>March</x:v>
      </x:c>
    </x:row>
    <x:row r="739" ht="20" customHeight="1">
      <x:c r="A739" s="4" t="inlineStr">
        <x:is>
          <x:t xml:space="preserve">LINE-00744</x:t>
        </x:is>
      </x:c>
      <x:c r="B739" s="4" t="inlineStr">
        <x:is>
          <x:t xml:space="preserve">ORD-2025-0467</x:t>
        </x:is>
      </x:c>
      <x:c r="C739" s="17" t="n">
        <x:v>45736</x:v>
      </x:c>
      <x:c r="D739" s="4" t="inlineStr">
        <x:is>
          <x:t xml:space="preserve">CUS-0026</x:t>
        </x:is>
      </x:c>
      <x:c r="E739" s="4" t="inlineStr">
        <x:is>
          <x:t xml:space="preserve">Desk Lamp</x:t>
        </x:is>
      </x:c>
      <x:c r="F739" s="4" t="inlineStr">
        <x:is>
          <x:t xml:space="preserve">Furniture</x:t>
        </x:is>
      </x:c>
      <x:c r="G739" s="4" t="inlineStr">
        <x:is>
          <x:t xml:space="preserve">San Francisco</x:t>
        </x:is>
      </x:c>
      <x:c r="H739" s="18" t="n">
        <x:v>1</x:v>
      </x:c>
      <x:c r="I739" s="19" t="n">
        <x:v>53.56</x:v>
      </x:c>
      <x:c r="J739" s="20" t="n">
        <x:v>0.05</x:v>
      </x:c>
      <x:c r="K739" s="4" t="inlineStr">
        <x:is>
          <x:t xml:space="preserve">Bank Transfer</x:t>
        </x:is>
      </x:c>
      <x:c r="L739" s="19" t="n">
        <x:v>53.56</x:v>
      </x:c>
      <x:c r="M739" s="19" t="n">
        <x:v>2.68</x:v>
      </x:c>
      <x:c r="N739" s="19" t="n">
        <x:v>50.88</x:v>
      </x:c>
      <x:c r="O739" s="4" t="n">
        <x:f>YEAR(C739)</x:f>
        <x:v>2025</x:v>
      </x:c>
      <x:c r="P739" s="4" t="str">
        <x:f>TEXT(C739,"yyyy-mm")</x:f>
        <x:v>2025-03</x:v>
      </x:c>
      <x:c r="Q739" s="4" t="str">
        <x:f>TEXT(C739,"mmmm")</x:f>
        <x:v>March</x:v>
      </x:c>
    </x:row>
    <x:row r="740" ht="20" customHeight="1">
      <x:c r="A740" s="4" t="inlineStr">
        <x:is>
          <x:t xml:space="preserve">LINE-00745</x:t>
        </x:is>
      </x:c>
      <x:c r="B740" s="4" t="inlineStr">
        <x:is>
          <x:t xml:space="preserve">ORD-2025-0467</x:t>
        </x:is>
      </x:c>
      <x:c r="C740" s="17" t="n">
        <x:v>45736</x:v>
      </x:c>
      <x:c r="D740" s="4" t="inlineStr">
        <x:is>
          <x:t xml:space="preserve">CUS-0026</x:t>
        </x:is>
      </x:c>
      <x:c r="E740" s="4" t="inlineStr">
        <x:is>
          <x:t xml:space="preserve">External SSD</x:t>
        </x:is>
      </x:c>
      <x:c r="F740" s="4" t="inlineStr">
        <x:is>
          <x:t xml:space="preserve">Storage</x:t>
        </x:is>
      </x:c>
      <x:c r="G740" s="4" t="inlineStr">
        <x:is>
          <x:t xml:space="preserve">San Francisco</x:t>
        </x:is>
      </x:c>
      <x:c r="H740" s="18" t="n">
        <x:v>3</x:v>
      </x:c>
      <x:c r="I740" s="19" t="n">
        <x:v>151.16</x:v>
      </x:c>
      <x:c r="J740" s="20" t="n">
        <x:v>0</x:v>
      </x:c>
      <x:c r="K740" s="4" t="inlineStr">
        <x:is>
          <x:t xml:space="preserve">Bank Transfer</x:t>
        </x:is>
      </x:c>
      <x:c r="L740" s="19" t="n">
        <x:v>453.48</x:v>
      </x:c>
      <x:c r="M740" s="19" t="n">
        <x:v>0</x:v>
      </x:c>
      <x:c r="N740" s="19" t="n">
        <x:v>453.48</x:v>
      </x:c>
      <x:c r="O740" s="4" t="n">
        <x:f>YEAR(C740)</x:f>
        <x:v>2025</x:v>
      </x:c>
      <x:c r="P740" s="4" t="str">
        <x:f>TEXT(C740,"yyyy-mm")</x:f>
        <x:v>2025-03</x:v>
      </x:c>
      <x:c r="Q740" s="4" t="str">
        <x:f>TEXT(C740,"mmmm")</x:f>
        <x:v>March</x:v>
      </x:c>
    </x:row>
    <x:row r="741" ht="20" customHeight="1">
      <x:c r="A741" s="4" t="inlineStr">
        <x:is>
          <x:t xml:space="preserve">LINE-00746</x:t>
        </x:is>
      </x:c>
      <x:c r="B741" s="4" t="inlineStr">
        <x:is>
          <x:t xml:space="preserve">ORD-2025-0468</x:t>
        </x:is>
      </x:c>
      <x:c r="C741" s="17" t="n">
        <x:v>45862</x:v>
      </x:c>
      <x:c r="D741" s="4" t="inlineStr">
        <x:is>
          <x:t xml:space="preserve">CUS-0257</x:t>
        </x:is>
      </x:c>
      <x:c r="E741" s="4" t="inlineStr">
        <x:is>
          <x:t xml:space="preserve">Bluetooth Speaker</x:t>
        </x:is>
      </x:c>
      <x:c r="F741" s="4" t="inlineStr">
        <x:is>
          <x:t xml:space="preserve">Audio</x:t>
        </x:is>
      </x:c>
      <x:c r="G741" s="4" t="inlineStr">
        <x:is>
          <x:t xml:space="preserve">Seattle</x:t>
        </x:is>
      </x:c>
      <x:c r="H741" s="18" t="n">
        <x:v>1</x:v>
      </x:c>
      <x:c r="I741" s="19" t="n">
        <x:v>108.16</x:v>
      </x:c>
      <x:c r="J741" s="20" t="n">
        <x:v>0.05</x:v>
      </x:c>
      <x:c r="K741" s="4" t="inlineStr">
        <x:is>
          <x:t xml:space="preserve">Debit Card</x:t>
        </x:is>
      </x:c>
      <x:c r="L741" s="19" t="n">
        <x:v>108.16</x:v>
      </x:c>
      <x:c r="M741" s="19" t="n">
        <x:v>5.41</x:v>
      </x:c>
      <x:c r="N741" s="19" t="n">
        <x:v>102.75</x:v>
      </x:c>
      <x:c r="O741" s="4" t="n">
        <x:f>YEAR(C741)</x:f>
        <x:v>2025</x:v>
      </x:c>
      <x:c r="P741" s="4" t="str">
        <x:f>TEXT(C741,"yyyy-mm")</x:f>
        <x:v>2025-07</x:v>
      </x:c>
      <x:c r="Q741" s="4" t="str">
        <x:f>TEXT(C741,"mmmm")</x:f>
        <x:v>July</x:v>
      </x:c>
    </x:row>
    <x:row r="742" ht="20" customHeight="1">
      <x:c r="A742" s="4" t="inlineStr">
        <x:is>
          <x:t xml:space="preserve">LINE-00747</x:t>
        </x:is>
      </x:c>
      <x:c r="B742" s="4" t="inlineStr">
        <x:is>
          <x:t xml:space="preserve">ORD-2025-0468</x:t>
        </x:is>
      </x:c>
      <x:c r="C742" s="17" t="n">
        <x:v>45862</x:v>
      </x:c>
      <x:c r="D742" s="4" t="inlineStr">
        <x:is>
          <x:t xml:space="preserve">CUS-0257</x:t>
        </x:is>
      </x:c>
      <x:c r="E742" s="4" t="inlineStr">
        <x:is>
          <x:t xml:space="preserve">External SSD</x:t>
        </x:is>
      </x:c>
      <x:c r="F742" s="4" t="inlineStr">
        <x:is>
          <x:t xml:space="preserve">Storage</x:t>
        </x:is>
      </x:c>
      <x:c r="G742" s="4" t="inlineStr">
        <x:is>
          <x:t xml:space="preserve">Seattle</x:t>
        </x:is>
      </x:c>
      <x:c r="H742" s="18" t="n">
        <x:v>2</x:v>
      </x:c>
      <x:c r="I742" s="19" t="n">
        <x:v>161.93</x:v>
      </x:c>
      <x:c r="J742" s="20" t="n">
        <x:v>0.05</x:v>
      </x:c>
      <x:c r="K742" s="4" t="inlineStr">
        <x:is>
          <x:t xml:space="preserve">Debit Card</x:t>
        </x:is>
      </x:c>
      <x:c r="L742" s="19" t="n">
        <x:v>323.86</x:v>
      </x:c>
      <x:c r="M742" s="19" t="n">
        <x:v>16.19</x:v>
      </x:c>
      <x:c r="N742" s="19" t="n">
        <x:v>307.67</x:v>
      </x:c>
      <x:c r="O742" s="4" t="n">
        <x:f>YEAR(C742)</x:f>
        <x:v>2025</x:v>
      </x:c>
      <x:c r="P742" s="4" t="str">
        <x:f>TEXT(C742,"yyyy-mm")</x:f>
        <x:v>2025-07</x:v>
      </x:c>
      <x:c r="Q742" s="4" t="str">
        <x:f>TEXT(C742,"mmmm")</x:f>
        <x:v>July</x:v>
      </x:c>
    </x:row>
    <x:row r="743" ht="20" customHeight="1">
      <x:c r="A743" s="4" t="inlineStr">
        <x:is>
          <x:t xml:space="preserve">LINE-00748</x:t>
        </x:is>
      </x:c>
      <x:c r="B743" s="4" t="inlineStr">
        <x:is>
          <x:t xml:space="preserve">ORD-2025-0469</x:t>
        </x:is>
      </x:c>
      <x:c r="C743" s="17" t="n">
        <x:v>45782</x:v>
      </x:c>
      <x:c r="D743" s="4" t="inlineStr">
        <x:is>
          <x:t xml:space="preserve">CUS-0037</x:t>
        </x:is>
      </x:c>
      <x:c r="E743" s="4" t="inlineStr">
        <x:is>
          <x:t xml:space="preserve">USB Flash Drive</x:t>
        </x:is>
      </x:c>
      <x:c r="F743" s="4" t="inlineStr">
        <x:is>
          <x:t xml:space="preserve">Storage</x:t>
        </x:is>
      </x:c>
      <x:c r="G743" s="4" t="inlineStr">
        <x:is>
          <x:t xml:space="preserve">Austin</x:t>
        </x:is>
      </x:c>
      <x:c r="H743" s="18" t="n">
        <x:v>1</x:v>
      </x:c>
      <x:c r="I743" s="19" t="n">
        <x:v>30.82</x:v>
      </x:c>
      <x:c r="J743" s="20" t="n">
        <x:v>0</x:v>
      </x:c>
      <x:c r="K743" s="4" t="inlineStr">
        <x:is>
          <x:t xml:space="preserve">Bank Transfer</x:t>
        </x:is>
      </x:c>
      <x:c r="L743" s="19" t="n">
        <x:v>30.82</x:v>
      </x:c>
      <x:c r="M743" s="19" t="n">
        <x:v>0</x:v>
      </x:c>
      <x:c r="N743" s="19" t="n">
        <x:v>30.82</x:v>
      </x:c>
      <x:c r="O743" s="4" t="n">
        <x:f>YEAR(C743)</x:f>
        <x:v>2025</x:v>
      </x:c>
      <x:c r="P743" s="4" t="str">
        <x:f>TEXT(C743,"yyyy-mm")</x:f>
        <x:v>2025-05</x:v>
      </x:c>
      <x:c r="Q743" s="4" t="str">
        <x:f>TEXT(C743,"mmmm")</x:f>
        <x:v>May</x:v>
      </x:c>
    </x:row>
    <x:row r="744" ht="20" customHeight="1">
      <x:c r="A744" s="4" t="inlineStr">
        <x:is>
          <x:t xml:space="preserve">LINE-00749</x:t>
        </x:is>
      </x:c>
      <x:c r="B744" s="4" t="inlineStr">
        <x:is>
          <x:t xml:space="preserve">ORD-2025-0470</x:t>
        </x:is>
      </x:c>
      <x:c r="C744" s="17" t="n">
        <x:v>45836</x:v>
      </x:c>
      <x:c r="D744" s="4" t="inlineStr">
        <x:is>
          <x:t xml:space="preserve">CUS-0098</x:t>
        </x:is>
      </x:c>
      <x:c r="E744" s="4" t="inlineStr">
        <x:is>
          <x:t xml:space="preserve">Laptop</x:t>
        </x:is>
      </x:c>
      <x:c r="F744" s="4" t="inlineStr">
        <x:is>
          <x:t xml:space="preserve">Computers</x:t>
        </x:is>
      </x:c>
      <x:c r="G744" s="4" t="inlineStr">
        <x:is>
          <x:t xml:space="preserve">Austin</x:t>
        </x:is>
      </x:c>
      <x:c r="H744" s="18" t="n">
        <x:v>1</x:v>
      </x:c>
      <x:c r="I744" s="19" t="n">
        <x:v>927.16</x:v>
      </x:c>
      <x:c r="J744" s="20" t="n">
        <x:v>0.1</x:v>
      </x:c>
      <x:c r="K744" s="4" t="inlineStr">
        <x:is>
          <x:t xml:space="preserve">PayPal</x:t>
        </x:is>
      </x:c>
      <x:c r="L744" s="19" t="n">
        <x:v>927.16</x:v>
      </x:c>
      <x:c r="M744" s="19" t="n">
        <x:v>92.72</x:v>
      </x:c>
      <x:c r="N744" s="19" t="n">
        <x:v>834.4400000000001</x:v>
      </x:c>
      <x:c r="O744" s="4" t="n">
        <x:f>YEAR(C744)</x:f>
        <x:v>2025</x:v>
      </x:c>
      <x:c r="P744" s="4" t="str">
        <x:f>TEXT(C744,"yyyy-mm")</x:f>
        <x:v>2025-06</x:v>
      </x:c>
      <x:c r="Q744" s="4" t="str">
        <x:f>TEXT(C744,"mmmm")</x:f>
        <x:v>June</x:v>
      </x:c>
    </x:row>
    <x:row r="745" ht="20" customHeight="1">
      <x:c r="A745" s="4" t="inlineStr">
        <x:is>
          <x:t xml:space="preserve">LINE-00750</x:t>
        </x:is>
      </x:c>
      <x:c r="B745" s="4" t="inlineStr">
        <x:is>
          <x:t xml:space="preserve">ORD-2025-0470</x:t>
        </x:is>
      </x:c>
      <x:c r="C745" s="17" t="n">
        <x:v>45836</x:v>
      </x:c>
      <x:c r="D745" s="4" t="inlineStr">
        <x:is>
          <x:t xml:space="preserve">CUS-0098</x:t>
        </x:is>
      </x:c>
      <x:c r="E745" s="4" t="inlineStr">
        <x:is>
          <x:t xml:space="preserve">USB-C Hub</x:t>
        </x:is>
      </x:c>
      <x:c r="F745" s="4" t="inlineStr">
        <x:is>
          <x:t xml:space="preserve">Accessories</x:t>
        </x:is>
      </x:c>
      <x:c r="G745" s="4" t="inlineStr">
        <x:is>
          <x:t xml:space="preserve">Austin</x:t>
        </x:is>
      </x:c>
      <x:c r="H745" s="18" t="n">
        <x:v>3</x:v>
      </x:c>
      <x:c r="I745" s="19" t="n">
        <x:v>66.28</x:v>
      </x:c>
      <x:c r="J745" s="20" t="n">
        <x:v>0</x:v>
      </x:c>
      <x:c r="K745" s="4" t="inlineStr">
        <x:is>
          <x:t xml:space="preserve">PayPal</x:t>
        </x:is>
      </x:c>
      <x:c r="L745" s="19" t="n">
        <x:v>198.84</x:v>
      </x:c>
      <x:c r="M745" s="19" t="n">
        <x:v>0</x:v>
      </x:c>
      <x:c r="N745" s="19" t="n">
        <x:v>198.84</x:v>
      </x:c>
      <x:c r="O745" s="4" t="n">
        <x:f>YEAR(C745)</x:f>
        <x:v>2025</x:v>
      </x:c>
      <x:c r="P745" s="4" t="str">
        <x:f>TEXT(C745,"yyyy-mm")</x:f>
        <x:v>2025-06</x:v>
      </x:c>
      <x:c r="Q745" s="4" t="str">
        <x:f>TEXT(C745,"mmmm")</x:f>
        <x:v>June</x:v>
      </x:c>
    </x:row>
    <x:row r="746" ht="20" customHeight="1">
      <x:c r="A746" s="4" t="inlineStr">
        <x:is>
          <x:t xml:space="preserve">LINE-00751</x:t>
        </x:is>
      </x:c>
      <x:c r="B746" s="4" t="inlineStr">
        <x:is>
          <x:t xml:space="preserve">ORD-2025-0471</x:t>
        </x:is>
      </x:c>
      <x:c r="C746" s="17" t="n">
        <x:v>45777</x:v>
      </x:c>
      <x:c r="D746" s="4" t="inlineStr">
        <x:is>
          <x:t xml:space="preserve">CUS-0103</x:t>
        </x:is>
      </x:c>
      <x:c r="E746" s="4" t="inlineStr">
        <x:is>
          <x:t xml:space="preserve">Desk Lamp</x:t>
        </x:is>
      </x:c>
      <x:c r="F746" s="4" t="inlineStr">
        <x:is>
          <x:t xml:space="preserve">Furniture</x:t>
        </x:is>
      </x:c>
      <x:c r="G746" s="4" t="inlineStr">
        <x:is>
          <x:t xml:space="preserve">San Francisco</x:t>
        </x:is>
      </x:c>
      <x:c r="H746" s="18" t="n">
        <x:v>3</x:v>
      </x:c>
      <x:c r="I746" s="19" t="n">
        <x:v>51.59</x:v>
      </x:c>
      <x:c r="J746" s="20" t="n">
        <x:v>0</x:v>
      </x:c>
      <x:c r="K746" s="4" t="inlineStr">
        <x:is>
          <x:t xml:space="preserve">PayPal</x:t>
        </x:is>
      </x:c>
      <x:c r="L746" s="19" t="n">
        <x:v>154.77</x:v>
      </x:c>
      <x:c r="M746" s="19" t="n">
        <x:v>0</x:v>
      </x:c>
      <x:c r="N746" s="19" t="n">
        <x:v>154.77</x:v>
      </x:c>
      <x:c r="O746" s="4" t="n">
        <x:f>YEAR(C746)</x:f>
        <x:v>2025</x:v>
      </x:c>
      <x:c r="P746" s="4" t="str">
        <x:f>TEXT(C746,"yyyy-mm")</x:f>
        <x:v>2025-04</x:v>
      </x:c>
      <x:c r="Q746" s="4" t="str">
        <x:f>TEXT(C746,"mmmm")</x:f>
        <x:v>April</x:v>
      </x:c>
    </x:row>
    <x:row r="747" ht="20" customHeight="1">
      <x:c r="A747" s="4" t="inlineStr">
        <x:is>
          <x:t xml:space="preserve">LINE-00752</x:t>
        </x:is>
      </x:c>
      <x:c r="B747" s="4" t="inlineStr">
        <x:is>
          <x:t xml:space="preserve">ORD-2025-0472</x:t>
        </x:is>
      </x:c>
      <x:c r="C747" s="17" t="n">
        <x:v>45975</x:v>
      </x:c>
      <x:c r="D747" s="4" t="inlineStr">
        <x:is>
          <x:t xml:space="preserve">CUS-0076</x:t>
        </x:is>
      </x:c>
      <x:c r="E747" s="4" t="inlineStr">
        <x:is>
          <x:t xml:space="preserve">Monitor</x:t>
        </x:is>
      </x:c>
      <x:c r="F747" s="4" t="inlineStr">
        <x:is>
          <x:t xml:space="preserve">Computers</x:t>
        </x:is>
      </x:c>
      <x:c r="G747" s="4" t="inlineStr">
        <x:is>
          <x:t xml:space="preserve">Austin</x:t>
        </x:is>
      </x:c>
      <x:c r="H747" s="18" t="n">
        <x:v>1</x:v>
      </x:c>
      <x:c r="I747" s="19" t="n">
        <x:v>278.71</x:v>
      </x:c>
      <x:c r="J747" s="20" t="n">
        <x:v>0</x:v>
      </x:c>
      <x:c r="K747" s="4" t="inlineStr">
        <x:is>
          <x:t xml:space="preserve">Credit Card</x:t>
        </x:is>
      </x:c>
      <x:c r="L747" s="19" t="n">
        <x:v>278.71</x:v>
      </x:c>
      <x:c r="M747" s="19" t="n">
        <x:v>0</x:v>
      </x:c>
      <x:c r="N747" s="19" t="n">
        <x:v>278.71</x:v>
      </x:c>
      <x:c r="O747" s="4" t="n">
        <x:f>YEAR(C747)</x:f>
        <x:v>2025</x:v>
      </x:c>
      <x:c r="P747" s="4" t="str">
        <x:f>TEXT(C747,"yyyy-mm")</x:f>
        <x:v>2025-11</x:v>
      </x:c>
      <x:c r="Q747" s="4" t="str">
        <x:f>TEXT(C747,"mmmm")</x:f>
        <x:v>November</x:v>
      </x:c>
    </x:row>
    <x:row r="748" ht="20" customHeight="1">
      <x:c r="A748" s="4" t="inlineStr">
        <x:is>
          <x:t xml:space="preserve">LINE-00753</x:t>
        </x:is>
      </x:c>
      <x:c r="B748" s="4" t="inlineStr">
        <x:is>
          <x:t xml:space="preserve">ORD-2025-0473</x:t>
        </x:is>
      </x:c>
      <x:c r="C748" s="17" t="n">
        <x:v>45933</x:v>
      </x:c>
      <x:c r="D748" s="4" t="inlineStr">
        <x:is>
          <x:t xml:space="preserve">CUS-0109</x:t>
        </x:is>
      </x:c>
      <x:c r="E748" s="4" t="inlineStr">
        <x:is>
          <x:t xml:space="preserve">USB Flash Drive</x:t>
        </x:is>
      </x:c>
      <x:c r="F748" s="4" t="inlineStr">
        <x:is>
          <x:t xml:space="preserve">Storage</x:t>
        </x:is>
      </x:c>
      <x:c r="G748" s="4" t="inlineStr">
        <x:is>
          <x:t xml:space="preserve">Chicago</x:t>
        </x:is>
      </x:c>
      <x:c r="H748" s="18" t="n">
        <x:v>3</x:v>
      </x:c>
      <x:c r="I748" s="19" t="n">
        <x:v>30.81</x:v>
      </x:c>
      <x:c r="J748" s="20" t="n">
        <x:v>0</x:v>
      </x:c>
      <x:c r="K748" s="4" t="inlineStr">
        <x:is>
          <x:t xml:space="preserve">PayPal</x:t>
        </x:is>
      </x:c>
      <x:c r="L748" s="19" t="n">
        <x:v>92.43000000000001</x:v>
      </x:c>
      <x:c r="M748" s="19" t="n">
        <x:v>0</x:v>
      </x:c>
      <x:c r="N748" s="19" t="n">
        <x:v>92.43000000000001</x:v>
      </x:c>
      <x:c r="O748" s="4" t="n">
        <x:f>YEAR(C748)</x:f>
        <x:v>2025</x:v>
      </x:c>
      <x:c r="P748" s="4" t="str">
        <x:f>TEXT(C748,"yyyy-mm")</x:f>
        <x:v>2025-10</x:v>
      </x:c>
      <x:c r="Q748" s="4" t="str">
        <x:f>TEXT(C748,"mmmm")</x:f>
        <x:v>October</x:v>
      </x:c>
    </x:row>
    <x:row r="749" ht="20" customHeight="1">
      <x:c r="A749" s="4" t="inlineStr">
        <x:is>
          <x:t xml:space="preserve">LINE-00754</x:t>
        </x:is>
      </x:c>
      <x:c r="B749" s="4" t="inlineStr">
        <x:is>
          <x:t xml:space="preserve">ORD-2025-0473</x:t>
        </x:is>
      </x:c>
      <x:c r="C749" s="17" t="n">
        <x:v>45933</x:v>
      </x:c>
      <x:c r="D749" s="4" t="inlineStr">
        <x:is>
          <x:t xml:space="preserve">CUS-0109</x:t>
        </x:is>
      </x:c>
      <x:c r="E749" s="4" t="inlineStr">
        <x:is>
          <x:t xml:space="preserve">Keyboard</x:t>
        </x:is>
      </x:c>
      <x:c r="F749" s="4" t="inlineStr">
        <x:is>
          <x:t xml:space="preserve">Accessories</x:t>
        </x:is>
      </x:c>
      <x:c r="G749" s="4" t="inlineStr">
        <x:is>
          <x:t xml:space="preserve">Chicago</x:t>
        </x:is>
      </x:c>
      <x:c r="H749" s="18" t="n">
        <x:v>4</x:v>
      </x:c>
      <x:c r="I749" s="19" t="n">
        <x:v>75.31999999999999</x:v>
      </x:c>
      <x:c r="J749" s="20" t="n">
        <x:v>0</x:v>
      </x:c>
      <x:c r="K749" s="4" t="inlineStr">
        <x:is>
          <x:t xml:space="preserve">PayPal</x:t>
        </x:is>
      </x:c>
      <x:c r="L749" s="19" t="n">
        <x:v>301.28</x:v>
      </x:c>
      <x:c r="M749" s="19" t="n">
        <x:v>0</x:v>
      </x:c>
      <x:c r="N749" s="19" t="n">
        <x:v>301.28</x:v>
      </x:c>
      <x:c r="O749" s="4" t="n">
        <x:f>YEAR(C749)</x:f>
        <x:v>2025</x:v>
      </x:c>
      <x:c r="P749" s="4" t="str">
        <x:f>TEXT(C749,"yyyy-mm")</x:f>
        <x:v>2025-10</x:v>
      </x:c>
      <x:c r="Q749" s="4" t="str">
        <x:f>TEXT(C749,"mmmm")</x:f>
        <x:v>October</x:v>
      </x:c>
    </x:row>
    <x:row r="750" ht="20" customHeight="1">
      <x:c r="A750" s="4" t="inlineStr">
        <x:is>
          <x:t xml:space="preserve">LINE-00755</x:t>
        </x:is>
      </x:c>
      <x:c r="B750" s="4" t="inlineStr">
        <x:is>
          <x:t xml:space="preserve">ORD-2025-0474</x:t>
        </x:is>
      </x:c>
      <x:c r="C750" s="17" t="n">
        <x:v>45688</x:v>
      </x:c>
      <x:c r="D750" s="4" t="inlineStr">
        <x:is>
          <x:t xml:space="preserve">CUS-0146</x:t>
        </x:is>
      </x:c>
      <x:c r="E750" s="4" t="inlineStr">
        <x:is>
          <x:t xml:space="preserve">Office Chair</x:t>
        </x:is>
      </x:c>
      <x:c r="F750" s="4" t="inlineStr">
        <x:is>
          <x:t xml:space="preserve">Furniture</x:t>
        </x:is>
      </x:c>
      <x:c r="G750" s="4" t="inlineStr">
        <x:is>
          <x:t xml:space="preserve">Chicago</x:t>
        </x:is>
      </x:c>
      <x:c r="H750" s="18" t="n">
        <x:v>4</x:v>
      </x:c>
      <x:c r="I750" s="19" t="n">
        <x:v>223.36</x:v>
      </x:c>
      <x:c r="J750" s="20" t="n">
        <x:v>0.05</x:v>
      </x:c>
      <x:c r="K750" s="4" t="inlineStr">
        <x:is>
          <x:t xml:space="preserve">PayPal</x:t>
        </x:is>
      </x:c>
      <x:c r="L750" s="19" t="n">
        <x:v>893.4400000000001</x:v>
      </x:c>
      <x:c r="M750" s="19" t="n">
        <x:v>44.67</x:v>
      </x:c>
      <x:c r="N750" s="19" t="n">
        <x:v>848.77</x:v>
      </x:c>
      <x:c r="O750" s="4" t="n">
        <x:f>YEAR(C750)</x:f>
        <x:v>2025</x:v>
      </x:c>
      <x:c r="P750" s="4" t="str">
        <x:f>TEXT(C750,"yyyy-mm")</x:f>
        <x:v>2025-01</x:v>
      </x:c>
      <x:c r="Q750" s="4" t="str">
        <x:f>TEXT(C750,"mmmm")</x:f>
        <x:v>January</x:v>
      </x:c>
    </x:row>
    <x:row r="751" ht="20" customHeight="1">
      <x:c r="A751" s="4" t="inlineStr">
        <x:is>
          <x:t xml:space="preserve">LINE-00756</x:t>
        </x:is>
      </x:c>
      <x:c r="B751" s="4" t="inlineStr">
        <x:is>
          <x:t xml:space="preserve">ORD-2025-0475</x:t>
        </x:is>
      </x:c>
      <x:c r="C751" s="17" t="n">
        <x:v>45997</x:v>
      </x:c>
      <x:c r="D751" s="4" t="inlineStr">
        <x:is>
          <x:t xml:space="preserve">CUS-0338</x:t>
        </x:is>
      </x:c>
      <x:c r="E751" s="4" t="inlineStr">
        <x:is>
          <x:t xml:space="preserve">Office Chair</x:t>
        </x:is>
      </x:c>
      <x:c r="F751" s="4" t="inlineStr">
        <x:is>
          <x:t xml:space="preserve">Furniture</x:t>
        </x:is>
      </x:c>
      <x:c r="G751" s="4" t="inlineStr">
        <x:is>
          <x:t xml:space="preserve">Austin</x:t>
        </x:is>
      </x:c>
      <x:c r="H751" s="18" t="n">
        <x:v>1</x:v>
      </x:c>
      <x:c r="I751" s="19" t="n">
        <x:v>258.42</x:v>
      </x:c>
      <x:c r="J751" s="20" t="n">
        <x:v>0.05</x:v>
      </x:c>
      <x:c r="K751" s="4" t="inlineStr">
        <x:is>
          <x:t xml:space="preserve">Credit Card</x:t>
        </x:is>
      </x:c>
      <x:c r="L751" s="19" t="n">
        <x:v>258.42</x:v>
      </x:c>
      <x:c r="M751" s="19" t="n">
        <x:v>12.92</x:v>
      </x:c>
      <x:c r="N751" s="19" t="n">
        <x:v>245.5</x:v>
      </x:c>
      <x:c r="O751" s="4" t="n">
        <x:f>YEAR(C751)</x:f>
        <x:v>2025</x:v>
      </x:c>
      <x:c r="P751" s="4" t="str">
        <x:f>TEXT(C751,"yyyy-mm")</x:f>
        <x:v>2025-12</x:v>
      </x:c>
      <x:c r="Q751" s="4" t="str">
        <x:f>TEXT(C751,"mmmm")</x:f>
        <x:v>December</x:v>
      </x:c>
    </x:row>
    <x:row r="752" ht="20" customHeight="1">
      <x:c r="A752" s="4" t="inlineStr">
        <x:is>
          <x:t xml:space="preserve">LINE-00757</x:t>
        </x:is>
      </x:c>
      <x:c r="B752" s="4" t="inlineStr">
        <x:is>
          <x:t xml:space="preserve">ORD-2025-0476</x:t>
        </x:is>
      </x:c>
      <x:c r="C752" s="17" t="n">
        <x:v>46021</x:v>
      </x:c>
      <x:c r="D752" s="4" t="inlineStr">
        <x:is>
          <x:t xml:space="preserve">CUS-0051</x:t>
        </x:is>
      </x:c>
      <x:c r="E752" s="4" t="inlineStr">
        <x:is>
          <x:t xml:space="preserve">External SSD</x:t>
        </x:is>
      </x:c>
      <x:c r="F752" s="4" t="inlineStr">
        <x:is>
          <x:t xml:space="preserve">Storage</x:t>
        </x:is>
      </x:c>
      <x:c r="G752" s="4" t="inlineStr">
        <x:is>
          <x:t xml:space="preserve">Austin</x:t>
        </x:is>
      </x:c>
      <x:c r="H752" s="18" t="n">
        <x:v>1</x:v>
      </x:c>
      <x:c r="I752" s="19" t="n">
        <x:v>161.2</x:v>
      </x:c>
      <x:c r="J752" s="20" t="n">
        <x:v>0.05</x:v>
      </x:c>
      <x:c r="K752" s="4" t="inlineStr">
        <x:is>
          <x:t xml:space="preserve">Bank Transfer</x:t>
        </x:is>
      </x:c>
      <x:c r="L752" s="19" t="n">
        <x:v>161.2</x:v>
      </x:c>
      <x:c r="M752" s="19" t="n">
        <x:v>8.06</x:v>
      </x:c>
      <x:c r="N752" s="19" t="n">
        <x:v>153.14</x:v>
      </x:c>
      <x:c r="O752" s="4" t="n">
        <x:f>YEAR(C752)</x:f>
        <x:v>2025</x:v>
      </x:c>
      <x:c r="P752" s="4" t="str">
        <x:f>TEXT(C752,"yyyy-mm")</x:f>
        <x:v>2025-12</x:v>
      </x:c>
      <x:c r="Q752" s="4" t="str">
        <x:f>TEXT(C752,"mmmm")</x:f>
        <x:v>December</x:v>
      </x:c>
    </x:row>
    <x:row r="753" ht="20" customHeight="1">
      <x:c r="A753" s="4" t="inlineStr">
        <x:is>
          <x:t xml:space="preserve">LINE-00758</x:t>
        </x:is>
      </x:c>
      <x:c r="B753" s="4" t="inlineStr">
        <x:is>
          <x:t xml:space="preserve">ORD-2025-0476</x:t>
        </x:is>
      </x:c>
      <x:c r="C753" s="17" t="n">
        <x:v>46021</x:v>
      </x:c>
      <x:c r="D753" s="4" t="inlineStr">
        <x:is>
          <x:t xml:space="preserve">CUS-0051</x:t>
        </x:is>
      </x:c>
      <x:c r="E753" s="4" t="inlineStr">
        <x:is>
          <x:t xml:space="preserve">Monitor</x:t>
        </x:is>
      </x:c>
      <x:c r="F753" s="4" t="inlineStr">
        <x:is>
          <x:t xml:space="preserve">Computers</x:t>
        </x:is>
      </x:c>
      <x:c r="G753" s="4" t="inlineStr">
        <x:is>
          <x:t xml:space="preserve">Austin</x:t>
        </x:is>
      </x:c>
      <x:c r="H753" s="18" t="n">
        <x:v>3</x:v>
      </x:c>
      <x:c r="I753" s="19" t="n">
        <x:v>259.38</x:v>
      </x:c>
      <x:c r="J753" s="20" t="n">
        <x:v>0.15</x:v>
      </x:c>
      <x:c r="K753" s="4" t="inlineStr">
        <x:is>
          <x:t xml:space="preserve">Bank Transfer</x:t>
        </x:is>
      </x:c>
      <x:c r="L753" s="19" t="n">
        <x:v>778.14</x:v>
      </x:c>
      <x:c r="M753" s="19" t="n">
        <x:v>116.72</x:v>
      </x:c>
      <x:c r="N753" s="19" t="n">
        <x:v>661.42</x:v>
      </x:c>
      <x:c r="O753" s="4" t="n">
        <x:f>YEAR(C753)</x:f>
        <x:v>2025</x:v>
      </x:c>
      <x:c r="P753" s="4" t="str">
        <x:f>TEXT(C753,"yyyy-mm")</x:f>
        <x:v>2025-12</x:v>
      </x:c>
      <x:c r="Q753" s="4" t="str">
        <x:f>TEXT(C753,"mmmm")</x:f>
        <x:v>December</x:v>
      </x:c>
    </x:row>
    <x:row r="754" ht="20" customHeight="1">
      <x:c r="A754" s="4" t="inlineStr">
        <x:is>
          <x:t xml:space="preserve">LINE-00759</x:t>
        </x:is>
      </x:c>
      <x:c r="B754" s="4" t="inlineStr">
        <x:is>
          <x:t xml:space="preserve">ORD-2025-0476</x:t>
        </x:is>
      </x:c>
      <x:c r="C754" s="17" t="n">
        <x:v>46021</x:v>
      </x:c>
      <x:c r="D754" s="4" t="inlineStr">
        <x:is>
          <x:t xml:space="preserve">CUS-0051</x:t>
        </x:is>
      </x:c>
      <x:c r="E754" s="4" t="inlineStr">
        <x:is>
          <x:t xml:space="preserve">Keyboard</x:t>
        </x:is>
      </x:c>
      <x:c r="F754" s="4" t="inlineStr">
        <x:is>
          <x:t xml:space="preserve">Accessories</x:t>
        </x:is>
      </x:c>
      <x:c r="G754" s="4" t="inlineStr">
        <x:is>
          <x:t xml:space="preserve">Austin</x:t>
        </x:is>
      </x:c>
      <x:c r="H754" s="18" t="n">
        <x:v>1</x:v>
      </x:c>
      <x:c r="I754" s="19" t="n">
        <x:v>74.88</x:v>
      </x:c>
      <x:c r="J754" s="20" t="n">
        <x:v>0.1</x:v>
      </x:c>
      <x:c r="K754" s="4" t="inlineStr">
        <x:is>
          <x:t xml:space="preserve">Bank Transfer</x:t>
        </x:is>
      </x:c>
      <x:c r="L754" s="19" t="n">
        <x:v>74.88</x:v>
      </x:c>
      <x:c r="M754" s="19" t="n">
        <x:v>7.49</x:v>
      </x:c>
      <x:c r="N754" s="19" t="n">
        <x:v>67.39</x:v>
      </x:c>
      <x:c r="O754" s="4" t="n">
        <x:f>YEAR(C754)</x:f>
        <x:v>2025</x:v>
      </x:c>
      <x:c r="P754" s="4" t="str">
        <x:f>TEXT(C754,"yyyy-mm")</x:f>
        <x:v>2025-12</x:v>
      </x:c>
      <x:c r="Q754" s="4" t="str">
        <x:f>TEXT(C754,"mmmm")</x:f>
        <x:v>December</x:v>
      </x:c>
    </x:row>
    <x:row r="755" ht="20" customHeight="1">
      <x:c r="A755" s="4" t="inlineStr">
        <x:is>
          <x:t xml:space="preserve">LINE-00760</x:t>
        </x:is>
      </x:c>
      <x:c r="B755" s="4" t="inlineStr">
        <x:is>
          <x:t xml:space="preserve">ORD-2025-0477</x:t>
        </x:is>
      </x:c>
      <x:c r="C755" s="17" t="n">
        <x:v>45667</x:v>
      </x:c>
      <x:c r="D755" s="4" t="inlineStr">
        <x:is>
          <x:t xml:space="preserve">CUS-0178</x:t>
        </x:is>
      </x:c>
      <x:c r="E755" s="4" t="inlineStr">
        <x:is>
          <x:t xml:space="preserve">USB-C Hub</x:t>
        </x:is>
      </x:c>
      <x:c r="F755" s="4" t="inlineStr">
        <x:is>
          <x:t xml:space="preserve">Accessories</x:t>
        </x:is>
      </x:c>
      <x:c r="G755" s="4" t="inlineStr">
        <x:is>
          <x:t xml:space="preserve">San Francisco</x:t>
        </x:is>
      </x:c>
      <x:c r="H755" s="18" t="n">
        <x:v>1</x:v>
      </x:c>
      <x:c r="I755" s="19" t="n">
        <x:v>69.97</x:v>
      </x:c>
      <x:c r="J755" s="20" t="n">
        <x:v>0.05</x:v>
      </x:c>
      <x:c r="K755" s="4" t="inlineStr">
        <x:is>
          <x:t xml:space="preserve">PayPal</x:t>
        </x:is>
      </x:c>
      <x:c r="L755" s="19" t="n">
        <x:v>69.97</x:v>
      </x:c>
      <x:c r="M755" s="19" t="n">
        <x:v>3.5</x:v>
      </x:c>
      <x:c r="N755" s="19" t="n">
        <x:v>66.47</x:v>
      </x:c>
      <x:c r="O755" s="4" t="n">
        <x:f>YEAR(C755)</x:f>
        <x:v>2025</x:v>
      </x:c>
      <x:c r="P755" s="4" t="str">
        <x:f>TEXT(C755,"yyyy-mm")</x:f>
        <x:v>2025-01</x:v>
      </x:c>
      <x:c r="Q755" s="4" t="str">
        <x:f>TEXT(C755,"mmmm")</x:f>
        <x:v>January</x:v>
      </x:c>
    </x:row>
    <x:row r="756" ht="20" customHeight="1">
      <x:c r="A756" s="4" t="inlineStr">
        <x:is>
          <x:t xml:space="preserve">LINE-00761</x:t>
        </x:is>
      </x:c>
      <x:c r="B756" s="4" t="inlineStr">
        <x:is>
          <x:t xml:space="preserve">ORD-2025-0478</x:t>
        </x:is>
      </x:c>
      <x:c r="C756" s="17" t="n">
        <x:v>45689</x:v>
      </x:c>
      <x:c r="D756" s="4" t="inlineStr">
        <x:is>
          <x:t xml:space="preserve">CUS-0321</x:t>
        </x:is>
      </x:c>
      <x:c r="E756" s="4" t="inlineStr">
        <x:is>
          <x:t xml:space="preserve">Laptop</x:t>
        </x:is>
      </x:c>
      <x:c r="F756" s="4" t="inlineStr">
        <x:is>
          <x:t xml:space="preserve">Computers</x:t>
        </x:is>
      </x:c>
      <x:c r="G756" s="4" t="inlineStr">
        <x:is>
          <x:t xml:space="preserve">Austin</x:t>
        </x:is>
      </x:c>
      <x:c r="H756" s="18" t="n">
        <x:v>1</x:v>
      </x:c>
      <x:c r="I756" s="19" t="n">
        <x:v>925.95</x:v>
      </x:c>
      <x:c r="J756" s="20" t="n">
        <x:v>0</x:v>
      </x:c>
      <x:c r="K756" s="4" t="inlineStr">
        <x:is>
          <x:t xml:space="preserve">Bank Transfer</x:t>
        </x:is>
      </x:c>
      <x:c r="L756" s="19" t="n">
        <x:v>925.95</x:v>
      </x:c>
      <x:c r="M756" s="19" t="n">
        <x:v>0</x:v>
      </x:c>
      <x:c r="N756" s="19" t="n">
        <x:v>925.95</x:v>
      </x:c>
      <x:c r="O756" s="4" t="n">
        <x:f>YEAR(C756)</x:f>
        <x:v>2025</x:v>
      </x:c>
      <x:c r="P756" s="4" t="str">
        <x:f>TEXT(C756,"yyyy-mm")</x:f>
        <x:v>2025-02</x:v>
      </x:c>
      <x:c r="Q756" s="4" t="str">
        <x:f>TEXT(C756,"mmmm")</x:f>
        <x:v>February</x:v>
      </x:c>
    </x:row>
    <x:row r="757" ht="20" customHeight="1">
      <x:c r="A757" s="4" t="inlineStr">
        <x:is>
          <x:t xml:space="preserve">LINE-00762</x:t>
        </x:is>
      </x:c>
      <x:c r="B757" s="4" t="inlineStr">
        <x:is>
          <x:t xml:space="preserve">ORD-2025-0478</x:t>
        </x:is>
      </x:c>
      <x:c r="C757" s="17" t="n">
        <x:v>45689</x:v>
      </x:c>
      <x:c r="D757" s="4" t="inlineStr">
        <x:is>
          <x:t xml:space="preserve">CUS-0321</x:t>
        </x:is>
      </x:c>
      <x:c r="E757" s="4" t="inlineStr">
        <x:is>
          <x:t xml:space="preserve">External SSD</x:t>
        </x:is>
      </x:c>
      <x:c r="F757" s="4" t="inlineStr">
        <x:is>
          <x:t xml:space="preserve">Storage</x:t>
        </x:is>
      </x:c>
      <x:c r="G757" s="4" t="inlineStr">
        <x:is>
          <x:t xml:space="preserve">Austin</x:t>
        </x:is>
      </x:c>
      <x:c r="H757" s="18" t="n">
        <x:v>1</x:v>
      </x:c>
      <x:c r="I757" s="19" t="n">
        <x:v>155.52</x:v>
      </x:c>
      <x:c r="J757" s="20" t="n">
        <x:v>0.05</x:v>
      </x:c>
      <x:c r="K757" s="4" t="inlineStr">
        <x:is>
          <x:t xml:space="preserve">Bank Transfer</x:t>
        </x:is>
      </x:c>
      <x:c r="L757" s="19" t="n">
        <x:v>155.52</x:v>
      </x:c>
      <x:c r="M757" s="19" t="n">
        <x:v>7.78</x:v>
      </x:c>
      <x:c r="N757" s="19" t="n">
        <x:v>147.74</x:v>
      </x:c>
      <x:c r="O757" s="4" t="n">
        <x:f>YEAR(C757)</x:f>
        <x:v>2025</x:v>
      </x:c>
      <x:c r="P757" s="4" t="str">
        <x:f>TEXT(C757,"yyyy-mm")</x:f>
        <x:v>2025-02</x:v>
      </x:c>
      <x:c r="Q757" s="4" t="str">
        <x:f>TEXT(C757,"mmmm")</x:f>
        <x:v>February</x:v>
      </x:c>
    </x:row>
    <x:row r="758" ht="20" customHeight="1">
      <x:c r="A758" s="4" t="inlineStr">
        <x:is>
          <x:t xml:space="preserve">LINE-00763</x:t>
        </x:is>
      </x:c>
      <x:c r="B758" s="4" t="inlineStr">
        <x:is>
          <x:t xml:space="preserve">ORD-2025-0478</x:t>
        </x:is>
      </x:c>
      <x:c r="C758" s="17" t="n">
        <x:v>45689</x:v>
      </x:c>
      <x:c r="D758" s="4" t="inlineStr">
        <x:is>
          <x:t xml:space="preserve">CUS-0321</x:t>
        </x:is>
      </x:c>
      <x:c r="E758" s="4" t="inlineStr">
        <x:is>
          <x:t xml:space="preserve">USB-C Hub</x:t>
        </x:is>
      </x:c>
      <x:c r="F758" s="4" t="inlineStr">
        <x:is>
          <x:t xml:space="preserve">Accessories</x:t>
        </x:is>
      </x:c>
      <x:c r="G758" s="4" t="inlineStr">
        <x:is>
          <x:t xml:space="preserve">Austin</x:t>
        </x:is>
      </x:c>
      <x:c r="H758" s="18" t="n">
        <x:v>2</x:v>
      </x:c>
      <x:c r="I758" s="19" t="n">
        <x:v>68.88</x:v>
      </x:c>
      <x:c r="J758" s="20" t="n">
        <x:v>0.05</x:v>
      </x:c>
      <x:c r="K758" s="4" t="inlineStr">
        <x:is>
          <x:t xml:space="preserve">Bank Transfer</x:t>
        </x:is>
      </x:c>
      <x:c r="L758" s="19" t="n">
        <x:v>137.76</x:v>
      </x:c>
      <x:c r="M758" s="19" t="n">
        <x:v>6.89</x:v>
      </x:c>
      <x:c r="N758" s="19" t="n">
        <x:v>130.87</x:v>
      </x:c>
      <x:c r="O758" s="4" t="n">
        <x:f>YEAR(C758)</x:f>
        <x:v>2025</x:v>
      </x:c>
      <x:c r="P758" s="4" t="str">
        <x:f>TEXT(C758,"yyyy-mm")</x:f>
        <x:v>2025-02</x:v>
      </x:c>
      <x:c r="Q758" s="4" t="str">
        <x:f>TEXT(C758,"mmmm")</x:f>
        <x:v>February</x:v>
      </x:c>
    </x:row>
    <x:row r="759" ht="20" customHeight="1">
      <x:c r="A759" s="4" t="inlineStr">
        <x:is>
          <x:t xml:space="preserve">LINE-00764</x:t>
        </x:is>
      </x:c>
      <x:c r="B759" s="4" t="inlineStr">
        <x:is>
          <x:t xml:space="preserve">ORD-2025-0479</x:t>
        </x:is>
      </x:c>
      <x:c r="C759" s="17" t="n">
        <x:v>45871</x:v>
      </x:c>
      <x:c r="D759" s="4" t="inlineStr">
        <x:is>
          <x:t xml:space="preserve">CUS-0124</x:t>
        </x:is>
      </x:c>
      <x:c r="E759" s="4" t="inlineStr">
        <x:is>
          <x:t xml:space="preserve">USB-C Hub</x:t>
        </x:is>
      </x:c>
      <x:c r="F759" s="4" t="inlineStr">
        <x:is>
          <x:t xml:space="preserve">Accessories</x:t>
        </x:is>
      </x:c>
      <x:c r="G759" s="4" t="inlineStr">
        <x:is>
          <x:t xml:space="preserve">Boston</x:t>
        </x:is>
      </x:c>
      <x:c r="H759" s="18" t="n">
        <x:v>4</x:v>
      </x:c>
      <x:c r="I759" s="19" t="n">
        <x:v>63.22</x:v>
      </x:c>
      <x:c r="J759" s="20" t="n">
        <x:v>0.05</x:v>
      </x:c>
      <x:c r="K759" s="4" t="inlineStr">
        <x:is>
          <x:t xml:space="preserve">Debit Card</x:t>
        </x:is>
      </x:c>
      <x:c r="L759" s="19" t="n">
        <x:v>252.88</x:v>
      </x:c>
      <x:c r="M759" s="19" t="n">
        <x:v>12.64</x:v>
      </x:c>
      <x:c r="N759" s="19" t="n">
        <x:v>240.24</x:v>
      </x:c>
      <x:c r="O759" s="4" t="n">
        <x:f>YEAR(C759)</x:f>
        <x:v>2025</x:v>
      </x:c>
      <x:c r="P759" s="4" t="str">
        <x:f>TEXT(C759,"yyyy-mm")</x:f>
        <x:v>2025-08</x:v>
      </x:c>
      <x:c r="Q759" s="4" t="str">
        <x:f>TEXT(C759,"mmmm")</x:f>
        <x:v>August</x:v>
      </x:c>
    </x:row>
    <x:row r="760" ht="20" customHeight="1">
      <x:c r="A760" s="4" t="inlineStr">
        <x:is>
          <x:t xml:space="preserve">LINE-00765</x:t>
        </x:is>
      </x:c>
      <x:c r="B760" s="4" t="inlineStr">
        <x:is>
          <x:t xml:space="preserve">ORD-2025-0480</x:t>
        </x:is>
      </x:c>
      <x:c r="C760" s="17" t="n">
        <x:v>45763</x:v>
      </x:c>
      <x:c r="D760" s="4" t="inlineStr">
        <x:is>
          <x:t xml:space="preserve">CUS-0335</x:t>
        </x:is>
      </x:c>
      <x:c r="E760" s="4" t="inlineStr">
        <x:is>
          <x:t xml:space="preserve">USB-C Hub</x:t>
        </x:is>
      </x:c>
      <x:c r="F760" s="4" t="inlineStr">
        <x:is>
          <x:t xml:space="preserve">Accessories</x:t>
        </x:is>
      </x:c>
      <x:c r="G760" s="4" t="inlineStr">
        <x:is>
          <x:t xml:space="preserve">Chicago</x:t>
        </x:is>
      </x:c>
      <x:c r="H760" s="18" t="n">
        <x:v>2</x:v>
      </x:c>
      <x:c r="I760" s="19" t="n">
        <x:v>69.25</x:v>
      </x:c>
      <x:c r="J760" s="20" t="n">
        <x:v>0.1</x:v>
      </x:c>
      <x:c r="K760" s="4" t="inlineStr">
        <x:is>
          <x:t xml:space="preserve">Debit Card</x:t>
        </x:is>
      </x:c>
      <x:c r="L760" s="19" t="n">
        <x:v>138.5</x:v>
      </x:c>
      <x:c r="M760" s="19" t="n">
        <x:v>13.85</x:v>
      </x:c>
      <x:c r="N760" s="19" t="n">
        <x:v>124.65</x:v>
      </x:c>
      <x:c r="O760" s="4" t="n">
        <x:f>YEAR(C760)</x:f>
        <x:v>2025</x:v>
      </x:c>
      <x:c r="P760" s="4" t="str">
        <x:f>TEXT(C760,"yyyy-mm")</x:f>
        <x:v>2025-04</x:v>
      </x:c>
      <x:c r="Q760" s="4" t="str">
        <x:f>TEXT(C760,"mmmm")</x:f>
        <x:v>April</x:v>
      </x:c>
    </x:row>
    <x:row r="761" ht="20" customHeight="1">
      <x:c r="A761" s="4" t="inlineStr">
        <x:is>
          <x:t xml:space="preserve">LINE-00766</x:t>
        </x:is>
      </x:c>
      <x:c r="B761" s="4" t="inlineStr">
        <x:is>
          <x:t xml:space="preserve">ORD-2025-0480</x:t>
        </x:is>
      </x:c>
      <x:c r="C761" s="17" t="n">
        <x:v>45763</x:v>
      </x:c>
      <x:c r="D761" s="4" t="inlineStr">
        <x:is>
          <x:t xml:space="preserve">CUS-0335</x:t>
        </x:is>
      </x:c>
      <x:c r="E761" s="4" t="inlineStr">
        <x:is>
          <x:t xml:space="preserve">External SSD</x:t>
        </x:is>
      </x:c>
      <x:c r="F761" s="4" t="inlineStr">
        <x:is>
          <x:t xml:space="preserve">Storage</x:t>
        </x:is>
      </x:c>
      <x:c r="G761" s="4" t="inlineStr">
        <x:is>
          <x:t xml:space="preserve">Chicago</x:t>
        </x:is>
      </x:c>
      <x:c r="H761" s="18" t="n">
        <x:v>2</x:v>
      </x:c>
      <x:c r="I761" s="19" t="n">
        <x:v>151.56</x:v>
      </x:c>
      <x:c r="J761" s="20" t="n">
        <x:v>0</x:v>
      </x:c>
      <x:c r="K761" s="4" t="inlineStr">
        <x:is>
          <x:t xml:space="preserve">Debit Card</x:t>
        </x:is>
      </x:c>
      <x:c r="L761" s="19" t="n">
        <x:v>303.12</x:v>
      </x:c>
      <x:c r="M761" s="19" t="n">
        <x:v>0</x:v>
      </x:c>
      <x:c r="N761" s="19" t="n">
        <x:v>303.12</x:v>
      </x:c>
      <x:c r="O761" s="4" t="n">
        <x:f>YEAR(C761)</x:f>
        <x:v>2025</x:v>
      </x:c>
      <x:c r="P761" s="4" t="str">
        <x:f>TEXT(C761,"yyyy-mm")</x:f>
        <x:v>2025-04</x:v>
      </x:c>
      <x:c r="Q761" s="4" t="str">
        <x:f>TEXT(C761,"mmmm")</x:f>
        <x:v>April</x:v>
      </x:c>
    </x:row>
    <x:row r="762" ht="20" customHeight="1">
      <x:c r="A762" s="4" t="inlineStr">
        <x:is>
          <x:t xml:space="preserve">LINE-00767</x:t>
        </x:is>
      </x:c>
      <x:c r="B762" s="4" t="inlineStr">
        <x:is>
          <x:t xml:space="preserve">ORD-2025-0480</x:t>
        </x:is>
      </x:c>
      <x:c r="C762" s="17" t="n">
        <x:v>45763</x:v>
      </x:c>
      <x:c r="D762" s="4" t="inlineStr">
        <x:is>
          <x:t xml:space="preserve">CUS-0335</x:t>
        </x:is>
      </x:c>
      <x:c r="E762" s="4" t="inlineStr">
        <x:is>
          <x:t xml:space="preserve">Keyboard</x:t>
        </x:is>
      </x:c>
      <x:c r="F762" s="4" t="inlineStr">
        <x:is>
          <x:t xml:space="preserve">Accessories</x:t>
        </x:is>
      </x:c>
      <x:c r="G762" s="4" t="inlineStr">
        <x:is>
          <x:t xml:space="preserve">Chicago</x:t>
        </x:is>
      </x:c>
      <x:c r="H762" s="18" t="n">
        <x:v>1</x:v>
      </x:c>
      <x:c r="I762" s="19" t="n">
        <x:v>75.40000000000001</x:v>
      </x:c>
      <x:c r="J762" s="20" t="n">
        <x:v>0.1</x:v>
      </x:c>
      <x:c r="K762" s="4" t="inlineStr">
        <x:is>
          <x:t xml:space="preserve">Debit Card</x:t>
        </x:is>
      </x:c>
      <x:c r="L762" s="19" t="n">
        <x:v>75.40000000000001</x:v>
      </x:c>
      <x:c r="M762" s="19" t="n">
        <x:v>7.54</x:v>
      </x:c>
      <x:c r="N762" s="19" t="n">
        <x:v>67.86</x:v>
      </x:c>
      <x:c r="O762" s="4" t="n">
        <x:f>YEAR(C762)</x:f>
        <x:v>2025</x:v>
      </x:c>
      <x:c r="P762" s="4" t="str">
        <x:f>TEXT(C762,"yyyy-mm")</x:f>
        <x:v>2025-04</x:v>
      </x:c>
      <x:c r="Q762" s="4" t="str">
        <x:f>TEXT(C762,"mmmm")</x:f>
        <x:v>April</x:v>
      </x:c>
    </x:row>
    <x:row r="763" ht="20" customHeight="1">
      <x:c r="A763" s="4" t="inlineStr">
        <x:is>
          <x:t xml:space="preserve">LINE-00768</x:t>
        </x:is>
      </x:c>
      <x:c r="B763" s="4" t="inlineStr">
        <x:is>
          <x:t xml:space="preserve">ORD-2025-0481</x:t>
        </x:is>
      </x:c>
      <x:c r="C763" s="17" t="n">
        <x:v>45752</x:v>
      </x:c>
      <x:c r="D763" s="4" t="inlineStr">
        <x:is>
          <x:t xml:space="preserve">CUS-0163</x:t>
        </x:is>
      </x:c>
      <x:c r="E763" s="4" t="inlineStr">
        <x:is>
          <x:t xml:space="preserve">Headphones</x:t>
        </x:is>
      </x:c>
      <x:c r="F763" s="4" t="inlineStr">
        <x:is>
          <x:t xml:space="preserve">Audio</x:t>
        </x:is>
      </x:c>
      <x:c r="G763" s="4" t="inlineStr">
        <x:is>
          <x:t xml:space="preserve">Chicago</x:t>
        </x:is>
      </x:c>
      <x:c r="H763" s="18" t="n">
        <x:v>1</x:v>
      </x:c>
      <x:c r="I763" s="19" t="n">
        <x:v>130.545</x:v>
      </x:c>
      <x:c r="J763" s="20" t="n">
        <x:v>0.1</x:v>
      </x:c>
      <x:c r="K763" s="4" t="inlineStr">
        <x:is>
          <x:t xml:space="preserve">Credit Card</x:t>
        </x:is>
      </x:c>
      <x:c r="L763" s="19" t="n">
        <x:v>130.54</x:v>
      </x:c>
      <x:c r="M763" s="19" t="n">
        <x:v>13.05</x:v>
      </x:c>
      <x:c r="N763" s="19" t="n">
        <x:v>117.49</x:v>
      </x:c>
      <x:c r="O763" s="4" t="n">
        <x:f>YEAR(C763)</x:f>
        <x:v>2025</x:v>
      </x:c>
      <x:c r="P763" s="4" t="str">
        <x:f>TEXT(C763,"yyyy-mm")</x:f>
        <x:v>2025-04</x:v>
      </x:c>
      <x:c r="Q763" s="4" t="str">
        <x:f>TEXT(C763,"mmmm")</x:f>
        <x:v>April</x:v>
      </x:c>
    </x:row>
    <x:row r="764" ht="20" customHeight="1">
      <x:c r="A764" s="4" t="inlineStr">
        <x:is>
          <x:t xml:space="preserve">LINE-00769</x:t>
        </x:is>
      </x:c>
      <x:c r="B764" s="4" t="inlineStr">
        <x:is>
          <x:t xml:space="preserve">ORD-2025-0481</x:t>
        </x:is>
      </x:c>
      <x:c r="C764" s="17" t="n">
        <x:v>45752</x:v>
      </x:c>
      <x:c r="D764" s="4" t="inlineStr">
        <x:is>
          <x:t xml:space="preserve">CUS-0163</x:t>
        </x:is>
      </x:c>
      <x:c r="E764" s="4" t="inlineStr">
        <x:is>
          <x:t xml:space="preserve">Desk Lamp</x:t>
        </x:is>
      </x:c>
      <x:c r="F764" s="4" t="inlineStr">
        <x:is>
          <x:t xml:space="preserve">Furniture</x:t>
        </x:is>
      </x:c>
      <x:c r="G764" s="4" t="inlineStr">
        <x:is>
          <x:t xml:space="preserve">Chicago</x:t>
        </x:is>
      </x:c>
      <x:c r="H764" s="18" t="n">
        <x:v>2</x:v>
      </x:c>
      <x:c r="I764" s="19" t="n">
        <x:v>57.1</x:v>
      </x:c>
      <x:c r="J764" s="20" t="n">
        <x:v>0</x:v>
      </x:c>
      <x:c r="K764" s="4" t="inlineStr">
        <x:is>
          <x:t xml:space="preserve">Credit Card</x:t>
        </x:is>
      </x:c>
      <x:c r="L764" s="19" t="n">
        <x:v>114.2</x:v>
      </x:c>
      <x:c r="M764" s="19" t="n">
        <x:v>0</x:v>
      </x:c>
      <x:c r="N764" s="19" t="n">
        <x:v>114.2</x:v>
      </x:c>
      <x:c r="O764" s="4" t="n">
        <x:f>YEAR(C764)</x:f>
        <x:v>2025</x:v>
      </x:c>
      <x:c r="P764" s="4" t="str">
        <x:f>TEXT(C764,"yyyy-mm")</x:f>
        <x:v>2025-04</x:v>
      </x:c>
      <x:c r="Q764" s="4" t="str">
        <x:f>TEXT(C764,"mmmm")</x:f>
        <x:v>April</x:v>
      </x:c>
    </x:row>
    <x:row r="765" ht="20" customHeight="1">
      <x:c r="A765" s="4" t="inlineStr">
        <x:is>
          <x:t xml:space="preserve">LINE-00770</x:t>
        </x:is>
      </x:c>
      <x:c r="B765" s="4" t="inlineStr">
        <x:is>
          <x:t xml:space="preserve">ORD-2025-0482</x:t>
        </x:is>
      </x:c>
      <x:c r="C765" s="17" t="n">
        <x:v>45754</x:v>
      </x:c>
      <x:c r="D765" s="4" t="inlineStr">
        <x:is>
          <x:t xml:space="preserve">CUS-0055</x:t>
        </x:is>
      </x:c>
      <x:c r="E765" s="4" t="inlineStr">
        <x:is>
          <x:t xml:space="preserve">USB Flash Drive</x:t>
        </x:is>
      </x:c>
      <x:c r="F765" s="4" t="inlineStr">
        <x:is>
          <x:t xml:space="preserve">Storage</x:t>
        </x:is>
      </x:c>
      <x:c r="G765" s="4" t="inlineStr">
        <x:is>
          <x:t xml:space="preserve">Chicago</x:t>
        </x:is>
      </x:c>
      <x:c r="H765" s="18" t="n">
        <x:v>2</x:v>
      </x:c>
      <x:c r="I765" s="19" t="n">
        <x:v>30.51</x:v>
      </x:c>
      <x:c r="J765" s="20" t="n">
        <x:v>0.05</x:v>
      </x:c>
      <x:c r="K765" s="4" t="inlineStr">
        <x:is>
          <x:t xml:space="preserve">Debit Card</x:t>
        </x:is>
      </x:c>
      <x:c r="L765" s="19" t="n">
        <x:v>61.02</x:v>
      </x:c>
      <x:c r="M765" s="19" t="n">
        <x:v>3.05</x:v>
      </x:c>
      <x:c r="N765" s="19" t="n">
        <x:v>57.97</x:v>
      </x:c>
      <x:c r="O765" s="4" t="n">
        <x:f>YEAR(C765)</x:f>
        <x:v>2025</x:v>
      </x:c>
      <x:c r="P765" s="4" t="str">
        <x:f>TEXT(C765,"yyyy-mm")</x:f>
        <x:v>2025-04</x:v>
      </x:c>
      <x:c r="Q765" s="4" t="str">
        <x:f>TEXT(C765,"mmmm")</x:f>
        <x:v>April</x:v>
      </x:c>
    </x:row>
    <x:row r="766" ht="20" customHeight="1">
      <x:c r="A766" s="4" t="inlineStr">
        <x:is>
          <x:t xml:space="preserve">LINE-00771</x:t>
        </x:is>
      </x:c>
      <x:c r="B766" s="4" t="inlineStr">
        <x:is>
          <x:t xml:space="preserve">ORD-2025-0483</x:t>
        </x:is>
      </x:c>
      <x:c r="C766" s="17" t="n">
        <x:v>45963</x:v>
      </x:c>
      <x:c r="D766" s="4" t="inlineStr">
        <x:is>
          <x:t xml:space="preserve">CUS-0119</x:t>
        </x:is>
      </x:c>
      <x:c r="E766" s="4" t="inlineStr">
        <x:is>
          <x:t xml:space="preserve">Desk Lamp</x:t>
        </x:is>
      </x:c>
      <x:c r="F766" s="4" t="inlineStr">
        <x:is>
          <x:t xml:space="preserve">Furniture</x:t>
        </x:is>
      </x:c>
      <x:c r="G766" s="4" t="inlineStr">
        <x:is>
          <x:t xml:space="preserve">Chicago</x:t>
        </x:is>
      </x:c>
      <x:c r="H766" s="18" t="n">
        <x:v>3</x:v>
      </x:c>
      <x:c r="I766" s="19" t="n">
        <x:v>51.78</x:v>
      </x:c>
      <x:c r="J766" s="20" t="n">
        <x:v>0.1</x:v>
      </x:c>
      <x:c r="K766" s="4" t="inlineStr">
        <x:is>
          <x:t xml:space="preserve">Credit Card</x:t>
        </x:is>
      </x:c>
      <x:c r="L766" s="19" t="n">
        <x:v>155.34</x:v>
      </x:c>
      <x:c r="M766" s="19" t="n">
        <x:v>15.53</x:v>
      </x:c>
      <x:c r="N766" s="19" t="n">
        <x:v>139.81</x:v>
      </x:c>
      <x:c r="O766" s="4" t="n">
        <x:f>YEAR(C766)</x:f>
        <x:v>2025</x:v>
      </x:c>
      <x:c r="P766" s="4" t="str">
        <x:f>TEXT(C766,"yyyy-mm")</x:f>
        <x:v>2025-11</x:v>
      </x:c>
      <x:c r="Q766" s="4" t="str">
        <x:f>TEXT(C766,"mmmm")</x:f>
        <x:v>November</x:v>
      </x:c>
    </x:row>
    <x:row r="767" ht="20" customHeight="1">
      <x:c r="A767" s="4" t="inlineStr">
        <x:is>
          <x:t xml:space="preserve">LINE-00772</x:t>
        </x:is>
      </x:c>
      <x:c r="B767" s="4" t="inlineStr">
        <x:is>
          <x:t xml:space="preserve">ORD-2025-0484</x:t>
        </x:is>
      </x:c>
      <x:c r="C767" s="17" t="n">
        <x:v>45898</x:v>
      </x:c>
      <x:c r="D767" s="4" t="inlineStr">
        <x:is>
          <x:t xml:space="preserve">CUS-0333</x:t>
        </x:is>
      </x:c>
      <x:c r="E767" s="4" t="inlineStr">
        <x:is>
          <x:t xml:space="preserve">Bluetooth Speaker</x:t>
        </x:is>
      </x:c>
      <x:c r="F767" s="4" t="inlineStr">
        <x:is>
          <x:t xml:space="preserve">Audio</x:t>
        </x:is>
      </x:c>
      <x:c r="G767" s="4" t="inlineStr">
        <x:is>
          <x:t xml:space="preserve">Austin</x:t>
        </x:is>
      </x:c>
      <x:c r="H767" s="18" t="n">
        <x:v>1</x:v>
      </x:c>
      <x:c r="I767" s="19" t="n">
        <x:v>105.18</x:v>
      </x:c>
      <x:c r="J767" s="20" t="n">
        <x:v>0</x:v>
      </x:c>
      <x:c r="K767" s="4" t="inlineStr">
        <x:is>
          <x:t xml:space="preserve">Debit Card</x:t>
        </x:is>
      </x:c>
      <x:c r="L767" s="19" t="n">
        <x:v>105.18</x:v>
      </x:c>
      <x:c r="M767" s="19" t="n">
        <x:v>0</x:v>
      </x:c>
      <x:c r="N767" s="19" t="n">
        <x:v>105.18</x:v>
      </x:c>
      <x:c r="O767" s="4" t="n">
        <x:f>YEAR(C767)</x:f>
        <x:v>2025</x:v>
      </x:c>
      <x:c r="P767" s="4" t="str">
        <x:f>TEXT(C767,"yyyy-mm")</x:f>
        <x:v>2025-08</x:v>
      </x:c>
      <x:c r="Q767" s="4" t="str">
        <x:f>TEXT(C767,"mmmm")</x:f>
        <x:v>August</x:v>
      </x:c>
    </x:row>
    <x:row r="768" ht="20" customHeight="1">
      <x:c r="A768" s="4" t="inlineStr">
        <x:is>
          <x:t xml:space="preserve">LINE-00773</x:t>
        </x:is>
      </x:c>
      <x:c r="B768" s="4" t="inlineStr">
        <x:is>
          <x:t xml:space="preserve">ORD-2025-0484</x:t>
        </x:is>
      </x:c>
      <x:c r="C768" s="17" t="n">
        <x:v>45898</x:v>
      </x:c>
      <x:c r="D768" s="4" t="inlineStr">
        <x:is>
          <x:t xml:space="preserve">CUS-0333</x:t>
        </x:is>
      </x:c>
      <x:c r="E768" s="4" t="inlineStr">
        <x:is>
          <x:t xml:space="preserve">Desk Lamp</x:t>
        </x:is>
      </x:c>
      <x:c r="F768" s="4" t="inlineStr">
        <x:is>
          <x:t xml:space="preserve">Furniture</x:t>
        </x:is>
      </x:c>
      <x:c r="G768" s="4" t="inlineStr">
        <x:is>
          <x:t xml:space="preserve">Austin</x:t>
        </x:is>
      </x:c>
      <x:c r="H768" s="18" t="n">
        <x:v>5</x:v>
      </x:c>
      <x:c r="I768" s="19" t="n">
        <x:v>58.74</x:v>
      </x:c>
      <x:c r="J768" s="20" t="n">
        <x:v>0.15</x:v>
      </x:c>
      <x:c r="K768" s="4" t="inlineStr">
        <x:is>
          <x:t xml:space="preserve">Debit Card</x:t>
        </x:is>
      </x:c>
      <x:c r="L768" s="19" t="n">
        <x:v>293.7</x:v>
      </x:c>
      <x:c r="M768" s="19" t="n">
        <x:v>44.06</x:v>
      </x:c>
      <x:c r="N768" s="19" t="n">
        <x:v>249.64</x:v>
      </x:c>
      <x:c r="O768" s="4" t="n">
        <x:f>YEAR(C768)</x:f>
        <x:v>2025</x:v>
      </x:c>
      <x:c r="P768" s="4" t="str">
        <x:f>TEXT(C768,"yyyy-mm")</x:f>
        <x:v>2025-08</x:v>
      </x:c>
      <x:c r="Q768" s="4" t="str">
        <x:f>TEXT(C768,"mmmm")</x:f>
        <x:v>August</x:v>
      </x:c>
    </x:row>
    <x:row r="769" ht="20" customHeight="1">
      <x:c r="A769" s="4" t="inlineStr">
        <x:is>
          <x:t xml:space="preserve">LINE-00774</x:t>
        </x:is>
      </x:c>
      <x:c r="B769" s="4" t="inlineStr">
        <x:is>
          <x:t xml:space="preserve">ORD-2025-0484</x:t>
        </x:is>
      </x:c>
      <x:c r="C769" s="17" t="n">
        <x:v>45898</x:v>
      </x:c>
      <x:c r="D769" s="4" t="inlineStr">
        <x:is>
          <x:t xml:space="preserve">CUS-0333</x:t>
        </x:is>
      </x:c>
      <x:c r="E769" s="4" t="inlineStr">
        <x:is>
          <x:t xml:space="preserve">Keyboard</x:t>
        </x:is>
      </x:c>
      <x:c r="F769" s="4" t="inlineStr">
        <x:is>
          <x:t xml:space="preserve">Accessories</x:t>
        </x:is>
      </x:c>
      <x:c r="G769" s="4" t="inlineStr">
        <x:is>
          <x:t xml:space="preserve">Austin</x:t>
        </x:is>
      </x:c>
      <x:c r="H769" s="18" t="n">
        <x:v>1</x:v>
      </x:c>
      <x:c r="I769" s="19" t="n">
        <x:v>77.06</x:v>
      </x:c>
      <x:c r="J769" s="20" t="n">
        <x:v>0</x:v>
      </x:c>
      <x:c r="K769" s="4" t="inlineStr">
        <x:is>
          <x:t xml:space="preserve">Debit Card</x:t>
        </x:is>
      </x:c>
      <x:c r="L769" s="19" t="n">
        <x:v>77.06</x:v>
      </x:c>
      <x:c r="M769" s="19" t="n">
        <x:v>0</x:v>
      </x:c>
      <x:c r="N769" s="19" t="n">
        <x:v>77.06</x:v>
      </x:c>
      <x:c r="O769" s="4" t="n">
        <x:f>YEAR(C769)</x:f>
        <x:v>2025</x:v>
      </x:c>
      <x:c r="P769" s="4" t="str">
        <x:f>TEXT(C769,"yyyy-mm")</x:f>
        <x:v>2025-08</x:v>
      </x:c>
      <x:c r="Q769" s="4" t="str">
        <x:f>TEXT(C769,"mmmm")</x:f>
        <x:v>August</x:v>
      </x:c>
    </x:row>
    <x:row r="770" ht="20" customHeight="1">
      <x:c r="A770" s="4" t="inlineStr">
        <x:is>
          <x:t xml:space="preserve">LINE-00775</x:t>
        </x:is>
      </x:c>
      <x:c r="B770" s="4" t="inlineStr">
        <x:is>
          <x:t xml:space="preserve">ORD-2025-0485</x:t>
        </x:is>
      </x:c>
      <x:c r="C770" s="17" t="n">
        <x:v>45762</x:v>
      </x:c>
      <x:c r="D770" s="4" t="inlineStr">
        <x:is>
          <x:t xml:space="preserve">CUS-0034</x:t>
        </x:is>
      </x:c>
      <x:c r="E770" s="4" t="inlineStr">
        <x:is>
          <x:t xml:space="preserve">Bluetooth Speaker</x:t>
        </x:is>
      </x:c>
      <x:c r="F770" s="4" t="inlineStr">
        <x:is>
          <x:t xml:space="preserve">Audio</x:t>
        </x:is>
      </x:c>
      <x:c r="G770" s="4" t="inlineStr">
        <x:is>
          <x:t xml:space="preserve">Chicago</x:t>
        </x:is>
      </x:c>
      <x:c r="H770" s="18" t="n">
        <x:v>4</x:v>
      </x:c>
      <x:c r="I770" s="19" t="n">
        <x:v>108.72</x:v>
      </x:c>
      <x:c r="J770" s="20" t="n">
        <x:v>0.1</x:v>
      </x:c>
      <x:c r="K770" s="4" t="inlineStr">
        <x:is>
          <x:t xml:space="preserve">Bank Transfer</x:t>
        </x:is>
      </x:c>
      <x:c r="L770" s="19" t="n">
        <x:v>434.88</x:v>
      </x:c>
      <x:c r="M770" s="19" t="n">
        <x:v>43.49</x:v>
      </x:c>
      <x:c r="N770" s="19" t="n">
        <x:v>391.39</x:v>
      </x:c>
      <x:c r="O770" s="4" t="n">
        <x:f>YEAR(C770)</x:f>
        <x:v>2025</x:v>
      </x:c>
      <x:c r="P770" s="4" t="str">
        <x:f>TEXT(C770,"yyyy-mm")</x:f>
        <x:v>2025-04</x:v>
      </x:c>
      <x:c r="Q770" s="4" t="str">
        <x:f>TEXT(C770,"mmmm")</x:f>
        <x:v>April</x:v>
      </x:c>
    </x:row>
    <x:row r="771" ht="20" customHeight="1">
      <x:c r="A771" s="4" t="inlineStr">
        <x:is>
          <x:t xml:space="preserve">LINE-00776</x:t>
        </x:is>
      </x:c>
      <x:c r="B771" s="4" t="inlineStr">
        <x:is>
          <x:t xml:space="preserve">ORD-2025-0485</x:t>
        </x:is>
      </x:c>
      <x:c r="C771" s="17" t="n">
        <x:v>45762</x:v>
      </x:c>
      <x:c r="D771" s="4" t="inlineStr">
        <x:is>
          <x:t xml:space="preserve">CUS-0034</x:t>
        </x:is>
      </x:c>
      <x:c r="E771" s="4" t="inlineStr">
        <x:is>
          <x:t xml:space="preserve">Webcam</x:t>
        </x:is>
      </x:c>
      <x:c r="F771" s="4" t="inlineStr">
        <x:is>
          <x:t xml:space="preserve">Accessories</x:t>
        </x:is>
      </x:c>
      <x:c r="G771" s="4" t="inlineStr">
        <x:is>
          <x:t xml:space="preserve">Chicago</x:t>
        </x:is>
      </x:c>
      <x:c r="H771" s="18" t="n">
        <x:v>2</x:v>
      </x:c>
      <x:c r="I771" s="19" t="n">
        <x:v>94.67</x:v>
      </x:c>
      <x:c r="J771" s="20" t="n">
        <x:v>0.1</x:v>
      </x:c>
      <x:c r="K771" s="4" t="inlineStr">
        <x:is>
          <x:t xml:space="preserve">Bank Transfer</x:t>
        </x:is>
      </x:c>
      <x:c r="L771" s="19" t="n">
        <x:v>189.34</x:v>
      </x:c>
      <x:c r="M771" s="19" t="n">
        <x:v>18.93</x:v>
      </x:c>
      <x:c r="N771" s="19" t="n">
        <x:v>170.41</x:v>
      </x:c>
      <x:c r="O771" s="4" t="n">
        <x:f>YEAR(C771)</x:f>
        <x:v>2025</x:v>
      </x:c>
      <x:c r="P771" s="4" t="str">
        <x:f>TEXT(C771,"yyyy-mm")</x:f>
        <x:v>2025-04</x:v>
      </x:c>
      <x:c r="Q771" s="4" t="str">
        <x:f>TEXT(C771,"mmmm")</x:f>
        <x:v>April</x:v>
      </x:c>
    </x:row>
    <x:row r="772" ht="20" customHeight="1">
      <x:c r="A772" s="4" t="inlineStr">
        <x:is>
          <x:t xml:space="preserve">LINE-00777</x:t>
        </x:is>
      </x:c>
      <x:c r="B772" s="4" t="inlineStr">
        <x:is>
          <x:t xml:space="preserve">ORD-2025-0485</x:t>
        </x:is>
      </x:c>
      <x:c r="C772" s="17" t="n">
        <x:v>45762</x:v>
      </x:c>
      <x:c r="D772" s="4" t="inlineStr">
        <x:is>
          <x:t xml:space="preserve">CUS-0034</x:t>
        </x:is>
      </x:c>
      <x:c r="E772" s="4" t="inlineStr">
        <x:is>
          <x:t xml:space="preserve">Desk Lamp</x:t>
        </x:is>
      </x:c>
      <x:c r="F772" s="4" t="inlineStr">
        <x:is>
          <x:t xml:space="preserve">Furniture</x:t>
        </x:is>
      </x:c>
      <x:c r="G772" s="4" t="inlineStr">
        <x:is>
          <x:t xml:space="preserve">Chicago</x:t>
        </x:is>
      </x:c>
      <x:c r="H772" s="18" t="n">
        <x:v>1</x:v>
      </x:c>
      <x:c r="I772" s="19" t="n">
        <x:v>58.86</x:v>
      </x:c>
      <x:c r="J772" s="20" t="n">
        <x:v>0.05</x:v>
      </x:c>
      <x:c r="K772" s="4" t="inlineStr">
        <x:is>
          <x:t xml:space="preserve">Bank Transfer</x:t>
        </x:is>
      </x:c>
      <x:c r="L772" s="19" t="n">
        <x:v>58.86</x:v>
      </x:c>
      <x:c r="M772" s="19" t="n">
        <x:v>2.94</x:v>
      </x:c>
      <x:c r="N772" s="19" t="n">
        <x:v>55.92</x:v>
      </x:c>
      <x:c r="O772" s="4" t="n">
        <x:f>YEAR(C772)</x:f>
        <x:v>2025</x:v>
      </x:c>
      <x:c r="P772" s="4" t="str">
        <x:f>TEXT(C772,"yyyy-mm")</x:f>
        <x:v>2025-04</x:v>
      </x:c>
      <x:c r="Q772" s="4" t="str">
        <x:f>TEXT(C772,"mmmm")</x:f>
        <x:v>April</x:v>
      </x:c>
    </x:row>
    <x:row r="773" ht="20" customHeight="1">
      <x:c r="A773" s="4" t="inlineStr">
        <x:is>
          <x:t xml:space="preserve">LINE-00778</x:t>
        </x:is>
      </x:c>
      <x:c r="B773" s="4" t="inlineStr">
        <x:is>
          <x:t xml:space="preserve">ORD-2025-0486</x:t>
        </x:is>
      </x:c>
      <x:c r="C773" s="17" t="n">
        <x:v>45932</x:v>
      </x:c>
      <x:c r="D773" s="4" t="inlineStr">
        <x:is>
          <x:t xml:space="preserve">CUS-0269</x:t>
        </x:is>
      </x:c>
      <x:c r="E773" s="4" t="inlineStr">
        <x:is>
          <x:t xml:space="preserve">Bluetooth Speaker</x:t>
        </x:is>
      </x:c>
      <x:c r="F773" s="4" t="inlineStr">
        <x:is>
          <x:t xml:space="preserve">Audio</x:t>
        </x:is>
      </x:c>
      <x:c r="G773" s="4" t="inlineStr">
        <x:is>
          <x:t xml:space="preserve">San Francisco</x:t>
        </x:is>
      </x:c>
      <x:c r="H773" s="18" t="n">
        <x:v>3</x:v>
      </x:c>
      <x:c r="I773" s="19" t="n">
        <x:v>101.95</x:v>
      </x:c>
      <x:c r="J773" s="20" t="n">
        <x:v>0.2</x:v>
      </x:c>
      <x:c r="K773" s="4" t="inlineStr">
        <x:is>
          <x:t xml:space="preserve">Credit Card</x:t>
        </x:is>
      </x:c>
      <x:c r="L773" s="19" t="n">
        <x:v>305.85</x:v>
      </x:c>
      <x:c r="M773" s="19" t="n">
        <x:v>61.17</x:v>
      </x:c>
      <x:c r="N773" s="19" t="n">
        <x:v>244.68</x:v>
      </x:c>
      <x:c r="O773" s="4" t="n">
        <x:f>YEAR(C773)</x:f>
        <x:v>2025</x:v>
      </x:c>
      <x:c r="P773" s="4" t="str">
        <x:f>TEXT(C773,"yyyy-mm")</x:f>
        <x:v>2025-10</x:v>
      </x:c>
      <x:c r="Q773" s="4" t="str">
        <x:f>TEXT(C773,"mmmm")</x:f>
        <x:v>October</x:v>
      </x:c>
    </x:row>
    <x:row r="774" ht="20" customHeight="1">
      <x:c r="A774" s="4" t="inlineStr">
        <x:is>
          <x:t xml:space="preserve">LINE-00779</x:t>
        </x:is>
      </x:c>
      <x:c r="B774" s="4" t="inlineStr">
        <x:is>
          <x:t xml:space="preserve">ORD-2025-0486</x:t>
        </x:is>
      </x:c>
      <x:c r="C774" s="17" t="n">
        <x:v>45932</x:v>
      </x:c>
      <x:c r="D774" s="4" t="inlineStr">
        <x:is>
          <x:t xml:space="preserve">CUS-0269</x:t>
        </x:is>
      </x:c>
      <x:c r="E774" s="4" t="inlineStr">
        <x:is>
          <x:t xml:space="preserve">Desk Lamp</x:t>
        </x:is>
      </x:c>
      <x:c r="F774" s="4" t="inlineStr">
        <x:is>
          <x:t xml:space="preserve">Furniture</x:t>
        </x:is>
      </x:c>
      <x:c r="G774" s="4" t="inlineStr">
        <x:is>
          <x:t xml:space="preserve">San Francisco</x:t>
        </x:is>
      </x:c>
      <x:c r="H774" s="18" t="n">
        <x:v>2</x:v>
      </x:c>
      <x:c r="I774" s="19" t="n">
        <x:v>54.08</x:v>
      </x:c>
      <x:c r="J774" s="20" t="n">
        <x:v>0.1</x:v>
      </x:c>
      <x:c r="K774" s="4" t="inlineStr">
        <x:is>
          <x:t xml:space="preserve">Credit Card</x:t>
        </x:is>
      </x:c>
      <x:c r="L774" s="19" t="n">
        <x:v>108.16</x:v>
      </x:c>
      <x:c r="M774" s="19" t="n">
        <x:v>10.82</x:v>
      </x:c>
      <x:c r="N774" s="19" t="n">
        <x:v>97.34</x:v>
      </x:c>
      <x:c r="O774" s="4" t="n">
        <x:f>YEAR(C774)</x:f>
        <x:v>2025</x:v>
      </x:c>
      <x:c r="P774" s="4" t="str">
        <x:f>TEXT(C774,"yyyy-mm")</x:f>
        <x:v>2025-10</x:v>
      </x:c>
      <x:c r="Q774" s="4" t="str">
        <x:f>TEXT(C774,"mmmm")</x:f>
        <x:v>October</x:v>
      </x:c>
    </x:row>
    <x:row r="775" ht="20" customHeight="1">
      <x:c r="A775" s="4" t="inlineStr">
        <x:is>
          <x:t xml:space="preserve">LINE-00780</x:t>
        </x:is>
      </x:c>
      <x:c r="B775" s="4" t="inlineStr">
        <x:is>
          <x:t xml:space="preserve">ORD-2025-0487</x:t>
        </x:is>
      </x:c>
      <x:c r="C775" s="17" t="n">
        <x:v>45943</x:v>
      </x:c>
      <x:c r="D775" s="4" t="inlineStr">
        <x:is>
          <x:t xml:space="preserve">CUS-0199</x:t>
        </x:is>
      </x:c>
      <x:c r="E775" s="4" t="inlineStr">
        <x:is>
          <x:t xml:space="preserve">Bluetooth Speaker</x:t>
        </x:is>
      </x:c>
      <x:c r="F775" s="4" t="inlineStr">
        <x:is>
          <x:t xml:space="preserve">Audio</x:t>
        </x:is>
      </x:c>
      <x:c r="G775" s="4" t="inlineStr">
        <x:is>
          <x:t xml:space="preserve">Boston</x:t>
        </x:is>
      </x:c>
      <x:c r="H775" s="18" t="n">
        <x:v>1</x:v>
      </x:c>
      <x:c r="I775" s="19" t="n">
        <x:v>106.56</x:v>
      </x:c>
      <x:c r="J775" s="20" t="n">
        <x:v>0.1</x:v>
      </x:c>
      <x:c r="K775" s="4" t="inlineStr">
        <x:is>
          <x:t xml:space="preserve">Credit Card</x:t>
        </x:is>
      </x:c>
      <x:c r="L775" s="19" t="n">
        <x:v>106.56</x:v>
      </x:c>
      <x:c r="M775" s="19" t="n">
        <x:v>10.66</x:v>
      </x:c>
      <x:c r="N775" s="19" t="n">
        <x:v>95.90000000000001</x:v>
      </x:c>
      <x:c r="O775" s="4" t="n">
        <x:f>YEAR(C775)</x:f>
        <x:v>2025</x:v>
      </x:c>
      <x:c r="P775" s="4" t="str">
        <x:f>TEXT(C775,"yyyy-mm")</x:f>
        <x:v>2025-10</x:v>
      </x:c>
      <x:c r="Q775" s="4" t="str">
        <x:f>TEXT(C775,"mmmm")</x:f>
        <x:v>October</x:v>
      </x:c>
    </x:row>
    <x:row r="776" ht="20" customHeight="1">
      <x:c r="A776" s="4" t="inlineStr">
        <x:is>
          <x:t xml:space="preserve">LINE-00781</x:t>
        </x:is>
      </x:c>
      <x:c r="B776" s="4" t="inlineStr">
        <x:is>
          <x:t xml:space="preserve">ORD-2025-0488</x:t>
        </x:is>
      </x:c>
      <x:c r="C776" s="17" t="n">
        <x:v>45894</x:v>
      </x:c>
      <x:c r="D776" s="4" t="inlineStr">
        <x:is>
          <x:t xml:space="preserve">CUS-0086</x:t>
        </x:is>
      </x:c>
      <x:c r="E776" s="4" t="inlineStr">
        <x:is>
          <x:t xml:space="preserve">Laptop</x:t>
        </x:is>
      </x:c>
      <x:c r="F776" s="4" t="inlineStr">
        <x:is>
          <x:t xml:space="preserve">Computers</x:t>
        </x:is>
      </x:c>
      <x:c r="G776" s="4" t="inlineStr">
        <x:is>
          <x:t xml:space="preserve">Seattle</x:t>
        </x:is>
      </x:c>
      <x:c r="H776" s="18" t="n">
        <x:v>4</x:v>
      </x:c>
      <x:c r="I776" s="19" t="n">
        <x:v>944.46</x:v>
      </x:c>
      <x:c r="J776" s="20" t="n">
        <x:v>0.05</x:v>
      </x:c>
      <x:c r="K776" s="4" t="inlineStr">
        <x:is>
          <x:t xml:space="preserve">PayPal</x:t>
        </x:is>
      </x:c>
      <x:c r="L776" s="19" t="n">
        <x:v>3777.84</x:v>
      </x:c>
      <x:c r="M776" s="19" t="n">
        <x:v>188.89</x:v>
      </x:c>
      <x:c r="N776" s="19" t="n">
        <x:v>3588.95</x:v>
      </x:c>
      <x:c r="O776" s="4" t="n">
        <x:f>YEAR(C776)</x:f>
        <x:v>2025</x:v>
      </x:c>
      <x:c r="P776" s="4" t="str">
        <x:f>TEXT(C776,"yyyy-mm")</x:f>
        <x:v>2025-08</x:v>
      </x:c>
      <x:c r="Q776" s="4" t="str">
        <x:f>TEXT(C776,"mmmm")</x:f>
        <x:v>August</x:v>
      </x:c>
    </x:row>
    <x:row r="777" ht="20" customHeight="1">
      <x:c r="A777" s="4" t="inlineStr">
        <x:is>
          <x:t xml:space="preserve">LINE-00782</x:t>
        </x:is>
      </x:c>
      <x:c r="B777" s="4" t="inlineStr">
        <x:is>
          <x:t xml:space="preserve">ORD-2025-0488</x:t>
        </x:is>
      </x:c>
      <x:c r="C777" s="17" t="n">
        <x:v>45894</x:v>
      </x:c>
      <x:c r="D777" s="4" t="inlineStr">
        <x:is>
          <x:t xml:space="preserve">CUS-0086</x:t>
        </x:is>
      </x:c>
      <x:c r="E777" s="4" t="inlineStr">
        <x:is>
          <x:t xml:space="preserve">External SSD</x:t>
        </x:is>
      </x:c>
      <x:c r="F777" s="4" t="inlineStr">
        <x:is>
          <x:t xml:space="preserve">Storage</x:t>
        </x:is>
      </x:c>
      <x:c r="G777" s="4" t="inlineStr">
        <x:is>
          <x:t xml:space="preserve">Seattle</x:t>
        </x:is>
      </x:c>
      <x:c r="H777" s="18" t="n">
        <x:v>1</x:v>
      </x:c>
      <x:c r="I777" s="19" t="n">
        <x:v>150.02</x:v>
      </x:c>
      <x:c r="J777" s="20" t="n">
        <x:v>0</x:v>
      </x:c>
      <x:c r="K777" s="4" t="inlineStr">
        <x:is>
          <x:t xml:space="preserve">PayPal</x:t>
        </x:is>
      </x:c>
      <x:c r="L777" s="19" t="n">
        <x:v>150.02</x:v>
      </x:c>
      <x:c r="M777" s="19" t="n">
        <x:v>0</x:v>
      </x:c>
      <x:c r="N777" s="19" t="n">
        <x:v>150.02</x:v>
      </x:c>
      <x:c r="O777" s="4" t="n">
        <x:f>YEAR(C777)</x:f>
        <x:v>2025</x:v>
      </x:c>
      <x:c r="P777" s="4" t="str">
        <x:f>TEXT(C777,"yyyy-mm")</x:f>
        <x:v>2025-08</x:v>
      </x:c>
      <x:c r="Q777" s="4" t="str">
        <x:f>TEXT(C777,"mmmm")</x:f>
        <x:v>August</x:v>
      </x:c>
    </x:row>
    <x:row r="778" ht="20" customHeight="1">
      <x:c r="A778" s="4" t="inlineStr">
        <x:is>
          <x:t xml:space="preserve">LINE-00783</x:t>
        </x:is>
      </x:c>
      <x:c r="B778" s="4" t="inlineStr">
        <x:is>
          <x:t xml:space="preserve">ORD-2025-0489</x:t>
        </x:is>
      </x:c>
      <x:c r="C778" s="17" t="n">
        <x:v>45957</x:v>
      </x:c>
      <x:c r="D778" s="4" t="inlineStr">
        <x:is>
          <x:t xml:space="preserve">CUS-0280</x:t>
        </x:is>
      </x:c>
      <x:c r="E778" s="4" t="inlineStr">
        <x:is>
          <x:t xml:space="preserve">Bluetooth Speaker</x:t>
        </x:is>
      </x:c>
      <x:c r="F778" s="4" t="inlineStr">
        <x:is>
          <x:t xml:space="preserve">Audio</x:t>
        </x:is>
      </x:c>
      <x:c r="G778" s="4" t="inlineStr">
        <x:is>
          <x:t xml:space="preserve">Chicago</x:t>
        </x:is>
      </x:c>
      <x:c r="H778" s="18" t="n">
        <x:v>1</x:v>
      </x:c>
      <x:c r="I778" s="19" t="n">
        <x:v>109.18</x:v>
      </x:c>
      <x:c r="J778" s="20" t="n">
        <x:v>0.15</x:v>
      </x:c>
      <x:c r="K778" s="4" t="inlineStr">
        <x:is>
          <x:t xml:space="preserve">Bank Transfer</x:t>
        </x:is>
      </x:c>
      <x:c r="L778" s="19" t="n">
        <x:v>109.18</x:v>
      </x:c>
      <x:c r="M778" s="19" t="n">
        <x:v>16.38</x:v>
      </x:c>
      <x:c r="N778" s="19" t="n">
        <x:v>92.8</x:v>
      </x:c>
      <x:c r="O778" s="4" t="n">
        <x:f>YEAR(C778)</x:f>
        <x:v>2025</x:v>
      </x:c>
      <x:c r="P778" s="4" t="str">
        <x:f>TEXT(C778,"yyyy-mm")</x:f>
        <x:v>2025-10</x:v>
      </x:c>
      <x:c r="Q778" s="4" t="str">
        <x:f>TEXT(C778,"mmmm")</x:f>
        <x:v>October</x:v>
      </x:c>
    </x:row>
    <x:row r="779" ht="20" customHeight="1">
      <x:c r="A779" s="4" t="inlineStr">
        <x:is>
          <x:t xml:space="preserve">LINE-00784</x:t>
        </x:is>
      </x:c>
      <x:c r="B779" s="4" t="inlineStr">
        <x:is>
          <x:t xml:space="preserve">ORD-2025-0490</x:t>
        </x:is>
      </x:c>
      <x:c r="C779" s="17" t="n">
        <x:v>45761</x:v>
      </x:c>
      <x:c r="D779" s="4" t="inlineStr">
        <x:is>
          <x:t xml:space="preserve">CUS-0233</x:t>
        </x:is>
      </x:c>
      <x:c r="E779" s="4" t="inlineStr">
        <x:is>
          <x:t xml:space="preserve">Office Chair</x:t>
        </x:is>
      </x:c>
      <x:c r="F779" s="4" t="inlineStr">
        <x:is>
          <x:t xml:space="preserve">Furniture</x:t>
        </x:is>
      </x:c>
      <x:c r="G779" s="4" t="inlineStr">
        <x:is>
          <x:t xml:space="preserve">New York</x:t>
        </x:is>
      </x:c>
      <x:c r="H779" s="18" t="n">
        <x:v>4</x:v>
      </x:c>
      <x:c r="I779" s="19" t="n">
        <x:v>251.39</x:v>
      </x:c>
      <x:c r="J779" s="20" t="n">
        <x:v>0.1</x:v>
      </x:c>
      <x:c r="K779" s="4" t="inlineStr">
        <x:is>
          <x:t xml:space="preserve">PayPal</x:t>
        </x:is>
      </x:c>
      <x:c r="L779" s="19" t="n">
        <x:v>1005.56</x:v>
      </x:c>
      <x:c r="M779" s="19" t="n">
        <x:v>100.56</x:v>
      </x:c>
      <x:c r="N779" s="19" t="n">
        <x:v>905</x:v>
      </x:c>
      <x:c r="O779" s="4" t="n">
        <x:f>YEAR(C779)</x:f>
        <x:v>2025</x:v>
      </x:c>
      <x:c r="P779" s="4" t="str">
        <x:f>TEXT(C779,"yyyy-mm")</x:f>
        <x:v>2025-04</x:v>
      </x:c>
      <x:c r="Q779" s="4" t="str">
        <x:f>TEXT(C779,"mmmm")</x:f>
        <x:v>April</x:v>
      </x:c>
    </x:row>
    <x:row r="780" ht="20" customHeight="1">
      <x:c r="A780" s="4" t="inlineStr">
        <x:is>
          <x:t xml:space="preserve">LINE-00786</x:t>
        </x:is>
      </x:c>
      <x:c r="B780" s="4" t="inlineStr">
        <x:is>
          <x:t xml:space="preserve">ORD-2025-0491</x:t>
        </x:is>
      </x:c>
      <x:c r="C780" s="17" t="n">
        <x:v>45721</x:v>
      </x:c>
      <x:c r="D780" s="4" t="inlineStr">
        <x:is>
          <x:t xml:space="preserve">CUS-0047</x:t>
        </x:is>
      </x:c>
      <x:c r="E780" s="4" t="inlineStr">
        <x:is>
          <x:t xml:space="preserve">External SSD</x:t>
        </x:is>
      </x:c>
      <x:c r="F780" s="4" t="inlineStr">
        <x:is>
          <x:t xml:space="preserve">Storage</x:t>
        </x:is>
      </x:c>
      <x:c r="G780" s="4" t="inlineStr">
        <x:is>
          <x:t xml:space="preserve">New York</x:t>
        </x:is>
      </x:c>
      <x:c r="H780" s="18" t="n">
        <x:v>2</x:v>
      </x:c>
      <x:c r="I780" s="19" t="n">
        <x:v>141.84</x:v>
      </x:c>
      <x:c r="J780" s="20" t="n">
        <x:v>0.05</x:v>
      </x:c>
      <x:c r="K780" s="4" t="inlineStr">
        <x:is>
          <x:t xml:space="preserve">Bank Transfer</x:t>
        </x:is>
      </x:c>
      <x:c r="L780" s="19" t="n">
        <x:v>283.68</x:v>
      </x:c>
      <x:c r="M780" s="19" t="n">
        <x:v>14.18</x:v>
      </x:c>
      <x:c r="N780" s="19" t="n">
        <x:v>269.5</x:v>
      </x:c>
      <x:c r="O780" s="4" t="n">
        <x:f>YEAR(C780)</x:f>
        <x:v>2025</x:v>
      </x:c>
      <x:c r="P780" s="4" t="str">
        <x:f>TEXT(C780,"yyyy-mm")</x:f>
        <x:v>2025-03</x:v>
      </x:c>
      <x:c r="Q780" s="4" t="str">
        <x:f>TEXT(C780,"mmmm")</x:f>
        <x:v>March</x:v>
      </x:c>
    </x:row>
    <x:row r="781" ht="20" customHeight="1">
      <x:c r="A781" s="4" t="inlineStr">
        <x:is>
          <x:t xml:space="preserve">LINE-00787</x:t>
        </x:is>
      </x:c>
      <x:c r="B781" s="4" t="inlineStr">
        <x:is>
          <x:t xml:space="preserve">ORD-2025-0492</x:t>
        </x:is>
      </x:c>
      <x:c r="C781" s="17" t="n">
        <x:v>45680</x:v>
      </x:c>
      <x:c r="D781" s="4" t="inlineStr">
        <x:is>
          <x:t xml:space="preserve">CUS-0088</x:t>
        </x:is>
      </x:c>
      <x:c r="E781" s="4" t="inlineStr">
        <x:is>
          <x:t xml:space="preserve">Keyboard</x:t>
        </x:is>
      </x:c>
      <x:c r="F781" s="4" t="inlineStr">
        <x:is>
          <x:t xml:space="preserve">Accessories</x:t>
        </x:is>
      </x:c>
      <x:c r="G781" s="4" t="inlineStr">
        <x:is>
          <x:t xml:space="preserve">Austin</x:t>
        </x:is>
      </x:c>
      <x:c r="H781" s="18" t="n">
        <x:v>1</x:v>
      </x:c>
      <x:c r="I781" s="19" t="n">
        <x:v>77.54000000000001</x:v>
      </x:c>
      <x:c r="J781" s="20" t="n">
        <x:v>0</x:v>
      </x:c>
      <x:c r="K781" s="4" t="inlineStr">
        <x:is>
          <x:t xml:space="preserve">Debit Card</x:t>
        </x:is>
      </x:c>
      <x:c r="L781" s="19" t="n">
        <x:v>77.54000000000001</x:v>
      </x:c>
      <x:c r="M781" s="19" t="n">
        <x:v>0</x:v>
      </x:c>
      <x:c r="N781" s="19" t="n">
        <x:v>77.54000000000001</x:v>
      </x:c>
      <x:c r="O781" s="4" t="n">
        <x:f>YEAR(C781)</x:f>
        <x:v>2025</x:v>
      </x:c>
      <x:c r="P781" s="4" t="str">
        <x:f>TEXT(C781,"yyyy-mm")</x:f>
        <x:v>2025-01</x:v>
      </x:c>
      <x:c r="Q781" s="4" t="str">
        <x:f>TEXT(C781,"mmmm")</x:f>
        <x:v>January</x:v>
      </x:c>
    </x:row>
    <x:row r="782" ht="20" customHeight="1">
      <x:c r="A782" s="4" t="inlineStr">
        <x:is>
          <x:t xml:space="preserve">LINE-00788</x:t>
        </x:is>
      </x:c>
      <x:c r="B782" s="4" t="inlineStr">
        <x:is>
          <x:t xml:space="preserve">ORD-2025-0493</x:t>
        </x:is>
      </x:c>
      <x:c r="C782" s="17" t="n">
        <x:v>45816</x:v>
      </x:c>
      <x:c r="D782" s="4" t="inlineStr">
        <x:is>
          <x:t xml:space="preserve">CUS-0229</x:t>
        </x:is>
      </x:c>
      <x:c r="E782" s="4" t="inlineStr">
        <x:is>
          <x:t xml:space="preserve">Keyboard</x:t>
        </x:is>
      </x:c>
      <x:c r="F782" s="4" t="inlineStr">
        <x:is>
          <x:t xml:space="preserve">Accessories</x:t>
        </x:is>
      </x:c>
      <x:c r="G782" s="4" t="inlineStr">
        <x:is>
          <x:t xml:space="preserve">Austin</x:t>
        </x:is>
      </x:c>
      <x:c r="H782" s="18" t="n">
        <x:v>5</x:v>
      </x:c>
      <x:c r="I782" s="19" t="n">
        <x:v>69.04000000000001</x:v>
      </x:c>
      <x:c r="J782" s="20" t="n">
        <x:v>0.1</x:v>
      </x:c>
      <x:c r="K782" s="4" t="inlineStr">
        <x:is>
          <x:t xml:space="preserve">Debit Card</x:t>
        </x:is>
      </x:c>
      <x:c r="L782" s="19" t="n">
        <x:v>345.2</x:v>
      </x:c>
      <x:c r="M782" s="19" t="n">
        <x:v>34.52</x:v>
      </x:c>
      <x:c r="N782" s="19" t="n">
        <x:v>310.68</x:v>
      </x:c>
      <x:c r="O782" s="4" t="n">
        <x:f>YEAR(C782)</x:f>
        <x:v>2025</x:v>
      </x:c>
      <x:c r="P782" s="4" t="str">
        <x:f>TEXT(C782,"yyyy-mm")</x:f>
        <x:v>2025-06</x:v>
      </x:c>
      <x:c r="Q782" s="4" t="str">
        <x:f>TEXT(C782,"mmmm")</x:f>
        <x:v>June</x:v>
      </x:c>
    </x:row>
    <x:row r="783" ht="20" customHeight="1">
      <x:c r="A783" s="4" t="inlineStr">
        <x:is>
          <x:t xml:space="preserve">LINE-00789</x:t>
        </x:is>
      </x:c>
      <x:c r="B783" s="4" t="inlineStr">
        <x:is>
          <x:t xml:space="preserve">ORD-2025-0494</x:t>
        </x:is>
      </x:c>
      <x:c r="C783" s="17" t="n">
        <x:v>45664</x:v>
      </x:c>
      <x:c r="D783" s="4" t="inlineStr">
        <x:is>
          <x:t xml:space="preserve">CUS-0235</x:t>
        </x:is>
      </x:c>
      <x:c r="E783" s="4" t="inlineStr">
        <x:is>
          <x:t xml:space="preserve">Laptop</x:t>
        </x:is>
      </x:c>
      <x:c r="F783" s="4" t="inlineStr">
        <x:is>
          <x:t xml:space="preserve">Computers</x:t>
        </x:is>
      </x:c>
      <x:c r="G783" s="4" t="inlineStr">
        <x:is>
          <x:t xml:space="preserve">Seattle</x:t>
        </x:is>
      </x:c>
      <x:c r="H783" s="18" t="n">
        <x:v>4</x:v>
      </x:c>
      <x:c r="I783" s="19" t="n">
        <x:v>910.16</x:v>
      </x:c>
      <x:c r="J783" s="20" t="n">
        <x:v>0.05</x:v>
      </x:c>
      <x:c r="K783" s="4" t="inlineStr">
        <x:is>
          <x:t xml:space="preserve">Bank Transfer</x:t>
        </x:is>
      </x:c>
      <x:c r="L783" s="19" t="n">
        <x:v>3640.64</x:v>
      </x:c>
      <x:c r="M783" s="19" t="n">
        <x:v>182.03</x:v>
      </x:c>
      <x:c r="N783" s="19" t="n">
        <x:v>3458.61</x:v>
      </x:c>
      <x:c r="O783" s="4" t="n">
        <x:f>YEAR(C783)</x:f>
        <x:v>2025</x:v>
      </x:c>
      <x:c r="P783" s="4" t="str">
        <x:f>TEXT(C783,"yyyy-mm")</x:f>
        <x:v>2025-01</x:v>
      </x:c>
      <x:c r="Q783" s="4" t="str">
        <x:f>TEXT(C783,"mmmm")</x:f>
        <x:v>January</x:v>
      </x:c>
    </x:row>
    <x:row r="784" ht="20" customHeight="1">
      <x:c r="A784" s="4" t="inlineStr">
        <x:is>
          <x:t xml:space="preserve">LINE-00790</x:t>
        </x:is>
      </x:c>
      <x:c r="B784" s="4" t="inlineStr">
        <x:is>
          <x:t xml:space="preserve">ORD-2025-0494</x:t>
        </x:is>
      </x:c>
      <x:c r="C784" s="17" t="n">
        <x:v>45664</x:v>
      </x:c>
      <x:c r="D784" s="4" t="inlineStr">
        <x:is>
          <x:t xml:space="preserve">CUS-0235</x:t>
        </x:is>
      </x:c>
      <x:c r="E784" s="4" t="inlineStr">
        <x:is>
          <x:t xml:space="preserve">USB Flash Drive</x:t>
        </x:is>
      </x:c>
      <x:c r="F784" s="4" t="inlineStr">
        <x:is>
          <x:t xml:space="preserve">Storage</x:t>
        </x:is>
      </x:c>
      <x:c r="G784" s="4" t="inlineStr">
        <x:is>
          <x:t xml:space="preserve">Seattle</x:t>
        </x:is>
      </x:c>
      <x:c r="H784" s="18" t="n">
        <x:v>2</x:v>
      </x:c>
      <x:c r="I784" s="19" t="n">
        <x:v>29.57</x:v>
      </x:c>
      <x:c r="J784" s="20" t="n">
        <x:v>0</x:v>
      </x:c>
      <x:c r="K784" s="4" t="inlineStr">
        <x:is>
          <x:t xml:space="preserve">Bank Transfer</x:t>
        </x:is>
      </x:c>
      <x:c r="L784" s="19" t="n">
        <x:v>59.14</x:v>
      </x:c>
      <x:c r="M784" s="19" t="n">
        <x:v>0</x:v>
      </x:c>
      <x:c r="N784" s="19" t="n">
        <x:v>59.14</x:v>
      </x:c>
      <x:c r="O784" s="4" t="n">
        <x:f>YEAR(C784)</x:f>
        <x:v>2025</x:v>
      </x:c>
      <x:c r="P784" s="4" t="str">
        <x:f>TEXT(C784,"yyyy-mm")</x:f>
        <x:v>2025-01</x:v>
      </x:c>
      <x:c r="Q784" s="4" t="str">
        <x:f>TEXT(C784,"mmmm")</x:f>
        <x:v>January</x:v>
      </x:c>
    </x:row>
    <x:row r="785" ht="20" customHeight="1">
      <x:c r="A785" s="4" t="inlineStr">
        <x:is>
          <x:t xml:space="preserve">LINE-00791</x:t>
        </x:is>
      </x:c>
      <x:c r="B785" s="4" t="inlineStr">
        <x:is>
          <x:t xml:space="preserve">ORD-2025-0495</x:t>
        </x:is>
      </x:c>
      <x:c r="C785" s="17" t="n">
        <x:v>45965</x:v>
      </x:c>
      <x:c r="D785" s="4" t="inlineStr">
        <x:is>
          <x:t xml:space="preserve">CUS-0004</x:t>
        </x:is>
      </x:c>
      <x:c r="E785" s="4" t="inlineStr">
        <x:is>
          <x:t xml:space="preserve">External SSD</x:t>
        </x:is>
      </x:c>
      <x:c r="F785" s="4" t="inlineStr">
        <x:is>
          <x:t xml:space="preserve">Storage</x:t>
        </x:is>
      </x:c>
      <x:c r="G785" s="4" t="inlineStr">
        <x:is>
          <x:t xml:space="preserve">Chicago</x:t>
        </x:is>
      </x:c>
      <x:c r="H785" s="18" t="n">
        <x:v>1</x:v>
      </x:c>
      <x:c r="I785" s="19" t="n">
        <x:v>141.56</x:v>
      </x:c>
      <x:c r="J785" s="20" t="n">
        <x:v>0.05</x:v>
      </x:c>
      <x:c r="K785" s="4" t="inlineStr">
        <x:is>
          <x:t xml:space="preserve">PayPal</x:t>
        </x:is>
      </x:c>
      <x:c r="L785" s="19" t="n">
        <x:v>141.56</x:v>
      </x:c>
      <x:c r="M785" s="19" t="n">
        <x:v>7.08</x:v>
      </x:c>
      <x:c r="N785" s="19" t="n">
        <x:v>134.48</x:v>
      </x:c>
      <x:c r="O785" s="4" t="n">
        <x:f>YEAR(C785)</x:f>
        <x:v>2025</x:v>
      </x:c>
      <x:c r="P785" s="4" t="str">
        <x:f>TEXT(C785,"yyyy-mm")</x:f>
        <x:v>2025-11</x:v>
      </x:c>
      <x:c r="Q785" s="4" t="str">
        <x:f>TEXT(C785,"mmmm")</x:f>
        <x:v>November</x:v>
      </x:c>
    </x:row>
    <x:row r="786" ht="20" customHeight="1">
      <x:c r="A786" s="4" t="inlineStr">
        <x:is>
          <x:t xml:space="preserve">LINE-00792</x:t>
        </x:is>
      </x:c>
      <x:c r="B786" s="4" t="inlineStr">
        <x:is>
          <x:t xml:space="preserve">ORD-2025-0495</x:t>
        </x:is>
      </x:c>
      <x:c r="C786" s="17" t="n">
        <x:v>45965</x:v>
      </x:c>
      <x:c r="D786" s="4" t="inlineStr">
        <x:is>
          <x:t xml:space="preserve">CUS-0004</x:t>
        </x:is>
      </x:c>
      <x:c r="E786" s="4" t="inlineStr">
        <x:is>
          <x:t xml:space="preserve">Wireless Mouse</x:t>
        </x:is>
      </x:c>
      <x:c r="F786" s="4" t="inlineStr">
        <x:is>
          <x:t xml:space="preserve">Accessories</x:t>
        </x:is>
      </x:c>
      <x:c r="G786" s="4" t="inlineStr">
        <x:is>
          <x:t xml:space="preserve">Chicago</x:t>
        </x:is>
      </x:c>
      <x:c r="H786" s="18" t="n">
        <x:v>1</x:v>
      </x:c>
      <x:c r="I786" s="19" t="n">
        <x:v>47.55</x:v>
      </x:c>
      <x:c r="J786" s="20" t="n">
        <x:v>0.05</x:v>
      </x:c>
      <x:c r="K786" s="4" t="inlineStr">
        <x:is>
          <x:t xml:space="preserve">PayPal</x:t>
        </x:is>
      </x:c>
      <x:c r="L786" s="19" t="n">
        <x:v>47.55</x:v>
      </x:c>
      <x:c r="M786" s="19" t="n">
        <x:v>2.38</x:v>
      </x:c>
      <x:c r="N786" s="19" t="n">
        <x:v>45.17</x:v>
      </x:c>
      <x:c r="O786" s="4" t="n">
        <x:f>YEAR(C786)</x:f>
        <x:v>2025</x:v>
      </x:c>
      <x:c r="P786" s="4" t="str">
        <x:f>TEXT(C786,"yyyy-mm")</x:f>
        <x:v>2025-11</x:v>
      </x:c>
      <x:c r="Q786" s="4" t="str">
        <x:f>TEXT(C786,"mmmm")</x:f>
        <x:v>November</x:v>
      </x:c>
    </x:row>
    <x:row r="787" ht="20" customHeight="1">
      <x:c r="A787" s="4" t="inlineStr">
        <x:is>
          <x:t xml:space="preserve">LINE-00793</x:t>
        </x:is>
      </x:c>
      <x:c r="B787" s="4" t="inlineStr">
        <x:is>
          <x:t xml:space="preserve">ORD-2025-0496</x:t>
        </x:is>
      </x:c>
      <x:c r="C787" s="17" t="n">
        <x:v>45966</x:v>
      </x:c>
      <x:c r="D787" s="4" t="inlineStr">
        <x:is>
          <x:t xml:space="preserve">CUS-0153</x:t>
        </x:is>
      </x:c>
      <x:c r="E787" s="4" t="inlineStr">
        <x:is>
          <x:t xml:space="preserve">Headphones</x:t>
        </x:is>
      </x:c>
      <x:c r="F787" s="4" t="inlineStr">
        <x:is>
          <x:t xml:space="preserve">Audio</x:t>
        </x:is>
      </x:c>
      <x:c r="G787" s="4" t="inlineStr">
        <x:is>
          <x:t xml:space="preserve">Austin</x:t>
        </x:is>
      </x:c>
      <x:c r="H787" s="18" t="n">
        <x:v>5</x:v>
      </x:c>
      <x:c r="I787" s="19" t="n">
        <x:v>122.96</x:v>
      </x:c>
      <x:c r="J787" s="20" t="n">
        <x:v>0</x:v>
      </x:c>
      <x:c r="K787" s="4" t="inlineStr">
        <x:is>
          <x:t xml:space="preserve">Credit Card</x:t>
        </x:is>
      </x:c>
      <x:c r="L787" s="19" t="n">
        <x:v>614.8</x:v>
      </x:c>
      <x:c r="M787" s="19" t="n">
        <x:v>0</x:v>
      </x:c>
      <x:c r="N787" s="19" t="n">
        <x:v>614.8</x:v>
      </x:c>
      <x:c r="O787" s="4" t="n">
        <x:f>YEAR(C787)</x:f>
        <x:v>2025</x:v>
      </x:c>
      <x:c r="P787" s="4" t="str">
        <x:f>TEXT(C787,"yyyy-mm")</x:f>
        <x:v>2025-11</x:v>
      </x:c>
      <x:c r="Q787" s="4" t="str">
        <x:f>TEXT(C787,"mmmm")</x:f>
        <x:v>November</x:v>
      </x:c>
    </x:row>
    <x:row r="788" ht="20" customHeight="1">
      <x:c r="A788" s="4" t="inlineStr">
        <x:is>
          <x:t xml:space="preserve">LINE-00794</x:t>
        </x:is>
      </x:c>
      <x:c r="B788" s="4" t="inlineStr">
        <x:is>
          <x:t xml:space="preserve">ORD-2025-0497</x:t>
        </x:is>
      </x:c>
      <x:c r="C788" s="17" t="n">
        <x:v>45996</x:v>
      </x:c>
      <x:c r="D788" s="4" t="inlineStr">
        <x:is>
          <x:t xml:space="preserve">CUS-0305</x:t>
        </x:is>
      </x:c>
      <x:c r="E788" s="4" t="inlineStr">
        <x:is>
          <x:t xml:space="preserve">Desk Lamp</x:t>
        </x:is>
      </x:c>
      <x:c r="F788" s="4" t="inlineStr">
        <x:is>
          <x:t xml:space="preserve">Furniture</x:t>
        </x:is>
      </x:c>
      <x:c r="G788" s="4" t="inlineStr">
        <x:is>
          <x:t xml:space="preserve">Boston</x:t>
        </x:is>
      </x:c>
      <x:c r="H788" s="18" t="n">
        <x:v>4</x:v>
      </x:c>
      <x:c r="I788" s="19" t="n">
        <x:v>51.42</x:v>
      </x:c>
      <x:c r="J788" s="20" t="n">
        <x:v>0</x:v>
      </x:c>
      <x:c r="K788" s="4" t="inlineStr">
        <x:is>
          <x:t xml:space="preserve">Debit Card</x:t>
        </x:is>
      </x:c>
      <x:c r="L788" s="19" t="n">
        <x:v>205.68</x:v>
      </x:c>
      <x:c r="M788" s="19" t="n">
        <x:v>0</x:v>
      </x:c>
      <x:c r="N788" s="19" t="n">
        <x:v>205.68</x:v>
      </x:c>
      <x:c r="O788" s="4" t="n">
        <x:f>YEAR(C788)</x:f>
        <x:v>2025</x:v>
      </x:c>
      <x:c r="P788" s="4" t="str">
        <x:f>TEXT(C788,"yyyy-mm")</x:f>
        <x:v>2025-12</x:v>
      </x:c>
      <x:c r="Q788" s="4" t="str">
        <x:f>TEXT(C788,"mmmm")</x:f>
        <x:v>December</x:v>
      </x:c>
    </x:row>
    <x:row r="789" ht="20" customHeight="1">
      <x:c r="A789" s="4" t="inlineStr">
        <x:is>
          <x:t xml:space="preserve">LINE-00795</x:t>
        </x:is>
      </x:c>
      <x:c r="B789" s="4" t="inlineStr">
        <x:is>
          <x:t xml:space="preserve">ORD-2025-0497</x:t>
        </x:is>
      </x:c>
      <x:c r="C789" s="17" t="n">
        <x:v>45996</x:v>
      </x:c>
      <x:c r="D789" s="4" t="inlineStr">
        <x:is>
          <x:t xml:space="preserve">CUS-0305</x:t>
        </x:is>
      </x:c>
      <x:c r="E789" s="4" t="inlineStr">
        <x:is>
          <x:t xml:space="preserve">USB Flash Drive</x:t>
        </x:is>
      </x:c>
      <x:c r="F789" s="4" t="inlineStr">
        <x:is>
          <x:t xml:space="preserve">Storage</x:t>
        </x:is>
      </x:c>
      <x:c r="G789" s="4" t="inlineStr">
        <x:is>
          <x:t xml:space="preserve">Boston</x:t>
        </x:is>
      </x:c>
      <x:c r="H789" s="18" t="n">
        <x:v>1</x:v>
      </x:c>
      <x:c r="I789" s="19" t="n">
        <x:v>29.42</x:v>
      </x:c>
      <x:c r="J789" s="20" t="n">
        <x:v>0</x:v>
      </x:c>
      <x:c r="K789" s="4" t="inlineStr">
        <x:is>
          <x:t xml:space="preserve">Debit Card</x:t>
        </x:is>
      </x:c>
      <x:c r="L789" s="19" t="n">
        <x:v>29.42</x:v>
      </x:c>
      <x:c r="M789" s="19" t="n">
        <x:v>0</x:v>
      </x:c>
      <x:c r="N789" s="19" t="n">
        <x:v>29.42</x:v>
      </x:c>
      <x:c r="O789" s="4" t="n">
        <x:f>YEAR(C789)</x:f>
        <x:v>2025</x:v>
      </x:c>
      <x:c r="P789" s="4" t="str">
        <x:f>TEXT(C789,"yyyy-mm")</x:f>
        <x:v>2025-12</x:v>
      </x:c>
      <x:c r="Q789" s="4" t="str">
        <x:f>TEXT(C789,"mmmm")</x:f>
        <x:v>December</x:v>
      </x:c>
    </x:row>
    <x:row r="790" ht="20" customHeight="1">
      <x:c r="A790" s="4" t="inlineStr">
        <x:is>
          <x:t xml:space="preserve">LINE-00796</x:t>
        </x:is>
      </x:c>
      <x:c r="B790" s="4" t="inlineStr">
        <x:is>
          <x:t xml:space="preserve">ORD-2025-0497</x:t>
        </x:is>
      </x:c>
      <x:c r="C790" s="17" t="n">
        <x:v>45996</x:v>
      </x:c>
      <x:c r="D790" s="4" t="inlineStr">
        <x:is>
          <x:t xml:space="preserve">CUS-0305</x:t>
        </x:is>
      </x:c>
      <x:c r="E790" s="4" t="inlineStr">
        <x:is>
          <x:t xml:space="preserve">Webcam</x:t>
        </x:is>
      </x:c>
      <x:c r="F790" s="4" t="inlineStr">
        <x:is>
          <x:t xml:space="preserve">Accessories</x:t>
        </x:is>
      </x:c>
      <x:c r="G790" s="4" t="inlineStr">
        <x:is>
          <x:t xml:space="preserve">Boston</x:t>
        </x:is>
      </x:c>
      <x:c r="H790" s="18" t="n">
        <x:v>2</x:v>
      </x:c>
      <x:c r="I790" s="19" t="n">
        <x:v>90.73</x:v>
      </x:c>
      <x:c r="J790" s="20" t="n">
        <x:v>0</x:v>
      </x:c>
      <x:c r="K790" s="4" t="inlineStr">
        <x:is>
          <x:t xml:space="preserve">Debit Card</x:t>
        </x:is>
      </x:c>
      <x:c r="L790" s="19" t="n">
        <x:v>181.46</x:v>
      </x:c>
      <x:c r="M790" s="19" t="n">
        <x:v>0</x:v>
      </x:c>
      <x:c r="N790" s="19" t="n">
        <x:v>181.46</x:v>
      </x:c>
      <x:c r="O790" s="4" t="n">
        <x:f>YEAR(C790)</x:f>
        <x:v>2025</x:v>
      </x:c>
      <x:c r="P790" s="4" t="str">
        <x:f>TEXT(C790,"yyyy-mm")</x:f>
        <x:v>2025-12</x:v>
      </x:c>
      <x:c r="Q790" s="4" t="str">
        <x:f>TEXT(C790,"mmmm")</x:f>
        <x:v>December</x:v>
      </x:c>
    </x:row>
    <x:row r="791" ht="20" customHeight="1">
      <x:c r="A791" s="4" t="inlineStr">
        <x:is>
          <x:t xml:space="preserve">LINE-00797</x:t>
        </x:is>
      </x:c>
      <x:c r="B791" s="4" t="inlineStr">
        <x:is>
          <x:t xml:space="preserve">ORD-2025-0498</x:t>
        </x:is>
      </x:c>
      <x:c r="C791" s="17" t="n">
        <x:v>45726</x:v>
      </x:c>
      <x:c r="D791" s="4" t="inlineStr">
        <x:is>
          <x:t xml:space="preserve">CUS-0063</x:t>
        </x:is>
      </x:c>
      <x:c r="E791" s="4" t="inlineStr">
        <x:is>
          <x:t xml:space="preserve">Headphones</x:t>
        </x:is>
      </x:c>
      <x:c r="F791" s="4" t="inlineStr">
        <x:is>
          <x:t xml:space="preserve">Audio</x:t>
        </x:is>
      </x:c>
      <x:c r="G791" s="4" t="inlineStr">
        <x:is>
          <x:t xml:space="preserve">San Francisco</x:t>
        </x:is>
      </x:c>
      <x:c r="H791" s="18" t="n">
        <x:v>2</x:v>
      </x:c>
      <x:c r="I791" s="19" t="n">
        <x:v>134.07</x:v>
      </x:c>
      <x:c r="J791" s="20" t="n">
        <x:v>0.05</x:v>
      </x:c>
      <x:c r="K791" s="4" t="inlineStr">
        <x:is>
          <x:t xml:space="preserve">PayPal</x:t>
        </x:is>
      </x:c>
      <x:c r="L791" s="19" t="n">
        <x:v>268.14</x:v>
      </x:c>
      <x:c r="M791" s="19" t="n">
        <x:v>13.41</x:v>
      </x:c>
      <x:c r="N791" s="19" t="n">
        <x:v>254.73</x:v>
      </x:c>
      <x:c r="O791" s="4" t="n">
        <x:f>YEAR(C791)</x:f>
        <x:v>2025</x:v>
      </x:c>
      <x:c r="P791" s="4" t="str">
        <x:f>TEXT(C791,"yyyy-mm")</x:f>
        <x:v>2025-03</x:v>
      </x:c>
      <x:c r="Q791" s="4" t="str">
        <x:f>TEXT(C791,"mmmm")</x:f>
        <x:v>March</x:v>
      </x:c>
    </x:row>
    <x:row r="792" ht="20" customHeight="1">
      <x:c r="A792" s="4" t="inlineStr">
        <x:is>
          <x:t xml:space="preserve">LINE-00798</x:t>
        </x:is>
      </x:c>
      <x:c r="B792" s="4" t="inlineStr">
        <x:is>
          <x:t xml:space="preserve">ORD-2025-0499</x:t>
        </x:is>
      </x:c>
      <x:c r="C792" s="17" t="n">
        <x:v>45713</x:v>
      </x:c>
      <x:c r="D792" s="4" t="inlineStr">
        <x:is>
          <x:t xml:space="preserve">CUS-0293</x:t>
        </x:is>
      </x:c>
      <x:c r="E792" s="4" t="inlineStr">
        <x:is>
          <x:t xml:space="preserve">Desk Lamp</x:t>
        </x:is>
      </x:c>
      <x:c r="F792" s="4" t="inlineStr">
        <x:is>
          <x:t xml:space="preserve">Furniture</x:t>
        </x:is>
      </x:c>
      <x:c r="G792" s="4" t="inlineStr">
        <x:is>
          <x:t xml:space="preserve">San Francisco</x:t>
        </x:is>
      </x:c>
      <x:c r="H792" s="18" t="n">
        <x:v>2</x:v>
      </x:c>
      <x:c r="I792" s="19" t="n">
        <x:v>57.54</x:v>
      </x:c>
      <x:c r="J792" s="20" t="n">
        <x:v>0.1</x:v>
      </x:c>
      <x:c r="K792" s="4" t="inlineStr">
        <x:is>
          <x:t xml:space="preserve">Credit Card</x:t>
        </x:is>
      </x:c>
      <x:c r="L792" s="19" t="n">
        <x:v>115.08</x:v>
      </x:c>
      <x:c r="M792" s="19" t="n">
        <x:v>11.51</x:v>
      </x:c>
      <x:c r="N792" s="19" t="n">
        <x:v>103.57</x:v>
      </x:c>
      <x:c r="O792" s="4" t="n">
        <x:f>YEAR(C792)</x:f>
        <x:v>2025</x:v>
      </x:c>
      <x:c r="P792" s="4" t="str">
        <x:f>TEXT(C792,"yyyy-mm")</x:f>
        <x:v>2025-02</x:v>
      </x:c>
      <x:c r="Q792" s="4" t="str">
        <x:f>TEXT(C792,"mmmm")</x:f>
        <x:v>February</x:v>
      </x:c>
    </x:row>
    <x:row r="793" ht="20" customHeight="1">
      <x:c r="A793" s="4" t="inlineStr">
        <x:is>
          <x:t xml:space="preserve">LINE-00799</x:t>
        </x:is>
      </x:c>
      <x:c r="B793" s="4" t="inlineStr">
        <x:is>
          <x:t xml:space="preserve">ORD-2025-0500</x:t>
        </x:is>
      </x:c>
      <x:c r="C793" s="17" t="n">
        <x:v>45876</x:v>
      </x:c>
      <x:c r="D793" s="4" t="inlineStr">
        <x:is>
          <x:t xml:space="preserve">CUS-0312</x:t>
        </x:is>
      </x:c>
      <x:c r="E793" s="4" t="inlineStr">
        <x:is>
          <x:t xml:space="preserve">USB Flash Drive</x:t>
        </x:is>
      </x:c>
      <x:c r="F793" s="4" t="inlineStr">
        <x:is>
          <x:t xml:space="preserve">Storage</x:t>
        </x:is>
      </x:c>
      <x:c r="G793" s="4" t="inlineStr">
        <x:is>
          <x:t xml:space="preserve">Austin</x:t>
        </x:is>
      </x:c>
      <x:c r="H793" s="18" t="n">
        <x:v>4</x:v>
      </x:c>
      <x:c r="I793" s="19" t="n">
        <x:v>30.55</x:v>
      </x:c>
      <x:c r="J793" s="20" t="n">
        <x:v>0.05</x:v>
      </x:c>
      <x:c r="K793" s="4" t="inlineStr">
        <x:is>
          <x:t xml:space="preserve">PayPal</x:t>
        </x:is>
      </x:c>
      <x:c r="L793" s="19" t="n">
        <x:v>122.2</x:v>
      </x:c>
      <x:c r="M793" s="19" t="n">
        <x:v>6.11</x:v>
      </x:c>
      <x:c r="N793" s="19" t="n">
        <x:v>116.09</x:v>
      </x:c>
      <x:c r="O793" s="4" t="n">
        <x:f>YEAR(C793)</x:f>
        <x:v>2025</x:v>
      </x:c>
      <x:c r="P793" s="4" t="str">
        <x:f>TEXT(C793,"yyyy-mm")</x:f>
        <x:v>2025-08</x:v>
      </x:c>
      <x:c r="Q793" s="4" t="str">
        <x:f>TEXT(C793,"mmmm")</x:f>
        <x:v>August</x:v>
      </x:c>
    </x:row>
    <x:row r="794" ht="20" customHeight="1">
      <x:c r="A794" s="4" t="inlineStr">
        <x:is>
          <x:t xml:space="preserve">LINE-00800</x:t>
        </x:is>
      </x:c>
      <x:c r="B794" s="4" t="inlineStr">
        <x:is>
          <x:t xml:space="preserve">ORD-2025-0500</x:t>
        </x:is>
      </x:c>
      <x:c r="C794" s="17" t="n">
        <x:v>45876</x:v>
      </x:c>
      <x:c r="D794" s="4" t="inlineStr">
        <x:is>
          <x:t xml:space="preserve">CUS-0312</x:t>
        </x:is>
      </x:c>
      <x:c r="E794" s="4" t="inlineStr">
        <x:is>
          <x:t xml:space="preserve">Webcam</x:t>
        </x:is>
      </x:c>
      <x:c r="F794" s="4" t="inlineStr">
        <x:is>
          <x:t xml:space="preserve">Accessories</x:t>
        </x:is>
      </x:c>
      <x:c r="G794" s="4" t="inlineStr">
        <x:is>
          <x:t xml:space="preserve">Austin</x:t>
        </x:is>
      </x:c>
      <x:c r="H794" s="18" t="n">
        <x:v>3</x:v>
      </x:c>
      <x:c r="I794" s="19" t="n">
        <x:v>89.97</x:v>
      </x:c>
      <x:c r="J794" s="20" t="n">
        <x:v>0.1</x:v>
      </x:c>
      <x:c r="K794" s="4" t="inlineStr">
        <x:is>
          <x:t xml:space="preserve">PayPal</x:t>
        </x:is>
      </x:c>
      <x:c r="L794" s="19" t="n">
        <x:v>269.91</x:v>
      </x:c>
      <x:c r="M794" s="19" t="n">
        <x:v>26.99</x:v>
      </x:c>
      <x:c r="N794" s="19" t="n">
        <x:v>242.92</x:v>
      </x:c>
      <x:c r="O794" s="4" t="n">
        <x:f>YEAR(C794)</x:f>
        <x:v>2025</x:v>
      </x:c>
      <x:c r="P794" s="4" t="str">
        <x:f>TEXT(C794,"yyyy-mm")</x:f>
        <x:v>2025-08</x:v>
      </x:c>
      <x:c r="Q794" s="4" t="str">
        <x:f>TEXT(C794,"mmmm")</x:f>
        <x:v>August</x:v>
      </x:c>
    </x:row>
    <x:row r="795" ht="20" customHeight="1">
      <x:c r="A795" s="4" t="inlineStr">
        <x:is>
          <x:t xml:space="preserve">LINE-00801</x:t>
        </x:is>
      </x:c>
      <x:c r="B795" s="4" t="inlineStr">
        <x:is>
          <x:t xml:space="preserve">ORD-2025-0501</x:t>
        </x:is>
      </x:c>
      <x:c r="C795" s="17" t="n">
        <x:v>45970</x:v>
      </x:c>
      <x:c r="D795" s="4" t="inlineStr">
        <x:is>
          <x:t xml:space="preserve">CUS-0120</x:t>
        </x:is>
      </x:c>
      <x:c r="E795" s="4" t="inlineStr">
        <x:is>
          <x:t xml:space="preserve">Laptop</x:t>
        </x:is>
      </x:c>
      <x:c r="F795" s="4" t="inlineStr">
        <x:is>
          <x:t xml:space="preserve">Computers</x:t>
        </x:is>
      </x:c>
      <x:c r="G795" s="4" t="inlineStr">
        <x:is>
          <x:t xml:space="preserve">San Francisco</x:t>
        </x:is>
      </x:c>
      <x:c r="H795" s="18" t="n">
        <x:v>2</x:v>
      </x:c>
      <x:c r="I795" s="19" t="n">
        <x:v>995.1</x:v>
      </x:c>
      <x:c r="J795" s="20" t="n">
        <x:v>0.1</x:v>
      </x:c>
      <x:c r="K795" s="4" t="inlineStr">
        <x:is>
          <x:t xml:space="preserve">PayPal</x:t>
        </x:is>
      </x:c>
      <x:c r="L795" s="19" t="n">
        <x:v>1990.2</x:v>
      </x:c>
      <x:c r="M795" s="19" t="n">
        <x:v>199.02</x:v>
      </x:c>
      <x:c r="N795" s="19" t="n">
        <x:v>1791.18</x:v>
      </x:c>
      <x:c r="O795" s="4" t="n">
        <x:f>YEAR(C795)</x:f>
        <x:v>2025</x:v>
      </x:c>
      <x:c r="P795" s="4" t="str">
        <x:f>TEXT(C795,"yyyy-mm")</x:f>
        <x:v>2025-11</x:v>
      </x:c>
      <x:c r="Q795" s="4" t="str">
        <x:f>TEXT(C795,"mmmm")</x:f>
        <x:v>November</x:v>
      </x:c>
    </x:row>
    <x:row r="796" ht="20" customHeight="1">
      <x:c r="A796" s="4" t="inlineStr">
        <x:is>
          <x:t xml:space="preserve">LINE-00802</x:t>
        </x:is>
      </x:c>
      <x:c r="B796" s="4" t="inlineStr">
        <x:is>
          <x:t xml:space="preserve">ORD-2025-0501</x:t>
        </x:is>
      </x:c>
      <x:c r="C796" s="17" t="n">
        <x:v>45970</x:v>
      </x:c>
      <x:c r="D796" s="4" t="inlineStr">
        <x:is>
          <x:t xml:space="preserve">CUS-0120</x:t>
        </x:is>
      </x:c>
      <x:c r="E796" s="4" t="inlineStr">
        <x:is>
          <x:t xml:space="preserve">Monitor</x:t>
        </x:is>
      </x:c>
      <x:c r="F796" s="4" t="inlineStr">
        <x:is>
          <x:t xml:space="preserve">Computers</x:t>
        </x:is>
      </x:c>
      <x:c r="G796" s="4" t="inlineStr">
        <x:is>
          <x:t xml:space="preserve">San Francisco</x:t>
        </x:is>
      </x:c>
      <x:c r="H796" s="18" t="n">
        <x:v>1</x:v>
      </x:c>
      <x:c r="I796" s="19" t="n">
        <x:v>285.17</x:v>
      </x:c>
      <x:c r="J796" s="20" t="n">
        <x:v>0</x:v>
      </x:c>
      <x:c r="K796" s="4" t="inlineStr">
        <x:is>
          <x:t xml:space="preserve">PayPal</x:t>
        </x:is>
      </x:c>
      <x:c r="L796" s="19" t="n">
        <x:v>285.17</x:v>
      </x:c>
      <x:c r="M796" s="19" t="n">
        <x:v>0</x:v>
      </x:c>
      <x:c r="N796" s="19" t="n">
        <x:v>285.17</x:v>
      </x:c>
      <x:c r="O796" s="4" t="n">
        <x:f>YEAR(C796)</x:f>
        <x:v>2025</x:v>
      </x:c>
      <x:c r="P796" s="4" t="str">
        <x:f>TEXT(C796,"yyyy-mm")</x:f>
        <x:v>2025-11</x:v>
      </x:c>
      <x:c r="Q796" s="4" t="str">
        <x:f>TEXT(C796,"mmmm")</x:f>
        <x:v>November</x:v>
      </x:c>
    </x:row>
    <x:row r="797" ht="20" customHeight="1">
      <x:c r="A797" s="4" t="inlineStr">
        <x:is>
          <x:t xml:space="preserve">LINE-00803</x:t>
        </x:is>
      </x:c>
      <x:c r="B797" s="4" t="inlineStr">
        <x:is>
          <x:t xml:space="preserve">ORD-2025-0501</x:t>
        </x:is>
      </x:c>
      <x:c r="C797" s="17" t="n">
        <x:v>45970</x:v>
      </x:c>
      <x:c r="D797" s="4" t="inlineStr">
        <x:is>
          <x:t xml:space="preserve">CUS-0120</x:t>
        </x:is>
      </x:c>
      <x:c r="E797" s="4" t="inlineStr">
        <x:is>
          <x:t xml:space="preserve">Desk Lamp</x:t>
        </x:is>
      </x:c>
      <x:c r="F797" s="4" t="inlineStr">
        <x:is>
          <x:t xml:space="preserve">Furniture</x:t>
        </x:is>
      </x:c>
      <x:c r="G797" s="4" t="inlineStr">
        <x:is>
          <x:t xml:space="preserve">San Francisco</x:t>
        </x:is>
      </x:c>
      <x:c r="H797" s="18" t="n">
        <x:v>1</x:v>
      </x:c>
      <x:c r="I797" s="19" t="n">
        <x:v>53.68</x:v>
      </x:c>
      <x:c r="J797" s="20" t="n">
        <x:v>0.1</x:v>
      </x:c>
      <x:c r="K797" s="4" t="inlineStr">
        <x:is>
          <x:t xml:space="preserve">PayPal</x:t>
        </x:is>
      </x:c>
      <x:c r="L797" s="19" t="n">
        <x:v>53.68</x:v>
      </x:c>
      <x:c r="M797" s="19" t="n">
        <x:v>5.37</x:v>
      </x:c>
      <x:c r="N797" s="19" t="n">
        <x:v>48.31</x:v>
      </x:c>
      <x:c r="O797" s="4" t="n">
        <x:f>YEAR(C797)</x:f>
        <x:v>2025</x:v>
      </x:c>
      <x:c r="P797" s="4" t="str">
        <x:f>TEXT(C797,"yyyy-mm")</x:f>
        <x:v>2025-11</x:v>
      </x:c>
      <x:c r="Q797" s="4" t="str">
        <x:f>TEXT(C797,"mmmm")</x:f>
        <x:v>November</x:v>
      </x:c>
    </x:row>
    <x:row r="798" ht="20" customHeight="1">
      <x:c r="A798" s="4" t="inlineStr">
        <x:is>
          <x:t xml:space="preserve">LINE-00804</x:t>
        </x:is>
      </x:c>
      <x:c r="B798" s="4" t="inlineStr">
        <x:is>
          <x:t xml:space="preserve">ORD-2025-0502</x:t>
        </x:is>
      </x:c>
      <x:c r="C798" s="17" t="n">
        <x:v>45766</x:v>
      </x:c>
      <x:c r="D798" s="4" t="inlineStr">
        <x:is>
          <x:t xml:space="preserve">CUS-0006</x:t>
        </x:is>
      </x:c>
      <x:c r="E798" s="4" t="inlineStr">
        <x:is>
          <x:t xml:space="preserve">USB-C Hub</x:t>
        </x:is>
      </x:c>
      <x:c r="F798" s="4" t="inlineStr">
        <x:is>
          <x:t xml:space="preserve">Accessories</x:t>
        </x:is>
      </x:c>
      <x:c r="G798" s="4" t="inlineStr">
        <x:is>
          <x:t xml:space="preserve">San Francisco</x:t>
        </x:is>
      </x:c>
      <x:c r="H798" s="18" t="n">
        <x:v>1</x:v>
      </x:c>
      <x:c r="I798" s="19" t="n">
        <x:v>65.06999999999999</x:v>
      </x:c>
      <x:c r="J798" s="20" t="n">
        <x:v>0</x:v>
      </x:c>
      <x:c r="K798" s="4" t="inlineStr">
        <x:is>
          <x:t xml:space="preserve">Debit Card</x:t>
        </x:is>
      </x:c>
      <x:c r="L798" s="19" t="n">
        <x:v>65.06999999999999</x:v>
      </x:c>
      <x:c r="M798" s="19" t="n">
        <x:v>0</x:v>
      </x:c>
      <x:c r="N798" s="19" t="n">
        <x:v>65.06999999999999</x:v>
      </x:c>
      <x:c r="O798" s="4" t="n">
        <x:f>YEAR(C798)</x:f>
        <x:v>2025</x:v>
      </x:c>
      <x:c r="P798" s="4" t="str">
        <x:f>TEXT(C798,"yyyy-mm")</x:f>
        <x:v>2025-04</x:v>
      </x:c>
      <x:c r="Q798" s="4" t="str">
        <x:f>TEXT(C798,"mmmm")</x:f>
        <x:v>April</x:v>
      </x:c>
    </x:row>
    <x:row r="799" ht="20" customHeight="1">
      <x:c r="A799" s="4" t="inlineStr">
        <x:is>
          <x:t xml:space="preserve">LINE-00805</x:t>
        </x:is>
      </x:c>
      <x:c r="B799" s="4" t="inlineStr">
        <x:is>
          <x:t xml:space="preserve">ORD-2025-0502</x:t>
        </x:is>
      </x:c>
      <x:c r="C799" s="17" t="n">
        <x:v>45766</x:v>
      </x:c>
      <x:c r="D799" s="4" t="inlineStr">
        <x:is>
          <x:t xml:space="preserve">CUS-0006</x:t>
        </x:is>
      </x:c>
      <x:c r="E799" s="4" t="inlineStr">
        <x:is>
          <x:t xml:space="preserve">Monitor</x:t>
        </x:is>
      </x:c>
      <x:c r="F799" s="4" t="inlineStr">
        <x:is>
          <x:t xml:space="preserve">Computers</x:t>
        </x:is>
      </x:c>
      <x:c r="G799" s="4" t="inlineStr">
        <x:is>
          <x:t xml:space="preserve">San Francisco</x:t>
        </x:is>
      </x:c>
      <x:c r="H799" s="18" t="n">
        <x:v>1</x:v>
      </x:c>
      <x:c r="I799" s="19" t="n">
        <x:v>288.33</x:v>
      </x:c>
      <x:c r="J799" s="20" t="n">
        <x:v>0</x:v>
      </x:c>
      <x:c r="K799" s="4" t="inlineStr">
        <x:is>
          <x:t xml:space="preserve">Debit Card</x:t>
        </x:is>
      </x:c>
      <x:c r="L799" s="19" t="n">
        <x:v>288.33</x:v>
      </x:c>
      <x:c r="M799" s="19" t="n">
        <x:v>0</x:v>
      </x:c>
      <x:c r="N799" s="19" t="n">
        <x:v>288.33</x:v>
      </x:c>
      <x:c r="O799" s="4" t="n">
        <x:f>YEAR(C799)</x:f>
        <x:v>2025</x:v>
      </x:c>
      <x:c r="P799" s="4" t="str">
        <x:f>TEXT(C799,"yyyy-mm")</x:f>
        <x:v>2025-04</x:v>
      </x:c>
      <x:c r="Q799" s="4" t="str">
        <x:f>TEXT(C799,"mmmm")</x:f>
        <x:v>April</x:v>
      </x:c>
    </x:row>
    <x:row r="800" ht="20" customHeight="1">
      <x:c r="A800" s="4" t="inlineStr">
        <x:is>
          <x:t xml:space="preserve">LINE-00806</x:t>
        </x:is>
      </x:c>
      <x:c r="B800" s="4" t="inlineStr">
        <x:is>
          <x:t xml:space="preserve">ORD-2025-0503</x:t>
        </x:is>
      </x:c>
      <x:c r="C800" s="17" t="n">
        <x:v>45949</x:v>
      </x:c>
      <x:c r="D800" s="4" t="inlineStr">
        <x:is>
          <x:t xml:space="preserve">CUS-0316</x:t>
        </x:is>
      </x:c>
      <x:c r="E800" s="4" t="inlineStr">
        <x:is>
          <x:t xml:space="preserve">Webcam</x:t>
        </x:is>
      </x:c>
      <x:c r="F800" s="4" t="inlineStr">
        <x:is>
          <x:t xml:space="preserve">Accessories</x:t>
        </x:is>
      </x:c>
      <x:c r="G800" s="4" t="inlineStr">
        <x:is>
          <x:t xml:space="preserve">New York</x:t>
        </x:is>
      </x:c>
      <x:c r="H800" s="18" t="n">
        <x:v>4</x:v>
      </x:c>
      <x:c r="I800" s="19" t="n">
        <x:v>89.7</x:v>
      </x:c>
      <x:c r="J800" s="20" t="n">
        <x:v>0.05</x:v>
      </x:c>
      <x:c r="K800" s="4" t="inlineStr">
        <x:is>
          <x:t xml:space="preserve">Debit Card</x:t>
        </x:is>
      </x:c>
      <x:c r="L800" s="19" t="n">
        <x:v>358.8</x:v>
      </x:c>
      <x:c r="M800" s="19" t="n">
        <x:v>17.94</x:v>
      </x:c>
      <x:c r="N800" s="19" t="n">
        <x:v>340.86</x:v>
      </x:c>
      <x:c r="O800" s="4" t="n">
        <x:f>YEAR(C800)</x:f>
        <x:v>2025</x:v>
      </x:c>
      <x:c r="P800" s="4" t="str">
        <x:f>TEXT(C800,"yyyy-mm")</x:f>
        <x:v>2025-10</x:v>
      </x:c>
      <x:c r="Q800" s="4" t="str">
        <x:f>TEXT(C800,"mmmm")</x:f>
        <x:v>October</x:v>
      </x:c>
    </x:row>
    <x:row r="801" ht="20" customHeight="1">
      <x:c r="A801" s="4" t="inlineStr">
        <x:is>
          <x:t xml:space="preserve">LINE-00807</x:t>
        </x:is>
      </x:c>
      <x:c r="B801" s="4" t="inlineStr">
        <x:is>
          <x:t xml:space="preserve">ORD-2025-0504</x:t>
        </x:is>
      </x:c>
      <x:c r="C801" s="17" t="n">
        <x:v>45676</x:v>
      </x:c>
      <x:c r="D801" s="4" t="inlineStr">
        <x:is>
          <x:t xml:space="preserve">CUS-0331</x:t>
        </x:is>
      </x:c>
      <x:c r="E801" s="4" t="inlineStr">
        <x:is>
          <x:t xml:space="preserve">Bluetooth Speaker</x:t>
        </x:is>
      </x:c>
      <x:c r="F801" s="4" t="inlineStr">
        <x:is>
          <x:t xml:space="preserve">Audio</x:t>
        </x:is>
      </x:c>
      <x:c r="G801" s="4" t="inlineStr">
        <x:is>
          <x:t xml:space="preserve">Chicago</x:t>
        </x:is>
      </x:c>
      <x:c r="H801" s="18" t="n">
        <x:v>4</x:v>
      </x:c>
      <x:c r="I801" s="19" t="n">
        <x:v>110.65</x:v>
      </x:c>
      <x:c r="J801" s="20" t="n">
        <x:v>0</x:v>
      </x:c>
      <x:c r="K801" s="4" t="inlineStr">
        <x:is>
          <x:t xml:space="preserve">Bank Transfer</x:t>
        </x:is>
      </x:c>
      <x:c r="L801" s="19" t="n">
        <x:v>442.6</x:v>
      </x:c>
      <x:c r="M801" s="19" t="n">
        <x:v>0</x:v>
      </x:c>
      <x:c r="N801" s="19" t="n">
        <x:v>442.6</x:v>
      </x:c>
      <x:c r="O801" s="4" t="n">
        <x:f>YEAR(C801)</x:f>
        <x:v>2025</x:v>
      </x:c>
      <x:c r="P801" s="4" t="str">
        <x:f>TEXT(C801,"yyyy-mm")</x:f>
        <x:v>2025-01</x:v>
      </x:c>
      <x:c r="Q801" s="4" t="str">
        <x:f>TEXT(C801,"mmmm")</x:f>
        <x:v>January</x:v>
      </x:c>
    </x:row>
    <x:row r="802" ht="20" customHeight="1">
      <x:c r="A802" s="4" t="inlineStr">
        <x:is>
          <x:t xml:space="preserve">LINE-00808</x:t>
        </x:is>
      </x:c>
      <x:c r="B802" s="4" t="inlineStr">
        <x:is>
          <x:t xml:space="preserve">ORD-2025-0505</x:t>
        </x:is>
      </x:c>
      <x:c r="C802" s="17" t="n">
        <x:v>45869</x:v>
      </x:c>
      <x:c r="D802" s="4" t="inlineStr">
        <x:is>
          <x:t xml:space="preserve">CUS-0029</x:t>
        </x:is>
      </x:c>
      <x:c r="E802" s="4" t="inlineStr">
        <x:is>
          <x:t xml:space="preserve">Office Chair</x:t>
        </x:is>
      </x:c>
      <x:c r="F802" s="4" t="inlineStr">
        <x:is>
          <x:t xml:space="preserve">Furniture</x:t>
        </x:is>
      </x:c>
      <x:c r="G802" s="4" t="inlineStr">
        <x:is>
          <x:t xml:space="preserve">Boston</x:t>
        </x:is>
      </x:c>
      <x:c r="H802" s="18" t="n">
        <x:v>2</x:v>
      </x:c>
      <x:c r="I802" s="19" t="n">
        <x:v>221.52</x:v>
      </x:c>
      <x:c r="J802" s="20" t="n">
        <x:v>0.05</x:v>
      </x:c>
      <x:c r="K802" s="4" t="inlineStr">
        <x:is>
          <x:t xml:space="preserve">PayPal</x:t>
        </x:is>
      </x:c>
      <x:c r="L802" s="19" t="n">
        <x:v>443.04</x:v>
      </x:c>
      <x:c r="M802" s="19" t="n">
        <x:v>22.15</x:v>
      </x:c>
      <x:c r="N802" s="19" t="n">
        <x:v>420.89</x:v>
      </x:c>
      <x:c r="O802" s="4" t="n">
        <x:f>YEAR(C802)</x:f>
        <x:v>2025</x:v>
      </x:c>
      <x:c r="P802" s="4" t="str">
        <x:f>TEXT(C802,"yyyy-mm")</x:f>
        <x:v>2025-07</x:v>
      </x:c>
      <x:c r="Q802" s="4" t="str">
        <x:f>TEXT(C802,"mmmm")</x:f>
        <x:v>July</x:v>
      </x:c>
    </x:row>
    <x:row r="803" ht="20" customHeight="1">
      <x:c r="A803" s="4" t="inlineStr">
        <x:is>
          <x:t xml:space="preserve">LINE-00809</x:t>
        </x:is>
      </x:c>
      <x:c r="B803" s="4" t="inlineStr">
        <x:is>
          <x:t xml:space="preserve">ORD-2025-0505</x:t>
        </x:is>
      </x:c>
      <x:c r="C803" s="17" t="n">
        <x:v>45869</x:v>
      </x:c>
      <x:c r="D803" s="4" t="inlineStr">
        <x:is>
          <x:t xml:space="preserve">CUS-0029</x:t>
        </x:is>
      </x:c>
      <x:c r="E803" s="4" t="inlineStr">
        <x:is>
          <x:t xml:space="preserve">Webcam</x:t>
        </x:is>
      </x:c>
      <x:c r="F803" s="4" t="inlineStr">
        <x:is>
          <x:t xml:space="preserve">Accessories</x:t>
        </x:is>
      </x:c>
      <x:c r="G803" s="4" t="inlineStr">
        <x:is>
          <x:t xml:space="preserve">Boston</x:t>
        </x:is>
      </x:c>
      <x:c r="H803" s="18" t="n">
        <x:v>1</x:v>
      </x:c>
      <x:c r="I803" s="19" t="n">
        <x:v>95.98999999999999</x:v>
      </x:c>
      <x:c r="J803" s="20" t="n">
        <x:v>0.1</x:v>
      </x:c>
      <x:c r="K803" s="4" t="inlineStr">
        <x:is>
          <x:t xml:space="preserve">PayPal</x:t>
        </x:is>
      </x:c>
      <x:c r="L803" s="19" t="n">
        <x:v>95.98999999999999</x:v>
      </x:c>
      <x:c r="M803" s="19" t="n">
        <x:v>9.6</x:v>
      </x:c>
      <x:c r="N803" s="19" t="n">
        <x:v>86.39</x:v>
      </x:c>
      <x:c r="O803" s="4" t="n">
        <x:f>YEAR(C803)</x:f>
        <x:v>2025</x:v>
      </x:c>
      <x:c r="P803" s="4" t="str">
        <x:f>TEXT(C803,"yyyy-mm")</x:f>
        <x:v>2025-07</x:v>
      </x:c>
      <x:c r="Q803" s="4" t="str">
        <x:f>TEXT(C803,"mmmm")</x:f>
        <x:v>July</x:v>
      </x:c>
    </x:row>
    <x:row r="804" ht="20" customHeight="1">
      <x:c r="A804" s="4" t="inlineStr">
        <x:is>
          <x:t xml:space="preserve">LINE-00810</x:t>
        </x:is>
      </x:c>
      <x:c r="B804" s="4" t="inlineStr">
        <x:is>
          <x:t xml:space="preserve">ORD-2025-0506</x:t>
        </x:is>
      </x:c>
      <x:c r="C804" s="17" t="n">
        <x:v>45691</x:v>
      </x:c>
      <x:c r="D804" s="4" t="inlineStr">
        <x:is>
          <x:t xml:space="preserve">CUS-0077</x:t>
        </x:is>
      </x:c>
      <x:c r="E804" s="4" t="inlineStr">
        <x:is>
          <x:t xml:space="preserve">Headphones</x:t>
        </x:is>
      </x:c>
      <x:c r="F804" s="4" t="inlineStr">
        <x:is>
          <x:t xml:space="preserve">Audio</x:t>
        </x:is>
      </x:c>
      <x:c r="G804" s="4" t="inlineStr">
        <x:is>
          <x:t xml:space="preserve">Austin</x:t>
        </x:is>
      </x:c>
      <x:c r="H804" s="18" t="n">
        <x:v>2</x:v>
      </x:c>
      <x:c r="I804" s="19" t="n">
        <x:v>137.12</x:v>
      </x:c>
      <x:c r="J804" s="20" t="n">
        <x:v>0.05</x:v>
      </x:c>
      <x:c r="K804" s="4" t="inlineStr">
        <x:is>
          <x:t xml:space="preserve">Credit Card</x:t>
        </x:is>
      </x:c>
      <x:c r="L804" s="19" t="n">
        <x:v>274.24</x:v>
      </x:c>
      <x:c r="M804" s="19" t="n">
        <x:v>13.71</x:v>
      </x:c>
      <x:c r="N804" s="19" t="n">
        <x:v>260.53</x:v>
      </x:c>
      <x:c r="O804" s="4" t="n">
        <x:f>YEAR(C804)</x:f>
        <x:v>2025</x:v>
      </x:c>
      <x:c r="P804" s="4" t="str">
        <x:f>TEXT(C804,"yyyy-mm")</x:f>
        <x:v>2025-02</x:v>
      </x:c>
      <x:c r="Q804" s="4" t="str">
        <x:f>TEXT(C804,"mmmm")</x:f>
        <x:v>February</x:v>
      </x:c>
    </x:row>
    <x:row r="805" ht="20" customHeight="1">
      <x:c r="A805" s="4" t="inlineStr">
        <x:is>
          <x:t xml:space="preserve">LINE-00811</x:t>
        </x:is>
      </x:c>
      <x:c r="B805" s="4" t="inlineStr">
        <x:is>
          <x:t xml:space="preserve">ORD-2025-0507</x:t>
        </x:is>
      </x:c>
      <x:c r="C805" s="17" t="n">
        <x:v>45857</x:v>
      </x:c>
      <x:c r="D805" s="4" t="inlineStr">
        <x:is>
          <x:t xml:space="preserve">CUS-0096</x:t>
        </x:is>
      </x:c>
      <x:c r="E805" s="4" t="inlineStr">
        <x:is>
          <x:t xml:space="preserve">USB-C Hub</x:t>
        </x:is>
      </x:c>
      <x:c r="F805" s="4" t="inlineStr">
        <x:is>
          <x:t xml:space="preserve">Accessories</x:t>
        </x:is>
      </x:c>
      <x:c r="G805" s="4" t="inlineStr">
        <x:is>
          <x:t xml:space="preserve">Boston</x:t>
        </x:is>
      </x:c>
      <x:c r="H805" s="18" t="n">
        <x:v>1</x:v>
      </x:c>
      <x:c r="I805" s="19" t="n">
        <x:v>60.7</x:v>
      </x:c>
      <x:c r="J805" s="20" t="n">
        <x:v>0.15</x:v>
      </x:c>
      <x:c r="K805" s="4" t="inlineStr">
        <x:is>
          <x:t xml:space="preserve">Credit Card</x:t>
        </x:is>
      </x:c>
      <x:c r="L805" s="19" t="n">
        <x:v>60.7</x:v>
      </x:c>
      <x:c r="M805" s="19" t="n">
        <x:v>9.1</x:v>
      </x:c>
      <x:c r="N805" s="19" t="n">
        <x:v>51.6</x:v>
      </x:c>
      <x:c r="O805" s="4" t="n">
        <x:f>YEAR(C805)</x:f>
        <x:v>2025</x:v>
      </x:c>
      <x:c r="P805" s="4" t="str">
        <x:f>TEXT(C805,"yyyy-mm")</x:f>
        <x:v>2025-07</x:v>
      </x:c>
      <x:c r="Q805" s="4" t="str">
        <x:f>TEXT(C805,"mmmm")</x:f>
        <x:v>July</x:v>
      </x:c>
    </x:row>
    <x:row r="806" ht="20" customHeight="1">
      <x:c r="A806" s="4" t="inlineStr">
        <x:is>
          <x:t xml:space="preserve">LINE-00812</x:t>
        </x:is>
      </x:c>
      <x:c r="B806" s="4" t="inlineStr">
        <x:is>
          <x:t xml:space="preserve">ORD-2025-0507</x:t>
        </x:is>
      </x:c>
      <x:c r="C806" s="17" t="n">
        <x:v>45857</x:v>
      </x:c>
      <x:c r="D806" s="4" t="inlineStr">
        <x:is>
          <x:t xml:space="preserve">CUS-0096</x:t>
        </x:is>
      </x:c>
      <x:c r="E806" s="4" t="inlineStr">
        <x:is>
          <x:t xml:space="preserve">Webcam</x:t>
        </x:is>
      </x:c>
      <x:c r="F806" s="4" t="inlineStr">
        <x:is>
          <x:t xml:space="preserve">Accessories</x:t>
        </x:is>
      </x:c>
      <x:c r="G806" s="4" t="inlineStr">
        <x:is>
          <x:t xml:space="preserve">Boston</x:t>
        </x:is>
      </x:c>
      <x:c r="H806" s="18" t="n">
        <x:v>1</x:v>
      </x:c>
      <x:c r="I806" s="19" t="n">
        <x:v>94.73999999999999</x:v>
      </x:c>
      <x:c r="J806" s="20" t="n">
        <x:v>0</x:v>
      </x:c>
      <x:c r="K806" s="4" t="inlineStr">
        <x:is>
          <x:t xml:space="preserve">Credit Card</x:t>
        </x:is>
      </x:c>
      <x:c r="L806" s="19" t="n">
        <x:v>94.73999999999999</x:v>
      </x:c>
      <x:c r="M806" s="19" t="n">
        <x:v>0</x:v>
      </x:c>
      <x:c r="N806" s="19" t="n">
        <x:v>94.73999999999999</x:v>
      </x:c>
      <x:c r="O806" s="4" t="n">
        <x:f>YEAR(C806)</x:f>
        <x:v>2025</x:v>
      </x:c>
      <x:c r="P806" s="4" t="str">
        <x:f>TEXT(C806,"yyyy-mm")</x:f>
        <x:v>2025-07</x:v>
      </x:c>
      <x:c r="Q806" s="4" t="str">
        <x:f>TEXT(C806,"mmmm")</x:f>
        <x:v>July</x:v>
      </x:c>
    </x:row>
    <x:row r="807" ht="20" customHeight="1">
      <x:c r="A807" s="4" t="inlineStr">
        <x:is>
          <x:t xml:space="preserve">LINE-00813</x:t>
        </x:is>
      </x:c>
      <x:c r="B807" s="4" t="inlineStr">
        <x:is>
          <x:t xml:space="preserve">ORD-2025-0507</x:t>
        </x:is>
      </x:c>
      <x:c r="C807" s="17" t="n">
        <x:v>45857</x:v>
      </x:c>
      <x:c r="D807" s="4" t="inlineStr">
        <x:is>
          <x:t xml:space="preserve">CUS-0096</x:t>
        </x:is>
      </x:c>
      <x:c r="E807" s="4" t="inlineStr">
        <x:is>
          <x:t xml:space="preserve">Laptop</x:t>
        </x:is>
      </x:c>
      <x:c r="F807" s="4" t="inlineStr">
        <x:is>
          <x:t xml:space="preserve">Computers</x:t>
        </x:is>
      </x:c>
      <x:c r="G807" s="4" t="inlineStr">
        <x:is>
          <x:t xml:space="preserve">Boston</x:t>
        </x:is>
      </x:c>
      <x:c r="H807" s="18" t="n">
        <x:v>2</x:v>
      </x:c>
      <x:c r="I807" s="19" t="n">
        <x:v>900.6</x:v>
      </x:c>
      <x:c r="J807" s="20" t="n">
        <x:v>0</x:v>
      </x:c>
      <x:c r="K807" s="4" t="inlineStr">
        <x:is>
          <x:t xml:space="preserve">Credit Card</x:t>
        </x:is>
      </x:c>
      <x:c r="L807" s="19" t="n">
        <x:v>1801.2</x:v>
      </x:c>
      <x:c r="M807" s="19" t="n">
        <x:v>0</x:v>
      </x:c>
      <x:c r="N807" s="19" t="n">
        <x:v>1801.2</x:v>
      </x:c>
      <x:c r="O807" s="4" t="n">
        <x:f>YEAR(C807)</x:f>
        <x:v>2025</x:v>
      </x:c>
      <x:c r="P807" s="4" t="str">
        <x:f>TEXT(C807,"yyyy-mm")</x:f>
        <x:v>2025-07</x:v>
      </x:c>
      <x:c r="Q807" s="4" t="str">
        <x:f>TEXT(C807,"mmmm")</x:f>
        <x:v>July</x:v>
      </x:c>
    </x:row>
    <x:row r="808" ht="20" customHeight="1">
      <x:c r="A808" s="4" t="inlineStr">
        <x:is>
          <x:t xml:space="preserve">LINE-00814</x:t>
        </x:is>
      </x:c>
      <x:c r="B808" s="4" t="inlineStr">
        <x:is>
          <x:t xml:space="preserve">ORD-2025-0508</x:t>
        </x:is>
      </x:c>
      <x:c r="C808" s="17" t="n">
        <x:v>45677</x:v>
      </x:c>
      <x:c r="D808" s="4" t="inlineStr">
        <x:is>
          <x:t xml:space="preserve">CUS-0104</x:t>
        </x:is>
      </x:c>
      <x:c r="E808" s="4" t="inlineStr">
        <x:is>
          <x:t xml:space="preserve">Bluetooth Speaker</x:t>
        </x:is>
      </x:c>
      <x:c r="F808" s="4" t="inlineStr">
        <x:is>
          <x:t xml:space="preserve">Audio</x:t>
        </x:is>
      </x:c>
      <x:c r="G808" s="4" t="inlineStr">
        <x:is>
          <x:t xml:space="preserve">New York</x:t>
        </x:is>
      </x:c>
      <x:c r="H808" s="18" t="n">
        <x:v>1</x:v>
      </x:c>
      <x:c r="I808" s="19" t="n">
        <x:v>107.19</x:v>
      </x:c>
      <x:c r="J808" s="20" t="n">
        <x:v>0.05</x:v>
      </x:c>
      <x:c r="K808" s="4" t="inlineStr">
        <x:is>
          <x:t xml:space="preserve">Bank Transfer</x:t>
        </x:is>
      </x:c>
      <x:c r="L808" s="19" t="n">
        <x:v>107.19</x:v>
      </x:c>
      <x:c r="M808" s="19" t="n">
        <x:v>5.36</x:v>
      </x:c>
      <x:c r="N808" s="19" t="n">
        <x:v>101.83</x:v>
      </x:c>
      <x:c r="O808" s="4" t="n">
        <x:f>YEAR(C808)</x:f>
        <x:v>2025</x:v>
      </x:c>
      <x:c r="P808" s="4" t="str">
        <x:f>TEXT(C808,"yyyy-mm")</x:f>
        <x:v>2025-01</x:v>
      </x:c>
      <x:c r="Q808" s="4" t="str">
        <x:f>TEXT(C808,"mmmm")</x:f>
        <x:v>January</x:v>
      </x:c>
    </x:row>
    <x:row r="809" ht="20" customHeight="1">
      <x:c r="A809" s="4" t="inlineStr">
        <x:is>
          <x:t xml:space="preserve">LINE-00815</x:t>
        </x:is>
      </x:c>
      <x:c r="B809" s="4" t="inlineStr">
        <x:is>
          <x:t xml:space="preserve">ORD-2025-0508</x:t>
        </x:is>
      </x:c>
      <x:c r="C809" s="17" t="n">
        <x:v>45677</x:v>
      </x:c>
      <x:c r="D809" s="4" t="inlineStr">
        <x:is>
          <x:t xml:space="preserve">CUS-0104</x:t>
        </x:is>
      </x:c>
      <x:c r="E809" s="4" t="inlineStr">
        <x:is>
          <x:t xml:space="preserve">External SSD</x:t>
        </x:is>
      </x:c>
      <x:c r="F809" s="4" t="inlineStr">
        <x:is>
          <x:t xml:space="preserve">Storage</x:t>
        </x:is>
      </x:c>
      <x:c r="G809" s="4" t="inlineStr">
        <x:is>
          <x:t xml:space="preserve">New York</x:t>
        </x:is>
      </x:c>
      <x:c r="H809" s="18" t="n">
        <x:v>4</x:v>
      </x:c>
      <x:c r="I809" s="19" t="n">
        <x:v>145.45</x:v>
      </x:c>
      <x:c r="J809" s="20" t="n">
        <x:v>0</x:v>
      </x:c>
      <x:c r="K809" s="4" t="inlineStr">
        <x:is>
          <x:t xml:space="preserve">Bank Transfer</x:t>
        </x:is>
      </x:c>
      <x:c r="L809" s="19" t="n">
        <x:v>581.8</x:v>
      </x:c>
      <x:c r="M809" s="19" t="n">
        <x:v>0</x:v>
      </x:c>
      <x:c r="N809" s="19" t="n">
        <x:v>581.8</x:v>
      </x:c>
      <x:c r="O809" s="4" t="n">
        <x:f>YEAR(C809)</x:f>
        <x:v>2025</x:v>
      </x:c>
      <x:c r="P809" s="4" t="str">
        <x:f>TEXT(C809,"yyyy-mm")</x:f>
        <x:v>2025-01</x:v>
      </x:c>
      <x:c r="Q809" s="4" t="str">
        <x:f>TEXT(C809,"mmmm")</x:f>
        <x:v>January</x:v>
      </x:c>
    </x:row>
    <x:row r="810" ht="20" customHeight="1">
      <x:c r="A810" s="4" t="inlineStr">
        <x:is>
          <x:t xml:space="preserve">LINE-00816</x:t>
        </x:is>
      </x:c>
      <x:c r="B810" s="4" t="inlineStr">
        <x:is>
          <x:t xml:space="preserve">ORD-2025-0509</x:t>
        </x:is>
      </x:c>
      <x:c r="C810" s="17" t="n">
        <x:v>45708</x:v>
      </x:c>
      <x:c r="D810" s="4" t="inlineStr">
        <x:is>
          <x:t xml:space="preserve">CUS-0265</x:t>
        </x:is>
      </x:c>
      <x:c r="E810" s="4" t="inlineStr">
        <x:is>
          <x:t xml:space="preserve">Laptop</x:t>
        </x:is>
      </x:c>
      <x:c r="F810" s="4" t="inlineStr">
        <x:is>
          <x:t xml:space="preserve">Computers</x:t>
        </x:is>
      </x:c>
      <x:c r="G810" s="4" t="inlineStr">
        <x:is>
          <x:t xml:space="preserve">San Francisco</x:t>
        </x:is>
      </x:c>
      <x:c r="H810" s="18" t="n">
        <x:v>2</x:v>
      </x:c>
      <x:c r="I810" s="19" t="n">
        <x:v>982.48</x:v>
      </x:c>
      <x:c r="J810" s="20" t="n">
        <x:v>0.05</x:v>
      </x:c>
      <x:c r="K810" s="4" t="inlineStr">
        <x:is>
          <x:t xml:space="preserve">Debit Card</x:t>
        </x:is>
      </x:c>
      <x:c r="L810" s="19" t="n">
        <x:v>1964.96</x:v>
      </x:c>
      <x:c r="M810" s="19" t="n">
        <x:v>98.25</x:v>
      </x:c>
      <x:c r="N810" s="19" t="n">
        <x:v>1866.71</x:v>
      </x:c>
      <x:c r="O810" s="4" t="n">
        <x:f>YEAR(C810)</x:f>
        <x:v>2025</x:v>
      </x:c>
      <x:c r="P810" s="4" t="str">
        <x:f>TEXT(C810,"yyyy-mm")</x:f>
        <x:v>2025-02</x:v>
      </x:c>
      <x:c r="Q810" s="4" t="str">
        <x:f>TEXT(C810,"mmmm")</x:f>
        <x:v>February</x:v>
      </x:c>
    </x:row>
    <x:row r="811" ht="20" customHeight="1">
      <x:c r="A811" s="4" t="inlineStr">
        <x:is>
          <x:t xml:space="preserve">LINE-00817</x:t>
        </x:is>
      </x:c>
      <x:c r="B811" s="4" t="inlineStr">
        <x:is>
          <x:t xml:space="preserve">ORD-2025-0510</x:t>
        </x:is>
      </x:c>
      <x:c r="C811" s="17" t="n">
        <x:v>45660</x:v>
      </x:c>
      <x:c r="D811" s="4" t="inlineStr">
        <x:is>
          <x:t xml:space="preserve">CUS-0160</x:t>
        </x:is>
      </x:c>
      <x:c r="E811" s="4" t="inlineStr">
        <x:is>
          <x:t xml:space="preserve">Laptop</x:t>
        </x:is>
      </x:c>
      <x:c r="F811" s="4" t="inlineStr">
        <x:is>
          <x:t xml:space="preserve">Computers</x:t>
        </x:is>
      </x:c>
      <x:c r="G811" s="4" t="inlineStr">
        <x:is>
          <x:t xml:space="preserve">New York</x:t>
        </x:is>
      </x:c>
      <x:c r="H811" s="18" t="n">
        <x:v>1</x:v>
      </x:c>
      <x:c r="I811" s="19" t="n">
        <x:v>990.46</x:v>
      </x:c>
      <x:c r="J811" s="20" t="n">
        <x:v>0.1</x:v>
      </x:c>
      <x:c r="K811" s="4" t="inlineStr">
        <x:is>
          <x:t xml:space="preserve">Credit Card</x:t>
        </x:is>
      </x:c>
      <x:c r="L811" s="19" t="n">
        <x:v>990.46</x:v>
      </x:c>
      <x:c r="M811" s="19" t="n">
        <x:v>99.05</x:v>
      </x:c>
      <x:c r="N811" s="19" t="n">
        <x:v>891.41</x:v>
      </x:c>
      <x:c r="O811" s="4" t="n">
        <x:f>YEAR(C811)</x:f>
        <x:v>2025</x:v>
      </x:c>
      <x:c r="P811" s="4" t="str">
        <x:f>TEXT(C811,"yyyy-mm")</x:f>
        <x:v>2025-01</x:v>
      </x:c>
      <x:c r="Q811" s="4" t="str">
        <x:f>TEXT(C811,"mmmm")</x:f>
        <x:v>January</x:v>
      </x:c>
    </x:row>
    <x:row r="812" ht="20" customHeight="1">
      <x:c r="A812" s="4" t="inlineStr">
        <x:is>
          <x:t xml:space="preserve">LINE-00818</x:t>
        </x:is>
      </x:c>
      <x:c r="B812" s="4" t="inlineStr">
        <x:is>
          <x:t xml:space="preserve">ORD-2025-0511</x:t>
        </x:is>
      </x:c>
      <x:c r="C812" s="17" t="n">
        <x:v>45669</x:v>
      </x:c>
      <x:c r="D812" s="4" t="inlineStr">
        <x:is>
          <x:t xml:space="preserve">CUS-0296</x:t>
        </x:is>
      </x:c>
      <x:c r="E812" s="4" t="inlineStr">
        <x:is>
          <x:t xml:space="preserve">Wireless Mouse</x:t>
        </x:is>
      </x:c>
      <x:c r="F812" s="4" t="inlineStr">
        <x:is>
          <x:t xml:space="preserve">Accessories</x:t>
        </x:is>
      </x:c>
      <x:c r="G812" s="4" t="inlineStr">
        <x:is>
          <x:t xml:space="preserve">Austin</x:t>
        </x:is>
      </x:c>
      <x:c r="H812" s="18" t="n">
        <x:v>1</x:v>
      </x:c>
      <x:c r="I812" s="19" t="n">
        <x:v>45.23</x:v>
      </x:c>
      <x:c r="J812" s="20" t="n">
        <x:v>0.1</x:v>
      </x:c>
      <x:c r="K812" s="4" t="inlineStr">
        <x:is>
          <x:t xml:space="preserve">Debit Card</x:t>
        </x:is>
      </x:c>
      <x:c r="L812" s="19" t="n">
        <x:v>45.23</x:v>
      </x:c>
      <x:c r="M812" s="19" t="n">
        <x:v>4.52</x:v>
      </x:c>
      <x:c r="N812" s="19" t="n">
        <x:v>40.71</x:v>
      </x:c>
      <x:c r="O812" s="4" t="n">
        <x:f>YEAR(C812)</x:f>
        <x:v>2025</x:v>
      </x:c>
      <x:c r="P812" s="4" t="str">
        <x:f>TEXT(C812,"yyyy-mm")</x:f>
        <x:v>2025-01</x:v>
      </x:c>
      <x:c r="Q812" s="4" t="str">
        <x:f>TEXT(C812,"mmmm")</x:f>
        <x:v>January</x:v>
      </x:c>
    </x:row>
    <x:row r="813" ht="20" customHeight="1">
      <x:c r="A813" s="4" t="inlineStr">
        <x:is>
          <x:t xml:space="preserve">LINE-00819</x:t>
        </x:is>
      </x:c>
      <x:c r="B813" s="4" t="inlineStr">
        <x:is>
          <x:t xml:space="preserve">ORD-2025-0512</x:t>
        </x:is>
      </x:c>
      <x:c r="C813" s="17" t="n">
        <x:v>46001</x:v>
      </x:c>
      <x:c r="D813" s="4" t="inlineStr">
        <x:is>
          <x:t xml:space="preserve">CUS-0061</x:t>
        </x:is>
      </x:c>
      <x:c r="E813" s="4" t="inlineStr">
        <x:is>
          <x:t xml:space="preserve">Monitor</x:t>
        </x:is>
      </x:c>
      <x:c r="F813" s="4" t="inlineStr">
        <x:is>
          <x:t xml:space="preserve">Computers</x:t>
        </x:is>
      </x:c>
      <x:c r="G813" s="4" t="inlineStr">
        <x:is>
          <x:t xml:space="preserve">Austin</x:t>
        </x:is>
      </x:c>
      <x:c r="H813" s="18" t="n">
        <x:v>1</x:v>
      </x:c>
      <x:c r="I813" s="19" t="n">
        <x:v>285.51</x:v>
      </x:c>
      <x:c r="J813" s="20" t="n">
        <x:v>0.05</x:v>
      </x:c>
      <x:c r="K813" s="4" t="inlineStr">
        <x:is>
          <x:t xml:space="preserve">Debit Card</x:t>
        </x:is>
      </x:c>
      <x:c r="L813" s="19" t="n">
        <x:v>285.51</x:v>
      </x:c>
      <x:c r="M813" s="19" t="n">
        <x:v>14.28</x:v>
      </x:c>
      <x:c r="N813" s="19" t="n">
        <x:v>271.23</x:v>
      </x:c>
      <x:c r="O813" s="4" t="n">
        <x:f>YEAR(C813)</x:f>
        <x:v>2025</x:v>
      </x:c>
      <x:c r="P813" s="4" t="str">
        <x:f>TEXT(C813,"yyyy-mm")</x:f>
        <x:v>2025-12</x:v>
      </x:c>
      <x:c r="Q813" s="4" t="str">
        <x:f>TEXT(C813,"mmmm")</x:f>
        <x:v>December</x:v>
      </x:c>
    </x:row>
    <x:row r="814" ht="20" customHeight="1">
      <x:c r="A814" s="4" t="inlineStr">
        <x:is>
          <x:t xml:space="preserve">LINE-00820</x:t>
        </x:is>
      </x:c>
      <x:c r="B814" s="4" t="inlineStr">
        <x:is>
          <x:t xml:space="preserve">ORD-2025-0513</x:t>
        </x:is>
      </x:c>
      <x:c r="C814" s="17" t="n">
        <x:v>45763</x:v>
      </x:c>
      <x:c r="D814" s="4" t="inlineStr">
        <x:is>
          <x:t xml:space="preserve">CUS-0278</x:t>
        </x:is>
      </x:c>
      <x:c r="E814" s="4" t="inlineStr">
        <x:is>
          <x:t xml:space="preserve">Desk Lamp</x:t>
        </x:is>
      </x:c>
      <x:c r="F814" s="4" t="inlineStr">
        <x:is>
          <x:t xml:space="preserve">Furniture</x:t>
        </x:is>
      </x:c>
      <x:c r="G814" s="4" t="inlineStr">
        <x:is>
          <x:t xml:space="preserve">Austin</x:t>
        </x:is>
      </x:c>
      <x:c r="H814" s="18" t="n">
        <x:v>3</x:v>
      </x:c>
      <x:c r="I814" s="19" t="n">
        <x:v>55.65</x:v>
      </x:c>
      <x:c r="J814" s="20" t="n">
        <x:v>0</x:v>
      </x:c>
      <x:c r="K814" s="4" t="inlineStr">
        <x:is>
          <x:t xml:space="preserve">PayPal</x:t>
        </x:is>
      </x:c>
      <x:c r="L814" s="19" t="n">
        <x:v>166.95</x:v>
      </x:c>
      <x:c r="M814" s="19" t="n">
        <x:v>0</x:v>
      </x:c>
      <x:c r="N814" s="19" t="n">
        <x:v>166.95</x:v>
      </x:c>
      <x:c r="O814" s="4" t="n">
        <x:f>YEAR(C814)</x:f>
        <x:v>2025</x:v>
      </x:c>
      <x:c r="P814" s="4" t="str">
        <x:f>TEXT(C814,"yyyy-mm")</x:f>
        <x:v>2025-04</x:v>
      </x:c>
      <x:c r="Q814" s="4" t="str">
        <x:f>TEXT(C814,"mmmm")</x:f>
        <x:v>April</x:v>
      </x:c>
    </x:row>
    <x:row r="815" ht="20" customHeight="1">
      <x:c r="A815" s="4" t="inlineStr">
        <x:is>
          <x:t xml:space="preserve">LINE-00821</x:t>
        </x:is>
      </x:c>
      <x:c r="B815" s="4" t="inlineStr">
        <x:is>
          <x:t xml:space="preserve">ORD-2025-0514</x:t>
        </x:is>
      </x:c>
      <x:c r="C815" s="17" t="n">
        <x:v>45817</x:v>
      </x:c>
      <x:c r="D815" s="4" t="inlineStr">
        <x:is>
          <x:t xml:space="preserve">CUS-0314</x:t>
        </x:is>
      </x:c>
      <x:c r="E815" s="4" t="inlineStr">
        <x:is>
          <x:t xml:space="preserve">Laptop</x:t>
        </x:is>
      </x:c>
      <x:c r="F815" s="4" t="inlineStr">
        <x:is>
          <x:t xml:space="preserve">Computers</x:t>
        </x:is>
      </x:c>
      <x:c r="G815" s="4" t="inlineStr">
        <x:is>
          <x:t xml:space="preserve">Austin</x:t>
        </x:is>
      </x:c>
      <x:c r="H815" s="18" t="n">
        <x:v>2</x:v>
      </x:c>
      <x:c r="I815" s="19" t="n">
        <x:v>976.6799999999999</x:v>
      </x:c>
      <x:c r="J815" s="20" t="n">
        <x:v>0</x:v>
      </x:c>
      <x:c r="K815" s="4" t="inlineStr">
        <x:is>
          <x:t xml:space="preserve">Bank Transfer</x:t>
        </x:is>
      </x:c>
      <x:c r="L815" s="19" t="n">
        <x:v>1953.36</x:v>
      </x:c>
      <x:c r="M815" s="19" t="n">
        <x:v>0</x:v>
      </x:c>
      <x:c r="N815" s="19" t="n">
        <x:v>1953.36</x:v>
      </x:c>
      <x:c r="O815" s="4" t="n">
        <x:f>YEAR(C815)</x:f>
        <x:v>2025</x:v>
      </x:c>
      <x:c r="P815" s="4" t="str">
        <x:f>TEXT(C815,"yyyy-mm")</x:f>
        <x:v>2025-06</x:v>
      </x:c>
      <x:c r="Q815" s="4" t="str">
        <x:f>TEXT(C815,"mmmm")</x:f>
        <x:v>June</x:v>
      </x:c>
    </x:row>
    <x:row r="816" ht="20" customHeight="1">
      <x:c r="A816" s="4" t="inlineStr">
        <x:is>
          <x:t xml:space="preserve">LINE-00822</x:t>
        </x:is>
      </x:c>
      <x:c r="B816" s="4" t="inlineStr">
        <x:is>
          <x:t xml:space="preserve">ORD-2025-0515</x:t>
        </x:is>
      </x:c>
      <x:c r="C816" s="17" t="n">
        <x:v>45685</x:v>
      </x:c>
      <x:c r="D816" s="4" t="inlineStr">
        <x:is>
          <x:t xml:space="preserve">CUS-0045</x:t>
        </x:is>
      </x:c>
      <x:c r="E816" s="4" t="inlineStr">
        <x:is>
          <x:t xml:space="preserve">USB Flash Drive</x:t>
        </x:is>
      </x:c>
      <x:c r="F816" s="4" t="inlineStr">
        <x:is>
          <x:t xml:space="preserve">Storage</x:t>
        </x:is>
      </x:c>
      <x:c r="G816" s="4" t="inlineStr">
        <x:is>
          <x:t xml:space="preserve">Seattle</x:t>
        </x:is>
      </x:c>
      <x:c r="H816" s="18" t="n">
        <x:v>4</x:v>
      </x:c>
      <x:c r="I816" s="19" t="n">
        <x:v>30.62</x:v>
      </x:c>
      <x:c r="J816" s="20" t="n">
        <x:v>0.05</x:v>
      </x:c>
      <x:c r="K816" s="4" t="inlineStr">
        <x:is>
          <x:t xml:space="preserve">Bank Transfer</x:t>
        </x:is>
      </x:c>
      <x:c r="L816" s="19" t="n">
        <x:v>122.48</x:v>
      </x:c>
      <x:c r="M816" s="19" t="n">
        <x:v>6.12</x:v>
      </x:c>
      <x:c r="N816" s="19" t="n">
        <x:v>116.36</x:v>
      </x:c>
      <x:c r="O816" s="4" t="n">
        <x:f>YEAR(C816)</x:f>
        <x:v>2025</x:v>
      </x:c>
      <x:c r="P816" s="4" t="str">
        <x:f>TEXT(C816,"yyyy-mm")</x:f>
        <x:v>2025-01</x:v>
      </x:c>
      <x:c r="Q816" s="4" t="str">
        <x:f>TEXT(C816,"mmmm")</x:f>
        <x:v>January</x:v>
      </x:c>
    </x:row>
    <x:row r="817" ht="20" customHeight="1">
      <x:c r="A817" s="4" t="inlineStr">
        <x:is>
          <x:t xml:space="preserve">LINE-00823</x:t>
        </x:is>
      </x:c>
      <x:c r="B817" s="4" t="inlineStr">
        <x:is>
          <x:t xml:space="preserve">ORD-2025-0516</x:t>
        </x:is>
      </x:c>
      <x:c r="C817" s="17" t="n">
        <x:v>45886</x:v>
      </x:c>
      <x:c r="D817" s="4" t="inlineStr">
        <x:is>
          <x:t xml:space="preserve">CUS-0316</x:t>
        </x:is>
      </x:c>
      <x:c r="E817" s="4" t="inlineStr">
        <x:is>
          <x:t xml:space="preserve">Wireless Mouse</x:t>
        </x:is>
      </x:c>
      <x:c r="F817" s="4" t="inlineStr">
        <x:is>
          <x:t xml:space="preserve">Accessories</x:t>
        </x:is>
      </x:c>
      <x:c r="G817" s="4" t="inlineStr">
        <x:is>
          <x:t xml:space="preserve">Austin</x:t>
        </x:is>
      </x:c>
      <x:c r="H817" s="18" t="n">
        <x:v>3</x:v>
      </x:c>
      <x:c r="I817" s="19" t="n">
        <x:v>46.23</x:v>
      </x:c>
      <x:c r="J817" s="20" t="n">
        <x:v>0.05</x:v>
      </x:c>
      <x:c r="K817" s="4" t="inlineStr">
        <x:is>
          <x:t xml:space="preserve">PayPal</x:t>
        </x:is>
      </x:c>
      <x:c r="L817" s="19" t="n">
        <x:v>138.69</x:v>
      </x:c>
      <x:c r="M817" s="19" t="n">
        <x:v>6.93</x:v>
      </x:c>
      <x:c r="N817" s="19" t="n">
        <x:v>131.76</x:v>
      </x:c>
      <x:c r="O817" s="4" t="n">
        <x:f>YEAR(C817)</x:f>
        <x:v>2025</x:v>
      </x:c>
      <x:c r="P817" s="4" t="str">
        <x:f>TEXT(C817,"yyyy-mm")</x:f>
        <x:v>2025-08</x:v>
      </x:c>
      <x:c r="Q817" s="4" t="str">
        <x:f>TEXT(C817,"mmmm")</x:f>
        <x:v>August</x:v>
      </x:c>
    </x:row>
    <x:row r="818" ht="20" customHeight="1">
      <x:c r="A818" s="4" t="inlineStr">
        <x:is>
          <x:t xml:space="preserve">LINE-00824</x:t>
        </x:is>
      </x:c>
      <x:c r="B818" s="4" t="inlineStr">
        <x:is>
          <x:t xml:space="preserve">ORD-2025-0517</x:t>
        </x:is>
      </x:c>
      <x:c r="C818" s="17" t="n">
        <x:v>45896</x:v>
      </x:c>
      <x:c r="D818" s="4" t="inlineStr">
        <x:is>
          <x:t xml:space="preserve">CUS-0291</x:t>
        </x:is>
      </x:c>
      <x:c r="E818" s="4" t="inlineStr">
        <x:is>
          <x:t xml:space="preserve">Desk Lamp</x:t>
        </x:is>
      </x:c>
      <x:c r="F818" s="4" t="inlineStr">
        <x:is>
          <x:t xml:space="preserve">Furniture</x:t>
        </x:is>
      </x:c>
      <x:c r="G818" s="4" t="inlineStr">
        <x:is>
          <x:t xml:space="preserve">Chicago</x:t>
        </x:is>
      </x:c>
      <x:c r="H818" s="18" t="n">
        <x:v>1</x:v>
      </x:c>
      <x:c r="I818" s="19" t="n">
        <x:v>53.33</x:v>
      </x:c>
      <x:c r="J818" s="20" t="n">
        <x:v>0.05</x:v>
      </x:c>
      <x:c r="K818" s="4" t="inlineStr">
        <x:is>
          <x:t xml:space="preserve">Credit Card</x:t>
        </x:is>
      </x:c>
      <x:c r="L818" s="19" t="n">
        <x:v>53.33</x:v>
      </x:c>
      <x:c r="M818" s="19" t="n">
        <x:v>2.67</x:v>
      </x:c>
      <x:c r="N818" s="19" t="n">
        <x:v>50.66</x:v>
      </x:c>
      <x:c r="O818" s="4" t="n">
        <x:f>YEAR(C818)</x:f>
        <x:v>2025</x:v>
      </x:c>
      <x:c r="P818" s="4" t="str">
        <x:f>TEXT(C818,"yyyy-mm")</x:f>
        <x:v>2025-08</x:v>
      </x:c>
      <x:c r="Q818" s="4" t="str">
        <x:f>TEXT(C818,"mmmm")</x:f>
        <x:v>August</x:v>
      </x:c>
    </x:row>
    <x:row r="819" ht="20" customHeight="1">
      <x:c r="A819" s="4" t="inlineStr">
        <x:is>
          <x:t xml:space="preserve">LINE-00825</x:t>
        </x:is>
      </x:c>
      <x:c r="B819" s="4" t="inlineStr">
        <x:is>
          <x:t xml:space="preserve">ORD-2025-0517</x:t>
        </x:is>
      </x:c>
      <x:c r="C819" s="17" t="n">
        <x:v>45896</x:v>
      </x:c>
      <x:c r="D819" s="4" t="inlineStr">
        <x:is>
          <x:t xml:space="preserve">CUS-0291</x:t>
        </x:is>
      </x:c>
      <x:c r="E819" s="4" t="inlineStr">
        <x:is>
          <x:t xml:space="preserve">Bluetooth Speaker</x:t>
        </x:is>
      </x:c>
      <x:c r="F819" s="4" t="inlineStr">
        <x:is>
          <x:t xml:space="preserve">Audio</x:t>
        </x:is>
      </x:c>
      <x:c r="G819" s="4" t="inlineStr">
        <x:is>
          <x:t xml:space="preserve">Chicago</x:t>
        </x:is>
      </x:c>
      <x:c r="H819" s="18" t="n">
        <x:v>3</x:v>
      </x:c>
      <x:c r="I819" s="19" t="n">
        <x:v>109.48</x:v>
      </x:c>
      <x:c r="J819" s="20" t="n">
        <x:v>0.15</x:v>
      </x:c>
      <x:c r="K819" s="4" t="inlineStr">
        <x:is>
          <x:t xml:space="preserve">Credit Card</x:t>
        </x:is>
      </x:c>
      <x:c r="L819" s="19" t="n">
        <x:v>328.44</x:v>
      </x:c>
      <x:c r="M819" s="19" t="n">
        <x:v>49.27</x:v>
      </x:c>
      <x:c r="N819" s="19" t="n">
        <x:v>279.17</x:v>
      </x:c>
      <x:c r="O819" s="4" t="n">
        <x:f>YEAR(C819)</x:f>
        <x:v>2025</x:v>
      </x:c>
      <x:c r="P819" s="4" t="str">
        <x:f>TEXT(C819,"yyyy-mm")</x:f>
        <x:v>2025-08</x:v>
      </x:c>
      <x:c r="Q819" s="4" t="str">
        <x:f>TEXT(C819,"mmmm")</x:f>
        <x:v>August</x:v>
      </x:c>
    </x:row>
    <x:row r="820" ht="20" customHeight="1">
      <x:c r="A820" s="4" t="inlineStr">
        <x:is>
          <x:t xml:space="preserve">LINE-00826</x:t>
        </x:is>
      </x:c>
      <x:c r="B820" s="4" t="inlineStr">
        <x:is>
          <x:t xml:space="preserve">ORD-2025-0518</x:t>
        </x:is>
      </x:c>
      <x:c r="C820" s="17" t="n">
        <x:v>45731</x:v>
      </x:c>
      <x:c r="D820" s="4" t="inlineStr">
        <x:is>
          <x:t xml:space="preserve">CUS-0316</x:t>
        </x:is>
      </x:c>
      <x:c r="E820" s="4" t="inlineStr">
        <x:is>
          <x:t xml:space="preserve">Desk Lamp</x:t>
        </x:is>
      </x:c>
      <x:c r="F820" s="4" t="inlineStr">
        <x:is>
          <x:t xml:space="preserve">Furniture</x:t>
        </x:is>
      </x:c>
      <x:c r="G820" s="4" t="inlineStr">
        <x:is>
          <x:t xml:space="preserve">Austin</x:t>
        </x:is>
      </x:c>
      <x:c r="H820" s="18" t="n">
        <x:v>4</x:v>
      </x:c>
      <x:c r="I820" s="19" t="n">
        <x:v>53.51</x:v>
      </x:c>
      <x:c r="J820" s="20" t="n">
        <x:v>0.1</x:v>
      </x:c>
      <x:c r="K820" s="4" t="inlineStr">
        <x:is>
          <x:t xml:space="preserve">PayPal</x:t>
        </x:is>
      </x:c>
      <x:c r="L820" s="19" t="n">
        <x:v>214.04</x:v>
      </x:c>
      <x:c r="M820" s="19" t="n">
        <x:v>21.4</x:v>
      </x:c>
      <x:c r="N820" s="19" t="n">
        <x:v>192.64</x:v>
      </x:c>
      <x:c r="O820" s="4" t="n">
        <x:f>YEAR(C820)</x:f>
        <x:v>2025</x:v>
      </x:c>
      <x:c r="P820" s="4" t="str">
        <x:f>TEXT(C820,"yyyy-mm")</x:f>
        <x:v>2025-03</x:v>
      </x:c>
      <x:c r="Q820" s="4" t="str">
        <x:f>TEXT(C820,"mmmm")</x:f>
        <x:v>March</x:v>
      </x:c>
    </x:row>
    <x:row r="821" ht="20" customHeight="1">
      <x:c r="A821" s="4" t="inlineStr">
        <x:is>
          <x:t xml:space="preserve">LINE-00827</x:t>
        </x:is>
      </x:c>
      <x:c r="B821" s="4" t="inlineStr">
        <x:is>
          <x:t xml:space="preserve">ORD-2025-0519</x:t>
        </x:is>
      </x:c>
      <x:c r="C821" s="17" t="n">
        <x:v>45824</x:v>
      </x:c>
      <x:c r="D821" s="4" t="inlineStr">
        <x:is>
          <x:t xml:space="preserve">CUS-0233</x:t>
        </x:is>
      </x:c>
      <x:c r="E821" s="4" t="inlineStr">
        <x:is>
          <x:t xml:space="preserve">Monitor</x:t>
        </x:is>
      </x:c>
      <x:c r="F821" s="4" t="inlineStr">
        <x:is>
          <x:t xml:space="preserve">Computers</x:t>
        </x:is>
      </x:c>
      <x:c r="G821" s="4" t="inlineStr">
        <x:is>
          <x:t xml:space="preserve">Seattle</x:t>
        </x:is>
      </x:c>
      <x:c r="H821" s="18" t="n">
        <x:v>1</x:v>
      </x:c>
      <x:c r="I821" s="19" t="n">
        <x:v>278.26</x:v>
      </x:c>
      <x:c r="J821" s="20" t="n">
        <x:v>0</x:v>
      </x:c>
      <x:c r="K821" s="4" t="inlineStr">
        <x:is>
          <x:t xml:space="preserve">Credit Card</x:t>
        </x:is>
      </x:c>
      <x:c r="L821" s="19" t="n">
        <x:v>278.26</x:v>
      </x:c>
      <x:c r="M821" s="19" t="n">
        <x:v>0</x:v>
      </x:c>
      <x:c r="N821" s="19" t="n">
        <x:v>278.26</x:v>
      </x:c>
      <x:c r="O821" s="4" t="n">
        <x:f>YEAR(C821)</x:f>
        <x:v>2025</x:v>
      </x:c>
      <x:c r="P821" s="4" t="str">
        <x:f>TEXT(C821,"yyyy-mm")</x:f>
        <x:v>2025-06</x:v>
      </x:c>
      <x:c r="Q821" s="4" t="str">
        <x:f>TEXT(C821,"mmmm")</x:f>
        <x:v>June</x:v>
      </x:c>
    </x:row>
    <x:row r="822" ht="20" customHeight="1">
      <x:c r="A822" s="4" t="inlineStr">
        <x:is>
          <x:t xml:space="preserve">LINE-00828</x:t>
        </x:is>
      </x:c>
      <x:c r="B822" s="4" t="inlineStr">
        <x:is>
          <x:t xml:space="preserve">ORD-2025-0520</x:t>
        </x:is>
      </x:c>
      <x:c r="C822" s="17" t="n">
        <x:v>45836</x:v>
      </x:c>
      <x:c r="D822" s="4" t="inlineStr">
        <x:is>
          <x:t xml:space="preserve">CUS-0310</x:t>
        </x:is>
      </x:c>
      <x:c r="E822" s="4" t="inlineStr">
        <x:is>
          <x:t xml:space="preserve">Headphones</x:t>
        </x:is>
      </x:c>
      <x:c r="F822" s="4" t="inlineStr">
        <x:is>
          <x:t xml:space="preserve">Audio</x:t>
        </x:is>
      </x:c>
      <x:c r="G822" s="4" t="inlineStr">
        <x:is>
          <x:t xml:space="preserve">Boston</x:t>
        </x:is>
      </x:c>
      <x:c r="H822" s="18" t="n">
        <x:v>1</x:v>
      </x:c>
      <x:c r="I822" s="19" t="n">
        <x:v>133.11</x:v>
      </x:c>
      <x:c r="J822" s="20" t="n">
        <x:v>0.1</x:v>
      </x:c>
      <x:c r="K822" s="4" t="inlineStr">
        <x:is>
          <x:t xml:space="preserve">Debit Card</x:t>
        </x:is>
      </x:c>
      <x:c r="L822" s="19" t="n">
        <x:v>133.11</x:v>
      </x:c>
      <x:c r="M822" s="19" t="n">
        <x:v>13.31</x:v>
      </x:c>
      <x:c r="N822" s="19" t="n">
        <x:v>119.8</x:v>
      </x:c>
      <x:c r="O822" s="4" t="n">
        <x:f>YEAR(C822)</x:f>
        <x:v>2025</x:v>
      </x:c>
      <x:c r="P822" s="4" t="str">
        <x:f>TEXT(C822,"yyyy-mm")</x:f>
        <x:v>2025-06</x:v>
      </x:c>
      <x:c r="Q822" s="4" t="str">
        <x:f>TEXT(C822,"mmmm")</x:f>
        <x:v>June</x:v>
      </x:c>
    </x:row>
    <x:row r="823" ht="20" customHeight="1">
      <x:c r="A823" s="4" t="inlineStr">
        <x:is>
          <x:t xml:space="preserve">LINE-00829</x:t>
        </x:is>
      </x:c>
      <x:c r="B823" s="4" t="inlineStr">
        <x:is>
          <x:t xml:space="preserve">ORD-2025-0520</x:t>
        </x:is>
      </x:c>
      <x:c r="C823" s="17" t="n">
        <x:v>45836</x:v>
      </x:c>
      <x:c r="D823" s="4" t="inlineStr">
        <x:is>
          <x:t xml:space="preserve">CUS-0310</x:t>
        </x:is>
      </x:c>
      <x:c r="E823" s="4" t="inlineStr">
        <x:is>
          <x:t xml:space="preserve">Monitor</x:t>
        </x:is>
      </x:c>
      <x:c r="F823" s="4" t="inlineStr">
        <x:is>
          <x:t xml:space="preserve">Computers</x:t>
        </x:is>
      </x:c>
      <x:c r="G823" s="4" t="inlineStr">
        <x:is>
          <x:t xml:space="preserve">Boston</x:t>
        </x:is>
      </x:c>
      <x:c r="H823" s="18" t="n">
        <x:v>2</x:v>
      </x:c>
      <x:c r="I823" s="19" t="n">
        <x:v>275.56</x:v>
      </x:c>
      <x:c r="J823" s="20" t="n">
        <x:v>0</x:v>
      </x:c>
      <x:c r="K823" s="4" t="inlineStr">
        <x:is>
          <x:t xml:space="preserve">Debit Card</x:t>
        </x:is>
      </x:c>
      <x:c r="L823" s="19" t="n">
        <x:v>551.12</x:v>
      </x:c>
      <x:c r="M823" s="19" t="n">
        <x:v>0</x:v>
      </x:c>
      <x:c r="N823" s="19" t="n">
        <x:v>551.12</x:v>
      </x:c>
      <x:c r="O823" s="4" t="n">
        <x:f>YEAR(C823)</x:f>
        <x:v>2025</x:v>
      </x:c>
      <x:c r="P823" s="4" t="str">
        <x:f>TEXT(C823,"yyyy-mm")</x:f>
        <x:v>2025-06</x:v>
      </x:c>
      <x:c r="Q823" s="4" t="str">
        <x:f>TEXT(C823,"mmmm")</x:f>
        <x:v>June</x:v>
      </x:c>
    </x:row>
    <x:row r="824" ht="20" customHeight="1">
      <x:c r="A824" s="4" t="inlineStr">
        <x:is>
          <x:t xml:space="preserve">LINE-00830</x:t>
        </x:is>
      </x:c>
      <x:c r="B824" s="4" t="inlineStr">
        <x:is>
          <x:t xml:space="preserve">ORD-2025-0521</x:t>
        </x:is>
      </x:c>
      <x:c r="C824" s="17" t="n">
        <x:v>45975</x:v>
      </x:c>
      <x:c r="D824" s="4" t="inlineStr">
        <x:is>
          <x:t xml:space="preserve">CUS-0125</x:t>
        </x:is>
      </x:c>
      <x:c r="E824" s="4" t="inlineStr">
        <x:is>
          <x:t xml:space="preserve">Headphones</x:t>
        </x:is>
      </x:c>
      <x:c r="F824" s="4" t="inlineStr">
        <x:is>
          <x:t xml:space="preserve">Audio</x:t>
        </x:is>
      </x:c>
      <x:c r="G824" s="4" t="inlineStr">
        <x:is>
          <x:t xml:space="preserve">Boston</x:t>
        </x:is>
      </x:c>
      <x:c r="H824" s="18" t="n">
        <x:v>1</x:v>
      </x:c>
      <x:c r="I824" s="19" t="n">
        <x:v>134.04</x:v>
      </x:c>
      <x:c r="J824" s="20" t="n">
        <x:v>0</x:v>
      </x:c>
      <x:c r="K824" s="4" t="inlineStr">
        <x:is>
          <x:t xml:space="preserve">Debit Card</x:t>
        </x:is>
      </x:c>
      <x:c r="L824" s="19" t="n">
        <x:v>134.04</x:v>
      </x:c>
      <x:c r="M824" s="19" t="n">
        <x:v>0</x:v>
      </x:c>
      <x:c r="N824" s="19" t="n">
        <x:v>134.04</x:v>
      </x:c>
      <x:c r="O824" s="4" t="n">
        <x:f>YEAR(C824)</x:f>
        <x:v>2025</x:v>
      </x:c>
      <x:c r="P824" s="4" t="str">
        <x:f>TEXT(C824,"yyyy-mm")</x:f>
        <x:v>2025-11</x:v>
      </x:c>
      <x:c r="Q824" s="4" t="str">
        <x:f>TEXT(C824,"mmmm")</x:f>
        <x:v>November</x:v>
      </x:c>
    </x:row>
    <x:row r="825" ht="20" customHeight="1">
      <x:c r="A825" s="4" t="inlineStr">
        <x:is>
          <x:t xml:space="preserve">LINE-00831</x:t>
        </x:is>
      </x:c>
      <x:c r="B825" s="4" t="inlineStr">
        <x:is>
          <x:t xml:space="preserve">ORD-2025-0521</x:t>
        </x:is>
      </x:c>
      <x:c r="C825" s="17" t="n">
        <x:v>45975</x:v>
      </x:c>
      <x:c r="D825" s="4" t="inlineStr">
        <x:is>
          <x:t xml:space="preserve">CUS-0125</x:t>
        </x:is>
      </x:c>
      <x:c r="E825" s="4" t="inlineStr">
        <x:is>
          <x:t xml:space="preserve">Monitor</x:t>
        </x:is>
      </x:c>
      <x:c r="F825" s="4" t="inlineStr">
        <x:is>
          <x:t xml:space="preserve">Computers</x:t>
        </x:is>
      </x:c>
      <x:c r="G825" s="4" t="inlineStr">
        <x:is>
          <x:t xml:space="preserve">Boston</x:t>
        </x:is>
      </x:c>
      <x:c r="H825" s="18" t="n">
        <x:v>5</x:v>
      </x:c>
      <x:c r="I825" s="19" t="n">
        <x:v>283.01</x:v>
      </x:c>
      <x:c r="J825" s="20" t="n">
        <x:v>0</x:v>
      </x:c>
      <x:c r="K825" s="4" t="inlineStr">
        <x:is>
          <x:t xml:space="preserve">Debit Card</x:t>
        </x:is>
      </x:c>
      <x:c r="L825" s="19" t="n">
        <x:v>1415.05</x:v>
      </x:c>
      <x:c r="M825" s="19" t="n">
        <x:v>0</x:v>
      </x:c>
      <x:c r="N825" s="19" t="n">
        <x:v>1415.05</x:v>
      </x:c>
      <x:c r="O825" s="4" t="n">
        <x:f>YEAR(C825)</x:f>
        <x:v>2025</x:v>
      </x:c>
      <x:c r="P825" s="4" t="str">
        <x:f>TEXT(C825,"yyyy-mm")</x:f>
        <x:v>2025-11</x:v>
      </x:c>
      <x:c r="Q825" s="4" t="str">
        <x:f>TEXT(C825,"mmmm")</x:f>
        <x:v>November</x:v>
      </x:c>
    </x:row>
    <x:row r="826" ht="20" customHeight="1">
      <x:c r="A826" s="4" t="inlineStr">
        <x:is>
          <x:t xml:space="preserve">LINE-00832</x:t>
        </x:is>
      </x:c>
      <x:c r="B826" s="4" t="inlineStr">
        <x:is>
          <x:t xml:space="preserve">ORD-2025-0521</x:t>
        </x:is>
      </x:c>
      <x:c r="C826" s="17" t="n">
        <x:v>45975</x:v>
      </x:c>
      <x:c r="D826" s="4" t="inlineStr">
        <x:is>
          <x:t xml:space="preserve">CUS-0125</x:t>
        </x:is>
      </x:c>
      <x:c r="E826" s="4" t="inlineStr">
        <x:is>
          <x:t xml:space="preserve">Webcam</x:t>
        </x:is>
      </x:c>
      <x:c r="F826" s="4" t="inlineStr">
        <x:is>
          <x:t xml:space="preserve">Accessories</x:t>
        </x:is>
      </x:c>
      <x:c r="G826" s="4" t="inlineStr">
        <x:is>
          <x:t xml:space="preserve">Boston</x:t>
        </x:is>
      </x:c>
      <x:c r="H826" s="18" t="n">
        <x:v>3</x:v>
      </x:c>
      <x:c r="I826" s="19" t="n">
        <x:v>85.29000000000001</x:v>
      </x:c>
      <x:c r="J826" s="20" t="n">
        <x:v>0.05</x:v>
      </x:c>
      <x:c r="K826" s="4" t="inlineStr">
        <x:is>
          <x:t xml:space="preserve">Debit Card</x:t>
        </x:is>
      </x:c>
      <x:c r="L826" s="19" t="n">
        <x:v>255.87</x:v>
      </x:c>
      <x:c r="M826" s="19" t="n">
        <x:v>12.79</x:v>
      </x:c>
      <x:c r="N826" s="19" t="n">
        <x:v>243.08</x:v>
      </x:c>
      <x:c r="O826" s="4" t="n">
        <x:f>YEAR(C826)</x:f>
        <x:v>2025</x:v>
      </x:c>
      <x:c r="P826" s="4" t="str">
        <x:f>TEXT(C826,"yyyy-mm")</x:f>
        <x:v>2025-11</x:v>
      </x:c>
      <x:c r="Q826" s="4" t="str">
        <x:f>TEXT(C826,"mmmm")</x:f>
        <x:v>November</x:v>
      </x:c>
    </x:row>
    <x:row r="827" ht="20" customHeight="1">
      <x:c r="A827" s="4" t="inlineStr">
        <x:is>
          <x:t xml:space="preserve">LINE-00833</x:t>
        </x:is>
      </x:c>
      <x:c r="B827" s="4" t="inlineStr">
        <x:is>
          <x:t xml:space="preserve">ORD-2025-0522</x:t>
        </x:is>
      </x:c>
      <x:c r="C827" s="17" t="n">
        <x:v>46022</x:v>
      </x:c>
      <x:c r="D827" s="4" t="inlineStr">
        <x:is>
          <x:t xml:space="preserve">CUS-0294</x:t>
        </x:is>
      </x:c>
      <x:c r="E827" s="4" t="inlineStr">
        <x:is>
          <x:t xml:space="preserve">Bluetooth Speaker</x:t>
        </x:is>
      </x:c>
      <x:c r="F827" s="4" t="inlineStr">
        <x:is>
          <x:t xml:space="preserve">Audio</x:t>
        </x:is>
      </x:c>
      <x:c r="G827" s="4" t="inlineStr">
        <x:is>
          <x:t xml:space="preserve">Seattle</x:t>
        </x:is>
      </x:c>
      <x:c r="H827" s="18" t="n">
        <x:v>2</x:v>
      </x:c>
      <x:c r="I827" s="19" t="n">
        <x:v>115.67</x:v>
      </x:c>
      <x:c r="J827" s="20" t="n">
        <x:v>0</x:v>
      </x:c>
      <x:c r="K827" s="4" t="inlineStr">
        <x:is>
          <x:t xml:space="preserve">Credit Card</x:t>
        </x:is>
      </x:c>
      <x:c r="L827" s="19" t="n">
        <x:v>231.34</x:v>
      </x:c>
      <x:c r="M827" s="19" t="n">
        <x:v>0</x:v>
      </x:c>
      <x:c r="N827" s="19" t="n">
        <x:v>231.34</x:v>
      </x:c>
      <x:c r="O827" s="4" t="n">
        <x:f>YEAR(C827)</x:f>
        <x:v>2025</x:v>
      </x:c>
      <x:c r="P827" s="4" t="str">
        <x:f>TEXT(C827,"yyyy-mm")</x:f>
        <x:v>2025-12</x:v>
      </x:c>
      <x:c r="Q827" s="4" t="str">
        <x:f>TEXT(C827,"mmmm")</x:f>
        <x:v>December</x:v>
      </x:c>
    </x:row>
    <x:row r="828" ht="20" customHeight="1">
      <x:c r="A828" s="4" t="inlineStr">
        <x:is>
          <x:t xml:space="preserve">LINE-00834</x:t>
        </x:is>
      </x:c>
      <x:c r="B828" s="4" t="inlineStr">
        <x:is>
          <x:t xml:space="preserve">ORD-2025-0522</x:t>
        </x:is>
      </x:c>
      <x:c r="C828" s="17" t="n">
        <x:v>46022</x:v>
      </x:c>
      <x:c r="D828" s="4" t="inlineStr">
        <x:is>
          <x:t xml:space="preserve">CUS-0294</x:t>
        </x:is>
      </x:c>
      <x:c r="E828" s="4" t="inlineStr">
        <x:is>
          <x:t xml:space="preserve">Webcam</x:t>
        </x:is>
      </x:c>
      <x:c r="F828" s="4" t="inlineStr">
        <x:is>
          <x:t xml:space="preserve">Accessories</x:t>
        </x:is>
      </x:c>
      <x:c r="G828" s="4" t="inlineStr">
        <x:is>
          <x:t xml:space="preserve">Seattle</x:t>
        </x:is>
      </x:c>
      <x:c r="H828" s="18" t="n">
        <x:v>5</x:v>
      </x:c>
      <x:c r="I828" s="19" t="n">
        <x:v>83.8</x:v>
      </x:c>
      <x:c r="J828" s="20" t="n">
        <x:v>0</x:v>
      </x:c>
      <x:c r="K828" s="4" t="inlineStr">
        <x:is>
          <x:t xml:space="preserve">Credit Card</x:t>
        </x:is>
      </x:c>
      <x:c r="L828" s="19" t="n">
        <x:v>419</x:v>
      </x:c>
      <x:c r="M828" s="19" t="n">
        <x:v>0</x:v>
      </x:c>
      <x:c r="N828" s="19" t="n">
        <x:v>419</x:v>
      </x:c>
      <x:c r="O828" s="4" t="n">
        <x:f>YEAR(C828)</x:f>
        <x:v>2025</x:v>
      </x:c>
      <x:c r="P828" s="4" t="str">
        <x:f>TEXT(C828,"yyyy-mm")</x:f>
        <x:v>2025-12</x:v>
      </x:c>
      <x:c r="Q828" s="4" t="str">
        <x:f>TEXT(C828,"mmmm")</x:f>
        <x:v>December</x:v>
      </x:c>
    </x:row>
    <x:row r="829" ht="20" customHeight="1">
      <x:c r="A829" s="4" t="inlineStr">
        <x:is>
          <x:t xml:space="preserve">LINE-00835</x:t>
        </x:is>
      </x:c>
      <x:c r="B829" s="4" t="inlineStr">
        <x:is>
          <x:t xml:space="preserve">ORD-2025-0523</x:t>
        </x:is>
      </x:c>
      <x:c r="C829" s="17" t="n">
        <x:v>45963</x:v>
      </x:c>
      <x:c r="D829" s="4" t="inlineStr">
        <x:is>
          <x:t xml:space="preserve">CUS-0195</x:t>
        </x:is>
      </x:c>
      <x:c r="E829" s="4" t="inlineStr">
        <x:is>
          <x:t xml:space="preserve">Laptop</x:t>
        </x:is>
      </x:c>
      <x:c r="F829" s="4" t="inlineStr">
        <x:is>
          <x:t xml:space="preserve">Computers</x:t>
        </x:is>
      </x:c>
      <x:c r="G829" s="4" t="inlineStr">
        <x:is>
          <x:t xml:space="preserve">Austin</x:t>
        </x:is>
      </x:c>
      <x:c r="H829" s="18" t="n">
        <x:v>1</x:v>
      </x:c>
      <x:c r="I829" s="19" t="n">
        <x:v>895.12</x:v>
      </x:c>
      <x:c r="J829" s="20" t="n">
        <x:v>0.05</x:v>
      </x:c>
      <x:c r="K829" s="4" t="inlineStr">
        <x:is>
          <x:t xml:space="preserve">Bank Transfer</x:t>
        </x:is>
      </x:c>
      <x:c r="L829" s="19" t="n">
        <x:v>895.12</x:v>
      </x:c>
      <x:c r="M829" s="19" t="n">
        <x:v>44.76</x:v>
      </x:c>
      <x:c r="N829" s="19" t="n">
        <x:v>850.36</x:v>
      </x:c>
      <x:c r="O829" s="4" t="n">
        <x:f>YEAR(C829)</x:f>
        <x:v>2025</x:v>
      </x:c>
      <x:c r="P829" s="4" t="str">
        <x:f>TEXT(C829,"yyyy-mm")</x:f>
        <x:v>2025-11</x:v>
      </x:c>
      <x:c r="Q829" s="4" t="str">
        <x:f>TEXT(C829,"mmmm")</x:f>
        <x:v>November</x:v>
      </x:c>
    </x:row>
    <x:row r="830" ht="20" customHeight="1">
      <x:c r="A830" s="4" t="inlineStr">
        <x:is>
          <x:t xml:space="preserve">LINE-00836</x:t>
        </x:is>
      </x:c>
      <x:c r="B830" s="4" t="inlineStr">
        <x:is>
          <x:t xml:space="preserve">ORD-2025-0523</x:t>
        </x:is>
      </x:c>
      <x:c r="C830" s="17" t="n">
        <x:v>45963</x:v>
      </x:c>
      <x:c r="D830" s="4" t="inlineStr">
        <x:is>
          <x:t xml:space="preserve">CUS-0195</x:t>
        </x:is>
      </x:c>
      <x:c r="E830" s="4" t="inlineStr">
        <x:is>
          <x:t xml:space="preserve">Monitor</x:t>
        </x:is>
      </x:c>
      <x:c r="F830" s="4" t="inlineStr">
        <x:is>
          <x:t xml:space="preserve">Computers</x:t>
        </x:is>
      </x:c>
      <x:c r="G830" s="4" t="inlineStr">
        <x:is>
          <x:t xml:space="preserve">Austin</x:t>
        </x:is>
      </x:c>
      <x:c r="H830" s="18" t="n">
        <x:v>3</x:v>
      </x:c>
      <x:c r="I830" s="19" t="n">
        <x:v>293.88</x:v>
      </x:c>
      <x:c r="J830" s="20" t="n">
        <x:v>0.1</x:v>
      </x:c>
      <x:c r="K830" s="4" t="inlineStr">
        <x:is>
          <x:t xml:space="preserve">Bank Transfer</x:t>
        </x:is>
      </x:c>
      <x:c r="L830" s="19" t="n">
        <x:v>881.64</x:v>
      </x:c>
      <x:c r="M830" s="19" t="n">
        <x:v>88.16</x:v>
      </x:c>
      <x:c r="N830" s="19" t="n">
        <x:v>793.48</x:v>
      </x:c>
      <x:c r="O830" s="4" t="n">
        <x:f>YEAR(C830)</x:f>
        <x:v>2025</x:v>
      </x:c>
      <x:c r="P830" s="4" t="str">
        <x:f>TEXT(C830,"yyyy-mm")</x:f>
        <x:v>2025-11</x:v>
      </x:c>
      <x:c r="Q830" s="4" t="str">
        <x:f>TEXT(C830,"mmmm")</x:f>
        <x:v>November</x:v>
      </x:c>
    </x:row>
    <x:row r="831" ht="20" customHeight="1">
      <x:c r="A831" s="4" t="inlineStr">
        <x:is>
          <x:t xml:space="preserve">LINE-00837</x:t>
        </x:is>
      </x:c>
      <x:c r="B831" s="4" t="inlineStr">
        <x:is>
          <x:t xml:space="preserve">ORD-2025-0524</x:t>
        </x:is>
      </x:c>
      <x:c r="C831" s="17" t="n">
        <x:v>45996</x:v>
      </x:c>
      <x:c r="D831" s="4" t="inlineStr">
        <x:is>
          <x:t xml:space="preserve">CUS-0077</x:t>
        </x:is>
      </x:c>
      <x:c r="E831" s="4" t="inlineStr">
        <x:is>
          <x:t xml:space="preserve">USB Flash Drive</x:t>
        </x:is>
      </x:c>
      <x:c r="F831" s="4" t="inlineStr">
        <x:is>
          <x:t xml:space="preserve">Storage</x:t>
        </x:is>
      </x:c>
      <x:c r="G831" s="4" t="inlineStr">
        <x:is>
          <x:t xml:space="preserve">Seattle</x:t>
        </x:is>
      </x:c>
      <x:c r="H831" s="18" t="n">
        <x:v>2</x:v>
      </x:c>
      <x:c r="I831" s="19" t="n">
        <x:v>28.59</x:v>
      </x:c>
      <x:c r="J831" s="20" t="n">
        <x:v>0.15</x:v>
      </x:c>
      <x:c r="K831" s="4" t="inlineStr">
        <x:is>
          <x:t xml:space="preserve">PayPal</x:t>
        </x:is>
      </x:c>
      <x:c r="L831" s="19" t="n">
        <x:v>57.18</x:v>
      </x:c>
      <x:c r="M831" s="19" t="n">
        <x:v>8.58</x:v>
      </x:c>
      <x:c r="N831" s="19" t="n">
        <x:v>48.6</x:v>
      </x:c>
      <x:c r="O831" s="4" t="n">
        <x:f>YEAR(C831)</x:f>
        <x:v>2025</x:v>
      </x:c>
      <x:c r="P831" s="4" t="str">
        <x:f>TEXT(C831,"yyyy-mm")</x:f>
        <x:v>2025-12</x:v>
      </x:c>
      <x:c r="Q831" s="4" t="str">
        <x:f>TEXT(C831,"mmmm")</x:f>
        <x:v>December</x:v>
      </x:c>
    </x:row>
    <x:row r="832" ht="20" customHeight="1">
      <x:c r="A832" s="4" t="inlineStr">
        <x:is>
          <x:t xml:space="preserve">LINE-00838</x:t>
        </x:is>
      </x:c>
      <x:c r="B832" s="4" t="inlineStr">
        <x:is>
          <x:t xml:space="preserve">ORD-2025-0525</x:t>
        </x:is>
      </x:c>
      <x:c r="C832" s="17" t="n">
        <x:v>45811</x:v>
      </x:c>
      <x:c r="D832" s="4" t="inlineStr">
        <x:is>
          <x:t xml:space="preserve">CUS-0292</x:t>
        </x:is>
      </x:c>
      <x:c r="E832" s="4" t="inlineStr">
        <x:is>
          <x:t xml:space="preserve">Headphones</x:t>
        </x:is>
      </x:c>
      <x:c r="F832" s="4" t="inlineStr">
        <x:is>
          <x:t xml:space="preserve">Audio</x:t>
        </x:is>
      </x:c>
      <x:c r="G832" s="4" t="inlineStr">
        <x:is>
          <x:t xml:space="preserve">San Francisco</x:t>
        </x:is>
      </x:c>
      <x:c r="H832" s="18" t="n">
        <x:v>2</x:v>
      </x:c>
      <x:c r="I832" s="19" t="n">
        <x:v>132.32</x:v>
      </x:c>
      <x:c r="J832" s="20" t="n">
        <x:v>0.05</x:v>
      </x:c>
      <x:c r="K832" s="4" t="inlineStr">
        <x:is>
          <x:t xml:space="preserve">PayPal</x:t>
        </x:is>
      </x:c>
      <x:c r="L832" s="19" t="n">
        <x:v>264.64</x:v>
      </x:c>
      <x:c r="M832" s="19" t="n">
        <x:v>13.23</x:v>
      </x:c>
      <x:c r="N832" s="19" t="n">
        <x:v>251.41</x:v>
      </x:c>
      <x:c r="O832" s="4" t="n">
        <x:f>YEAR(C832)</x:f>
        <x:v>2025</x:v>
      </x:c>
      <x:c r="P832" s="4" t="str">
        <x:f>TEXT(C832,"yyyy-mm")</x:f>
        <x:v>2025-06</x:v>
      </x:c>
      <x:c r="Q832" s="4" t="str">
        <x:f>TEXT(C832,"mmmm")</x:f>
        <x:v>June</x:v>
      </x:c>
    </x:row>
    <x:row r="833" ht="20" customHeight="1">
      <x:c r="A833" s="4" t="inlineStr">
        <x:is>
          <x:t xml:space="preserve">LINE-00839</x:t>
        </x:is>
      </x:c>
      <x:c r="B833" s="4" t="inlineStr">
        <x:is>
          <x:t xml:space="preserve">ORD-2025-0525</x:t>
        </x:is>
      </x:c>
      <x:c r="C833" s="17" t="n">
        <x:v>45811</x:v>
      </x:c>
      <x:c r="D833" s="4" t="inlineStr">
        <x:is>
          <x:t xml:space="preserve">CUS-0292</x:t>
        </x:is>
      </x:c>
      <x:c r="E833" s="4" t="inlineStr">
        <x:is>
          <x:t xml:space="preserve">Webcam</x:t>
        </x:is>
      </x:c>
      <x:c r="F833" s="4" t="inlineStr">
        <x:is>
          <x:t xml:space="preserve">Accessories</x:t>
        </x:is>
      </x:c>
      <x:c r="G833" s="4" t="inlineStr">
        <x:is>
          <x:t xml:space="preserve">San Francisco</x:t>
        </x:is>
      </x:c>
      <x:c r="H833" s="18" t="n">
        <x:v>3</x:v>
      </x:c>
      <x:c r="I833" s="19" t="n">
        <x:v>95.08</x:v>
      </x:c>
      <x:c r="J833" s="20" t="n">
        <x:v>0</x:v>
      </x:c>
      <x:c r="K833" s="4" t="inlineStr">
        <x:is>
          <x:t xml:space="preserve">PayPal</x:t>
        </x:is>
      </x:c>
      <x:c r="L833" s="19" t="n">
        <x:v>285.24</x:v>
      </x:c>
      <x:c r="M833" s="19" t="n">
        <x:v>0</x:v>
      </x:c>
      <x:c r="N833" s="19" t="n">
        <x:v>285.24</x:v>
      </x:c>
      <x:c r="O833" s="4" t="n">
        <x:f>YEAR(C833)</x:f>
        <x:v>2025</x:v>
      </x:c>
      <x:c r="P833" s="4" t="str">
        <x:f>TEXT(C833,"yyyy-mm")</x:f>
        <x:v>2025-06</x:v>
      </x:c>
      <x:c r="Q833" s="4" t="str">
        <x:f>TEXT(C833,"mmmm")</x:f>
        <x:v>June</x:v>
      </x:c>
    </x:row>
    <x:row r="834" ht="20" customHeight="1">
      <x:c r="A834" s="4" t="inlineStr">
        <x:is>
          <x:t xml:space="preserve">LINE-00840</x:t>
        </x:is>
      </x:c>
      <x:c r="B834" s="4" t="inlineStr">
        <x:is>
          <x:t xml:space="preserve">ORD-2025-0525</x:t>
        </x:is>
      </x:c>
      <x:c r="C834" s="17" t="n">
        <x:v>45811</x:v>
      </x:c>
      <x:c r="D834" s="4" t="inlineStr">
        <x:is>
          <x:t xml:space="preserve">CUS-0292</x:t>
        </x:is>
      </x:c>
      <x:c r="E834" s="4" t="inlineStr">
        <x:is>
          <x:t xml:space="preserve">Monitor</x:t>
        </x:is>
      </x:c>
      <x:c r="F834" s="4" t="inlineStr">
        <x:is>
          <x:t xml:space="preserve">Computers</x:t>
        </x:is>
      </x:c>
      <x:c r="G834" s="4" t="inlineStr">
        <x:is>
          <x:t xml:space="preserve">San Francisco</x:t>
        </x:is>
      </x:c>
      <x:c r="H834" s="18" t="n">
        <x:v>4</x:v>
      </x:c>
      <x:c r="I834" s="19" t="n">
        <x:v>300.96</x:v>
      </x:c>
      <x:c r="J834" s="20" t="n">
        <x:v>0</x:v>
      </x:c>
      <x:c r="K834" s="4" t="inlineStr">
        <x:is>
          <x:t xml:space="preserve">PayPal</x:t>
        </x:is>
      </x:c>
      <x:c r="L834" s="19" t="n">
        <x:v>1203.84</x:v>
      </x:c>
      <x:c r="M834" s="19" t="n">
        <x:v>0</x:v>
      </x:c>
      <x:c r="N834" s="19" t="n">
        <x:v>1203.84</x:v>
      </x:c>
      <x:c r="O834" s="4" t="n">
        <x:f>YEAR(C834)</x:f>
        <x:v>2025</x:v>
      </x:c>
      <x:c r="P834" s="4" t="str">
        <x:f>TEXT(C834,"yyyy-mm")</x:f>
        <x:v>2025-06</x:v>
      </x:c>
      <x:c r="Q834" s="4" t="str">
        <x:f>TEXT(C834,"mmmm")</x:f>
        <x:v>June</x:v>
      </x:c>
    </x:row>
    <x:row r="835" ht="20" customHeight="1">
      <x:c r="A835" s="4" t="inlineStr">
        <x:is>
          <x:t xml:space="preserve">LINE-00841</x:t>
        </x:is>
      </x:c>
      <x:c r="B835" s="4" t="inlineStr">
        <x:is>
          <x:t xml:space="preserve">ORD-2025-0526</x:t>
        </x:is>
      </x:c>
      <x:c r="C835" s="17" t="n">
        <x:v>45944</x:v>
      </x:c>
      <x:c r="D835" s="4" t="inlineStr">
        <x:is>
          <x:t xml:space="preserve">CUS-0184</x:t>
        </x:is>
      </x:c>
      <x:c r="E835" s="4" t="inlineStr">
        <x:is>
          <x:t xml:space="preserve">Wireless Mouse</x:t>
        </x:is>
      </x:c>
      <x:c r="F835" s="4" t="inlineStr">
        <x:is>
          <x:t xml:space="preserve">Accessories</x:t>
        </x:is>
      </x:c>
      <x:c r="G835" s="4" t="inlineStr">
        <x:is>
          <x:t xml:space="preserve">New York</x:t>
        </x:is>
      </x:c>
      <x:c r="H835" s="18" t="n">
        <x:v>1</x:v>
      </x:c>
      <x:c r="I835" s="19" t="n">
        <x:v>43.69</x:v>
      </x:c>
      <x:c r="J835" s="20" t="n">
        <x:v>0</x:v>
      </x:c>
      <x:c r="K835" s="4" t="inlineStr">
        <x:is>
          <x:t xml:space="preserve">PayPal</x:t>
        </x:is>
      </x:c>
      <x:c r="L835" s="19" t="n">
        <x:v>43.69</x:v>
      </x:c>
      <x:c r="M835" s="19" t="n">
        <x:v>0</x:v>
      </x:c>
      <x:c r="N835" s="19" t="n">
        <x:v>43.69</x:v>
      </x:c>
      <x:c r="O835" s="4" t="n">
        <x:f>YEAR(C835)</x:f>
        <x:v>2025</x:v>
      </x:c>
      <x:c r="P835" s="4" t="str">
        <x:f>TEXT(C835,"yyyy-mm")</x:f>
        <x:v>2025-10</x:v>
      </x:c>
      <x:c r="Q835" s="4" t="str">
        <x:f>TEXT(C835,"mmmm")</x:f>
        <x:v>October</x:v>
      </x:c>
    </x:row>
    <x:row r="836" ht="20" customHeight="1">
      <x:c r="A836" s="4" t="inlineStr">
        <x:is>
          <x:t xml:space="preserve">LINE-00842</x:t>
        </x:is>
      </x:c>
      <x:c r="B836" s="4" t="inlineStr">
        <x:is>
          <x:t xml:space="preserve">ORD-2025-0526</x:t>
        </x:is>
      </x:c>
      <x:c r="C836" s="17" t="n">
        <x:v>45944</x:v>
      </x:c>
      <x:c r="D836" s="4" t="inlineStr">
        <x:is>
          <x:t xml:space="preserve">CUS-0184</x:t>
        </x:is>
      </x:c>
      <x:c r="E836" s="4" t="inlineStr">
        <x:is>
          <x:t xml:space="preserve">Headphones</x:t>
        </x:is>
      </x:c>
      <x:c r="F836" s="4" t="inlineStr">
        <x:is>
          <x:t xml:space="preserve">Audio</x:t>
        </x:is>
      </x:c>
      <x:c r="G836" s="4" t="inlineStr">
        <x:is>
          <x:t xml:space="preserve">New York</x:t>
        </x:is>
      </x:c>
      <x:c r="H836" s="18" t="n">
        <x:v>1</x:v>
      </x:c>
      <x:c r="I836" s="19" t="n">
        <x:v>130.94</x:v>
      </x:c>
      <x:c r="J836" s="20" t="n">
        <x:v>0.05</x:v>
      </x:c>
      <x:c r="K836" s="4" t="inlineStr">
        <x:is>
          <x:t xml:space="preserve">PayPal</x:t>
        </x:is>
      </x:c>
      <x:c r="L836" s="19" t="n">
        <x:v>130.94</x:v>
      </x:c>
      <x:c r="M836" s="19" t="n">
        <x:v>6.55</x:v>
      </x:c>
      <x:c r="N836" s="19" t="n">
        <x:v>124.39</x:v>
      </x:c>
      <x:c r="O836" s="4" t="n">
        <x:f>YEAR(C836)</x:f>
        <x:v>2025</x:v>
      </x:c>
      <x:c r="P836" s="4" t="str">
        <x:f>TEXT(C836,"yyyy-mm")</x:f>
        <x:v>2025-10</x:v>
      </x:c>
      <x:c r="Q836" s="4" t="str">
        <x:f>TEXT(C836,"mmmm")</x:f>
        <x:v>October</x:v>
      </x:c>
    </x:row>
    <x:row r="837" ht="20" customHeight="1">
      <x:c r="A837" s="4" t="inlineStr">
        <x:is>
          <x:t xml:space="preserve">LINE-00843</x:t>
        </x:is>
      </x:c>
      <x:c r="B837" s="4" t="inlineStr">
        <x:is>
          <x:t xml:space="preserve">ORD-2025-0526</x:t>
        </x:is>
      </x:c>
      <x:c r="C837" s="17" t="n">
        <x:v>45944</x:v>
      </x:c>
      <x:c r="D837" s="4" t="inlineStr">
        <x:is>
          <x:t xml:space="preserve">CUS-0184</x:t>
        </x:is>
      </x:c>
      <x:c r="E837" s="4" t="inlineStr">
        <x:is>
          <x:t xml:space="preserve">USB Flash Drive</x:t>
        </x:is>
      </x:c>
      <x:c r="F837" s="4" t="inlineStr">
        <x:is>
          <x:t xml:space="preserve">Storage</x:t>
        </x:is>
      </x:c>
      <x:c r="G837" s="4" t="inlineStr">
        <x:is>
          <x:t xml:space="preserve">New York</x:t>
        </x:is>
      </x:c>
      <x:c r="H837" s="18" t="n">
        <x:v>2</x:v>
      </x:c>
      <x:c r="I837" s="19" t="n">
        <x:v>28.5</x:v>
      </x:c>
      <x:c r="J837" s="20" t="n">
        <x:v>0</x:v>
      </x:c>
      <x:c r="K837" s="4" t="inlineStr">
        <x:is>
          <x:t xml:space="preserve">PayPal</x:t>
        </x:is>
      </x:c>
      <x:c r="L837" s="19" t="n">
        <x:v>57</x:v>
      </x:c>
      <x:c r="M837" s="19" t="n">
        <x:v>0</x:v>
      </x:c>
      <x:c r="N837" s="19" t="n">
        <x:v>57</x:v>
      </x:c>
      <x:c r="O837" s="4" t="n">
        <x:f>YEAR(C837)</x:f>
        <x:v>2025</x:v>
      </x:c>
      <x:c r="P837" s="4" t="str">
        <x:f>TEXT(C837,"yyyy-mm")</x:f>
        <x:v>2025-10</x:v>
      </x:c>
      <x:c r="Q837" s="4" t="str">
        <x:f>TEXT(C837,"mmmm")</x:f>
        <x:v>October</x:v>
      </x:c>
    </x:row>
    <x:row r="838" ht="20" customHeight="1">
      <x:c r="A838" s="4" t="inlineStr">
        <x:is>
          <x:t xml:space="preserve">LINE-00844</x:t>
        </x:is>
      </x:c>
      <x:c r="B838" s="4" t="inlineStr">
        <x:is>
          <x:t xml:space="preserve">ORD-2025-0527</x:t>
        </x:is>
      </x:c>
      <x:c r="C838" s="17" t="n">
        <x:v>45842</x:v>
      </x:c>
      <x:c r="D838" s="4" t="inlineStr">
        <x:is>
          <x:t xml:space="preserve">CUS-0214</x:t>
        </x:is>
      </x:c>
      <x:c r="E838" s="4" t="inlineStr">
        <x:is>
          <x:t xml:space="preserve">Office Chair</x:t>
        </x:is>
      </x:c>
      <x:c r="F838" s="4" t="inlineStr">
        <x:is>
          <x:t xml:space="preserve">Furniture</x:t>
        </x:is>
      </x:c>
      <x:c r="G838" s="4" t="inlineStr">
        <x:is>
          <x:t xml:space="preserve">Chicago</x:t>
        </x:is>
      </x:c>
      <x:c r="H838" s="18" t="n">
        <x:v>1</x:v>
      </x:c>
      <x:c r="I838" s="19" t="n">
        <x:v>245.7</x:v>
      </x:c>
      <x:c r="J838" s="20" t="n">
        <x:v>0</x:v>
      </x:c>
      <x:c r="K838" s="4" t="inlineStr">
        <x:is>
          <x:t xml:space="preserve">PayPal</x:t>
        </x:is>
      </x:c>
      <x:c r="L838" s="19" t="n">
        <x:v>245.7</x:v>
      </x:c>
      <x:c r="M838" s="19" t="n">
        <x:v>0</x:v>
      </x:c>
      <x:c r="N838" s="19" t="n">
        <x:v>245.7</x:v>
      </x:c>
      <x:c r="O838" s="4" t="n">
        <x:f>YEAR(C838)</x:f>
        <x:v>2025</x:v>
      </x:c>
      <x:c r="P838" s="4" t="str">
        <x:f>TEXT(C838,"yyyy-mm")</x:f>
        <x:v>2025-07</x:v>
      </x:c>
      <x:c r="Q838" s="4" t="str">
        <x:f>TEXT(C838,"mmmm")</x:f>
        <x:v>July</x:v>
      </x:c>
    </x:row>
    <x:row r="839" ht="20" customHeight="1">
      <x:c r="A839" s="4" t="inlineStr">
        <x:is>
          <x:t xml:space="preserve">LINE-00845</x:t>
        </x:is>
      </x:c>
      <x:c r="B839" s="4" t="inlineStr">
        <x:is>
          <x:t xml:space="preserve">ORD-2025-0527</x:t>
        </x:is>
      </x:c>
      <x:c r="C839" s="17" t="n">
        <x:v>45842</x:v>
      </x:c>
      <x:c r="D839" s="4" t="inlineStr">
        <x:is>
          <x:t xml:space="preserve">CUS-0214</x:t>
        </x:is>
      </x:c>
      <x:c r="E839" s="4" t="inlineStr">
        <x:is>
          <x:t xml:space="preserve">Keyboard</x:t>
        </x:is>
      </x:c>
      <x:c r="F839" s="4" t="inlineStr">
        <x:is>
          <x:t xml:space="preserve">Accessories</x:t>
        </x:is>
      </x:c>
      <x:c r="G839" s="4" t="inlineStr">
        <x:is>
          <x:t xml:space="preserve">Chicago</x:t>
        </x:is>
      </x:c>
      <x:c r="H839" s="18" t="n">
        <x:v>4</x:v>
      </x:c>
      <x:c r="I839" s="19" t="n">
        <x:v>76.90000000000001</x:v>
      </x:c>
      <x:c r="J839" s="20" t="n">
        <x:v>0.2</x:v>
      </x:c>
      <x:c r="K839" s="4" t="inlineStr">
        <x:is>
          <x:t xml:space="preserve">PayPal</x:t>
        </x:is>
      </x:c>
      <x:c r="L839" s="19" t="n">
        <x:v>307.6</x:v>
      </x:c>
      <x:c r="M839" s="19" t="n">
        <x:v>61.52</x:v>
      </x:c>
      <x:c r="N839" s="19" t="n">
        <x:v>246.08</x:v>
      </x:c>
      <x:c r="O839" s="4" t="n">
        <x:f>YEAR(C839)</x:f>
        <x:v>2025</x:v>
      </x:c>
      <x:c r="P839" s="4" t="str">
        <x:f>TEXT(C839,"yyyy-mm")</x:f>
        <x:v>2025-07</x:v>
      </x:c>
      <x:c r="Q839" s="4" t="str">
        <x:f>TEXT(C839,"mmmm")</x:f>
        <x:v>July</x:v>
      </x:c>
    </x:row>
    <x:row r="840" ht="20" customHeight="1">
      <x:c r="A840" s="4" t="inlineStr">
        <x:is>
          <x:t xml:space="preserve">LINE-00846</x:t>
        </x:is>
      </x:c>
      <x:c r="B840" s="4" t="inlineStr">
        <x:is>
          <x:t xml:space="preserve">ORD-2025-0527</x:t>
        </x:is>
      </x:c>
      <x:c r="C840" s="17" t="n">
        <x:v>45842</x:v>
      </x:c>
      <x:c r="D840" s="4" t="inlineStr">
        <x:is>
          <x:t xml:space="preserve">CUS-0214</x:t>
        </x:is>
      </x:c>
      <x:c r="E840" s="4" t="inlineStr">
        <x:is>
          <x:t xml:space="preserve">Desk Lamp</x:t>
        </x:is>
      </x:c>
      <x:c r="F840" s="4" t="inlineStr">
        <x:is>
          <x:t xml:space="preserve">Furniture</x:t>
        </x:is>
      </x:c>
      <x:c r="G840" s="4" t="inlineStr">
        <x:is>
          <x:t xml:space="preserve">Chicago</x:t>
        </x:is>
      </x:c>
      <x:c r="H840" s="18" t="n">
        <x:v>1</x:v>
      </x:c>
      <x:c r="I840" s="19" t="n">
        <x:v>51.81</x:v>
      </x:c>
      <x:c r="J840" s="20" t="n">
        <x:v>0.1</x:v>
      </x:c>
      <x:c r="K840" s="4" t="inlineStr">
        <x:is>
          <x:t xml:space="preserve">PayPal</x:t>
        </x:is>
      </x:c>
      <x:c r="L840" s="19" t="n">
        <x:v>51.81</x:v>
      </x:c>
      <x:c r="M840" s="19" t="n">
        <x:v>5.18</x:v>
      </x:c>
      <x:c r="N840" s="19" t="n">
        <x:v>46.63</x:v>
      </x:c>
      <x:c r="O840" s="4" t="n">
        <x:f>YEAR(C840)</x:f>
        <x:v>2025</x:v>
      </x:c>
      <x:c r="P840" s="4" t="str">
        <x:f>TEXT(C840,"yyyy-mm")</x:f>
        <x:v>2025-07</x:v>
      </x:c>
      <x:c r="Q840" s="4" t="str">
        <x:f>TEXT(C840,"mmmm")</x:f>
        <x:v>July</x:v>
      </x:c>
    </x:row>
    <x:row r="841" ht="20" customHeight="1">
      <x:c r="A841" s="4" t="inlineStr">
        <x:is>
          <x:t xml:space="preserve">LINE-00847</x:t>
        </x:is>
      </x:c>
      <x:c r="B841" s="4" t="inlineStr">
        <x:is>
          <x:t xml:space="preserve">ORD-2025-0528</x:t>
        </x:is>
      </x:c>
      <x:c r="C841" s="17" t="n">
        <x:v>45891</x:v>
      </x:c>
      <x:c r="D841" s="4" t="inlineStr">
        <x:is>
          <x:t xml:space="preserve">CUS-0310</x:t>
        </x:is>
      </x:c>
      <x:c r="E841" s="4" t="inlineStr">
        <x:is>
          <x:t xml:space="preserve">Headphones</x:t>
        </x:is>
      </x:c>
      <x:c r="F841" s="4" t="inlineStr">
        <x:is>
          <x:t xml:space="preserve">Audio</x:t>
        </x:is>
      </x:c>
      <x:c r="G841" s="4" t="inlineStr">
        <x:is>
          <x:t xml:space="preserve">Seattle</x:t>
        </x:is>
      </x:c>
      <x:c r="H841" s="18" t="n">
        <x:v>2</x:v>
      </x:c>
      <x:c r="I841" s="19" t="n">
        <x:v>128.96</x:v>
      </x:c>
      <x:c r="J841" s="20" t="n">
        <x:v>0</x:v>
      </x:c>
      <x:c r="K841" s="4" t="inlineStr">
        <x:is>
          <x:t xml:space="preserve">Debit Card</x:t>
        </x:is>
      </x:c>
      <x:c r="L841" s="19" t="n">
        <x:v>257.92</x:v>
      </x:c>
      <x:c r="M841" s="19" t="n">
        <x:v>0</x:v>
      </x:c>
      <x:c r="N841" s="19" t="n">
        <x:v>257.92</x:v>
      </x:c>
      <x:c r="O841" s="4" t="n">
        <x:f>YEAR(C841)</x:f>
        <x:v>2025</x:v>
      </x:c>
      <x:c r="P841" s="4" t="str">
        <x:f>TEXT(C841,"yyyy-mm")</x:f>
        <x:v>2025-08</x:v>
      </x:c>
      <x:c r="Q841" s="4" t="str">
        <x:f>TEXT(C841,"mmmm")</x:f>
        <x:v>August</x:v>
      </x:c>
    </x:row>
    <x:row r="842" ht="20" customHeight="1">
      <x:c r="A842" s="4" t="inlineStr">
        <x:is>
          <x:t xml:space="preserve">LINE-00849</x:t>
        </x:is>
      </x:c>
      <x:c r="B842" s="4" t="inlineStr">
        <x:is>
          <x:t xml:space="preserve">ORD-2025-0529</x:t>
        </x:is>
      </x:c>
      <x:c r="C842" s="17" t="n">
        <x:v>45753</x:v>
      </x:c>
      <x:c r="D842" s="4" t="inlineStr">
        <x:is>
          <x:t xml:space="preserve">CUS-0218</x:t>
        </x:is>
      </x:c>
      <x:c r="E842" s="4" t="inlineStr">
        <x:is>
          <x:t xml:space="preserve">Wireless Mouse</x:t>
        </x:is>
      </x:c>
      <x:c r="F842" s="4" t="inlineStr">
        <x:is>
          <x:t xml:space="preserve">Accessories</x:t>
        </x:is>
      </x:c>
      <x:c r="G842" s="4" t="inlineStr">
        <x:is>
          <x:t xml:space="preserve">Boston</x:t>
        </x:is>
      </x:c>
      <x:c r="H842" s="18" t="n">
        <x:v>2</x:v>
      </x:c>
      <x:c r="I842" s="19" t="n">
        <x:v>41.64</x:v>
      </x:c>
      <x:c r="J842" s="20" t="n">
        <x:v>0</x:v>
      </x:c>
      <x:c r="K842" s="4" t="inlineStr">
        <x:is>
          <x:t xml:space="preserve">Credit Card</x:t>
        </x:is>
      </x:c>
      <x:c r="L842" s="19" t="n">
        <x:v>83.28</x:v>
      </x:c>
      <x:c r="M842" s="19" t="n">
        <x:v>0</x:v>
      </x:c>
      <x:c r="N842" s="19" t="n">
        <x:v>83.28</x:v>
      </x:c>
      <x:c r="O842" s="4" t="n">
        <x:f>YEAR(C842)</x:f>
        <x:v>2025</x:v>
      </x:c>
      <x:c r="P842" s="4" t="str">
        <x:f>TEXT(C842,"yyyy-mm")</x:f>
        <x:v>2025-04</x:v>
      </x:c>
      <x:c r="Q842" s="4" t="str">
        <x:f>TEXT(C842,"mmmm")</x:f>
        <x:v>April</x:v>
      </x:c>
    </x:row>
    <x:row r="843" ht="20" customHeight="1">
      <x:c r="A843" s="4" t="inlineStr">
        <x:is>
          <x:t xml:space="preserve">LINE-00850</x:t>
        </x:is>
      </x:c>
      <x:c r="B843" s="4" t="inlineStr">
        <x:is>
          <x:t xml:space="preserve">ORD-2025-0530</x:t>
        </x:is>
      </x:c>
      <x:c r="C843" s="17" t="n">
        <x:v>45905</x:v>
      </x:c>
      <x:c r="D843" s="4" t="inlineStr">
        <x:is>
          <x:t xml:space="preserve">CUS-0189</x:t>
        </x:is>
      </x:c>
      <x:c r="E843" s="4" t="inlineStr">
        <x:is>
          <x:t xml:space="preserve">Monitor</x:t>
        </x:is>
      </x:c>
      <x:c r="F843" s="4" t="inlineStr">
        <x:is>
          <x:t xml:space="preserve">Computers</x:t>
        </x:is>
      </x:c>
      <x:c r="G843" s="4" t="inlineStr">
        <x:is>
          <x:t xml:space="preserve">New York</x:t>
        </x:is>
      </x:c>
      <x:c r="H843" s="18" t="n">
        <x:v>5</x:v>
      </x:c>
      <x:c r="I843" s="19" t="n">
        <x:v>301.67</x:v>
      </x:c>
      <x:c r="J843" s="20" t="n">
        <x:v>0.1</x:v>
      </x:c>
      <x:c r="K843" s="4" t="inlineStr">
        <x:is>
          <x:t xml:space="preserve">Bank Transfer</x:t>
        </x:is>
      </x:c>
      <x:c r="L843" s="19" t="n">
        <x:v>1508.35</x:v>
      </x:c>
      <x:c r="M843" s="19" t="n">
        <x:v>150.84</x:v>
      </x:c>
      <x:c r="N843" s="19" t="n">
        <x:v>1357.51</x:v>
      </x:c>
      <x:c r="O843" s="4" t="n">
        <x:f>YEAR(C843)</x:f>
        <x:v>2025</x:v>
      </x:c>
      <x:c r="P843" s="4" t="str">
        <x:f>TEXT(C843,"yyyy-mm")</x:f>
        <x:v>2025-09</x:v>
      </x:c>
      <x:c r="Q843" s="4" t="str">
        <x:f>TEXT(C843,"mmmm")</x:f>
        <x:v>September</x:v>
      </x:c>
    </x:row>
    <x:row r="844" ht="20" customHeight="1">
      <x:c r="A844" s="4" t="inlineStr">
        <x:is>
          <x:t xml:space="preserve">LINE-00851</x:t>
        </x:is>
      </x:c>
      <x:c r="B844" s="4" t="inlineStr">
        <x:is>
          <x:t xml:space="preserve">ORD-2025-0530</x:t>
        </x:is>
      </x:c>
      <x:c r="C844" s="17" t="n">
        <x:v>45905</x:v>
      </x:c>
      <x:c r="D844" s="4" t="inlineStr">
        <x:is>
          <x:t xml:space="preserve">CUS-0189</x:t>
        </x:is>
      </x:c>
      <x:c r="E844" s="4" t="inlineStr">
        <x:is>
          <x:t xml:space="preserve">Keyboard</x:t>
        </x:is>
      </x:c>
      <x:c r="F844" s="4" t="inlineStr">
        <x:is>
          <x:t xml:space="preserve">Accessories</x:t>
        </x:is>
      </x:c>
      <x:c r="G844" s="4" t="inlineStr">
        <x:is>
          <x:t xml:space="preserve">New York</x:t>
        </x:is>
      </x:c>
      <x:c r="H844" s="18" t="n">
        <x:v>2</x:v>
      </x:c>
      <x:c r="I844" s="19" t="n">
        <x:v>69.94</x:v>
      </x:c>
      <x:c r="J844" s="20" t="n">
        <x:v>0.15</x:v>
      </x:c>
      <x:c r="K844" s="4" t="inlineStr">
        <x:is>
          <x:t xml:space="preserve">Bank Transfer</x:t>
        </x:is>
      </x:c>
      <x:c r="L844" s="19" t="n">
        <x:v>139.88</x:v>
      </x:c>
      <x:c r="M844" s="19" t="n">
        <x:v>20.98</x:v>
      </x:c>
      <x:c r="N844" s="19" t="n">
        <x:v>118.9</x:v>
      </x:c>
      <x:c r="O844" s="4" t="n">
        <x:f>YEAR(C844)</x:f>
        <x:v>2025</x:v>
      </x:c>
      <x:c r="P844" s="4" t="str">
        <x:f>TEXT(C844,"yyyy-mm")</x:f>
        <x:v>2025-09</x:v>
      </x:c>
      <x:c r="Q844" s="4" t="str">
        <x:f>TEXT(C844,"mmmm")</x:f>
        <x:v>September</x:v>
      </x:c>
    </x:row>
    <x:row r="845" ht="20" customHeight="1">
      <x:c r="A845" s="4" t="inlineStr">
        <x:is>
          <x:t xml:space="preserve">LINE-00852</x:t>
        </x:is>
      </x:c>
      <x:c r="B845" s="4" t="inlineStr">
        <x:is>
          <x:t xml:space="preserve">ORD-2025-0530</x:t>
        </x:is>
      </x:c>
      <x:c r="C845" s="17" t="n">
        <x:v>45905</x:v>
      </x:c>
      <x:c r="D845" s="4" t="inlineStr">
        <x:is>
          <x:t xml:space="preserve">CUS-0189</x:t>
        </x:is>
      </x:c>
      <x:c r="E845" s="4" t="inlineStr">
        <x:is>
          <x:t xml:space="preserve">External SSD</x:t>
        </x:is>
      </x:c>
      <x:c r="F845" s="4" t="inlineStr">
        <x:is>
          <x:t xml:space="preserve">Storage</x:t>
        </x:is>
      </x:c>
      <x:c r="G845" s="4" t="inlineStr">
        <x:is>
          <x:t xml:space="preserve">New York</x:t>
        </x:is>
      </x:c>
      <x:c r="H845" s="18" t="n">
        <x:v>1</x:v>
      </x:c>
      <x:c r="I845" s="19" t="n">
        <x:v>149.34</x:v>
      </x:c>
      <x:c r="J845" s="20" t="n">
        <x:v>0.1</x:v>
      </x:c>
      <x:c r="K845" s="4" t="inlineStr">
        <x:is>
          <x:t xml:space="preserve">Bank Transfer</x:t>
        </x:is>
      </x:c>
      <x:c r="L845" s="19" t="n">
        <x:v>149.34</x:v>
      </x:c>
      <x:c r="M845" s="19" t="n">
        <x:v>14.93</x:v>
      </x:c>
      <x:c r="N845" s="19" t="n">
        <x:v>134.41</x:v>
      </x:c>
      <x:c r="O845" s="4" t="n">
        <x:f>YEAR(C845)</x:f>
        <x:v>2025</x:v>
      </x:c>
      <x:c r="P845" s="4" t="str">
        <x:f>TEXT(C845,"yyyy-mm")</x:f>
        <x:v>2025-09</x:v>
      </x:c>
      <x:c r="Q845" s="4" t="str">
        <x:f>TEXT(C845,"mmmm")</x:f>
        <x:v>September</x:v>
      </x:c>
    </x:row>
    <x:row r="846" ht="20" customHeight="1">
      <x:c r="A846" s="4" t="inlineStr">
        <x:is>
          <x:t xml:space="preserve">LINE-00853</x:t>
        </x:is>
      </x:c>
      <x:c r="B846" s="4" t="inlineStr">
        <x:is>
          <x:t xml:space="preserve">ORD-2025-0531</x:t>
        </x:is>
      </x:c>
      <x:c r="C846" s="17" t="n">
        <x:v>46000</x:v>
      </x:c>
      <x:c r="D846" s="4" t="inlineStr">
        <x:is>
          <x:t xml:space="preserve">CUS-0040</x:t>
        </x:is>
      </x:c>
      <x:c r="E846" s="4" t="inlineStr">
        <x:is>
          <x:t xml:space="preserve">Webcam</x:t>
        </x:is>
      </x:c>
      <x:c r="F846" s="4" t="inlineStr">
        <x:is>
          <x:t xml:space="preserve">Accessories</x:t>
        </x:is>
      </x:c>
      <x:c r="G846" s="4" t="inlineStr">
        <x:is>
          <x:t xml:space="preserve">San Francisco</x:t>
        </x:is>
      </x:c>
      <x:c r="H846" s="18" t="n">
        <x:v>3</x:v>
      </x:c>
      <x:c r="I846" s="19" t="n">
        <x:v>89.55</x:v>
      </x:c>
      <x:c r="J846" s="20" t="n">
        <x:v>0.05</x:v>
      </x:c>
      <x:c r="K846" s="4" t="inlineStr">
        <x:is>
          <x:t xml:space="preserve">PayPal</x:t>
        </x:is>
      </x:c>
      <x:c r="L846" s="19" t="n">
        <x:v>268.65</x:v>
      </x:c>
      <x:c r="M846" s="19" t="n">
        <x:v>13.43</x:v>
      </x:c>
      <x:c r="N846" s="19" t="n">
        <x:v>255.22</x:v>
      </x:c>
      <x:c r="O846" s="4" t="n">
        <x:f>YEAR(C846)</x:f>
        <x:v>2025</x:v>
      </x:c>
      <x:c r="P846" s="4" t="str">
        <x:f>TEXT(C846,"yyyy-mm")</x:f>
        <x:v>2025-12</x:v>
      </x:c>
      <x:c r="Q846" s="4" t="str">
        <x:f>TEXT(C846,"mmmm")</x:f>
        <x:v>December</x:v>
      </x:c>
    </x:row>
    <x:row r="847" ht="20" customHeight="1">
      <x:c r="A847" s="4" t="inlineStr">
        <x:is>
          <x:t xml:space="preserve">LINE-00854</x:t>
        </x:is>
      </x:c>
      <x:c r="B847" s="4" t="inlineStr">
        <x:is>
          <x:t xml:space="preserve">ORD-2025-0531</x:t>
        </x:is>
      </x:c>
      <x:c r="C847" s="17" t="n">
        <x:v>46000</x:v>
      </x:c>
      <x:c r="D847" s="4" t="inlineStr">
        <x:is>
          <x:t xml:space="preserve">CUS-0040</x:t>
        </x:is>
      </x:c>
      <x:c r="E847" s="4" t="inlineStr">
        <x:is>
          <x:t xml:space="preserve">External SSD</x:t>
        </x:is>
      </x:c>
      <x:c r="F847" s="4" t="inlineStr">
        <x:is>
          <x:t xml:space="preserve">Storage</x:t>
        </x:is>
      </x:c>
      <x:c r="G847" s="4" t="inlineStr">
        <x:is>
          <x:t xml:space="preserve">San Francisco</x:t>
        </x:is>
      </x:c>
      <x:c r="H847" s="18" t="n">
        <x:v>2</x:v>
      </x:c>
      <x:c r="I847" s="19" t="n">
        <x:v>155.61</x:v>
      </x:c>
      <x:c r="J847" s="20" t="n">
        <x:v>0</x:v>
      </x:c>
      <x:c r="K847" s="4" t="inlineStr">
        <x:is>
          <x:t xml:space="preserve">PayPal</x:t>
        </x:is>
      </x:c>
      <x:c r="L847" s="19" t="n">
        <x:v>311.22</x:v>
      </x:c>
      <x:c r="M847" s="19" t="n">
        <x:v>0</x:v>
      </x:c>
      <x:c r="N847" s="19" t="n">
        <x:v>311.22</x:v>
      </x:c>
      <x:c r="O847" s="4" t="n">
        <x:f>YEAR(C847)</x:f>
        <x:v>2025</x:v>
      </x:c>
      <x:c r="P847" s="4" t="str">
        <x:f>TEXT(C847,"yyyy-mm")</x:f>
        <x:v>2025-12</x:v>
      </x:c>
      <x:c r="Q847" s="4" t="str">
        <x:f>TEXT(C847,"mmmm")</x:f>
        <x:v>December</x:v>
      </x:c>
    </x:row>
    <x:row r="848" ht="20" customHeight="1">
      <x:c r="A848" s="4" t="inlineStr">
        <x:is>
          <x:t xml:space="preserve">LINE-00855</x:t>
        </x:is>
      </x:c>
      <x:c r="B848" s="4" t="inlineStr">
        <x:is>
          <x:t xml:space="preserve">ORD-2025-0532</x:t>
        </x:is>
      </x:c>
      <x:c r="C848" s="17" t="n">
        <x:v>45808</x:v>
      </x:c>
      <x:c r="D848" s="4" t="inlineStr">
        <x:is>
          <x:t xml:space="preserve">CUS-0149</x:t>
        </x:is>
      </x:c>
      <x:c r="E848" s="4" t="inlineStr">
        <x:is>
          <x:t xml:space="preserve">USB Flash Drive</x:t>
        </x:is>
      </x:c>
      <x:c r="F848" s="4" t="inlineStr">
        <x:is>
          <x:t xml:space="preserve">Storage</x:t>
        </x:is>
      </x:c>
      <x:c r="G848" s="4" t="inlineStr">
        <x:is>
          <x:t xml:space="preserve">Chicago</x:t>
        </x:is>
      </x:c>
      <x:c r="H848" s="18" t="n">
        <x:v>3</x:v>
      </x:c>
      <x:c r="I848" s="19" t="n">
        <x:v>30.31</x:v>
      </x:c>
      <x:c r="J848" s="20" t="n">
        <x:v>0</x:v>
      </x:c>
      <x:c r="K848" s="4" t="inlineStr">
        <x:is>
          <x:t xml:space="preserve">Credit Card</x:t>
        </x:is>
      </x:c>
      <x:c r="L848" s="19" t="n">
        <x:v>90.93000000000001</x:v>
      </x:c>
      <x:c r="M848" s="19" t="n">
        <x:v>0</x:v>
      </x:c>
      <x:c r="N848" s="19" t="n">
        <x:v>90.93000000000001</x:v>
      </x:c>
      <x:c r="O848" s="4" t="n">
        <x:f>YEAR(C848)</x:f>
        <x:v>2025</x:v>
      </x:c>
      <x:c r="P848" s="4" t="str">
        <x:f>TEXT(C848,"yyyy-mm")</x:f>
        <x:v>2025-05</x:v>
      </x:c>
      <x:c r="Q848" s="4" t="str">
        <x:f>TEXT(C848,"mmmm")</x:f>
        <x:v>May</x:v>
      </x:c>
    </x:row>
    <x:row r="849" ht="20" customHeight="1">
      <x:c r="A849" s="4" t="inlineStr">
        <x:is>
          <x:t xml:space="preserve">LINE-00856</x:t>
        </x:is>
      </x:c>
      <x:c r="B849" s="4" t="inlineStr">
        <x:is>
          <x:t xml:space="preserve">ORD-2025-0532</x:t>
        </x:is>
      </x:c>
      <x:c r="C849" s="17" t="n">
        <x:v>45808</x:v>
      </x:c>
      <x:c r="D849" s="4" t="inlineStr">
        <x:is>
          <x:t xml:space="preserve">CUS-0149</x:t>
        </x:is>
      </x:c>
      <x:c r="E849" s="4" t="inlineStr">
        <x:is>
          <x:t xml:space="preserve">USB-C Hub</x:t>
        </x:is>
      </x:c>
      <x:c r="F849" s="4" t="inlineStr">
        <x:is>
          <x:t xml:space="preserve">Accessories</x:t>
        </x:is>
      </x:c>
      <x:c r="G849" s="4" t="inlineStr">
        <x:is>
          <x:t xml:space="preserve">Chicago</x:t>
        </x:is>
      </x:c>
      <x:c r="H849" s="18" t="n">
        <x:v>2</x:v>
      </x:c>
      <x:c r="I849" s="19" t="n">
        <x:v>61.56</x:v>
      </x:c>
      <x:c r="J849" s="20" t="n">
        <x:v>0</x:v>
      </x:c>
      <x:c r="K849" s="4" t="inlineStr">
        <x:is>
          <x:t xml:space="preserve">Credit Card</x:t>
        </x:is>
      </x:c>
      <x:c r="L849" s="19" t="n">
        <x:v>123.12</x:v>
      </x:c>
      <x:c r="M849" s="19" t="n">
        <x:v>0</x:v>
      </x:c>
      <x:c r="N849" s="19" t="n">
        <x:v>123.12</x:v>
      </x:c>
      <x:c r="O849" s="4" t="n">
        <x:f>YEAR(C849)</x:f>
        <x:v>2025</x:v>
      </x:c>
      <x:c r="P849" s="4" t="str">
        <x:f>TEXT(C849,"yyyy-mm")</x:f>
        <x:v>2025-05</x:v>
      </x:c>
      <x:c r="Q849" s="4" t="str">
        <x:f>TEXT(C849,"mmmm")</x:f>
        <x:v>May</x:v>
      </x:c>
    </x:row>
    <x:row r="850" ht="20" customHeight="1">
      <x:c r="A850" s="4" t="inlineStr">
        <x:is>
          <x:t xml:space="preserve">LINE-00857</x:t>
        </x:is>
      </x:c>
      <x:c r="B850" s="4" t="inlineStr">
        <x:is>
          <x:t xml:space="preserve">ORD-2025-0533</x:t>
        </x:is>
      </x:c>
      <x:c r="C850" s="17" t="n">
        <x:v>45807</x:v>
      </x:c>
      <x:c r="D850" s="4" t="inlineStr">
        <x:is>
          <x:t xml:space="preserve">CUS-0320</x:t>
        </x:is>
      </x:c>
      <x:c r="E850" s="4" t="inlineStr">
        <x:is>
          <x:t xml:space="preserve">Keyboard</x:t>
        </x:is>
      </x:c>
      <x:c r="F850" s="4" t="inlineStr">
        <x:is>
          <x:t xml:space="preserve">Accessories</x:t>
        </x:is>
      </x:c>
      <x:c r="G850" s="4" t="inlineStr">
        <x:is>
          <x:t xml:space="preserve">New York</x:t>
        </x:is>
      </x:c>
      <x:c r="H850" s="18" t="n">
        <x:v>2</x:v>
      </x:c>
      <x:c r="I850" s="19" t="n">
        <x:v>79.22</x:v>
      </x:c>
      <x:c r="J850" s="20" t="n">
        <x:v>0</x:v>
      </x:c>
      <x:c r="K850" s="4" t="inlineStr">
        <x:is>
          <x:t xml:space="preserve">PayPal</x:t>
        </x:is>
      </x:c>
      <x:c r="L850" s="19" t="n">
        <x:v>158.44</x:v>
      </x:c>
      <x:c r="M850" s="19" t="n">
        <x:v>0</x:v>
      </x:c>
      <x:c r="N850" s="19" t="n">
        <x:v>158.44</x:v>
      </x:c>
      <x:c r="O850" s="4" t="n">
        <x:f>YEAR(C850)</x:f>
        <x:v>2025</x:v>
      </x:c>
      <x:c r="P850" s="4" t="str">
        <x:f>TEXT(C850,"yyyy-mm")</x:f>
        <x:v>2025-05</x:v>
      </x:c>
      <x:c r="Q850" s="4" t="str">
        <x:f>TEXT(C850,"mmmm")</x:f>
        <x:v>May</x:v>
      </x:c>
    </x:row>
    <x:row r="851" ht="20" customHeight="1">
      <x:c r="A851" s="4" t="inlineStr">
        <x:is>
          <x:t xml:space="preserve">LINE-00858</x:t>
        </x:is>
      </x:c>
      <x:c r="B851" s="4" t="inlineStr">
        <x:is>
          <x:t xml:space="preserve">ORD-2025-0534</x:t>
        </x:is>
      </x:c>
      <x:c r="C851" s="17" t="n">
        <x:v>45725</x:v>
      </x:c>
      <x:c r="D851" s="4" t="inlineStr">
        <x:is>
          <x:t xml:space="preserve">CUS-0316</x:t>
        </x:is>
      </x:c>
      <x:c r="E851" s="4" t="inlineStr">
        <x:is>
          <x:t xml:space="preserve">Laptop</x:t>
        </x:is>
      </x:c>
      <x:c r="F851" s="4" t="inlineStr">
        <x:is>
          <x:t xml:space="preserve">Computers</x:t>
        </x:is>
      </x:c>
      <x:c r="G851" s="4" t="inlineStr">
        <x:is>
          <x:t xml:space="preserve">Austin</x:t>
        </x:is>
      </x:c>
      <x:c r="H851" s="18" t="n">
        <x:v>1</x:v>
      </x:c>
      <x:c r="I851" s="19" t="n">
        <x:v>963.95</x:v>
      </x:c>
      <x:c r="J851" s="20" t="n">
        <x:v>0</x:v>
      </x:c>
      <x:c r="K851" s="4" t="inlineStr">
        <x:is>
          <x:t xml:space="preserve">PayPal</x:t>
        </x:is>
      </x:c>
      <x:c r="L851" s="19" t="n">
        <x:v>963.95</x:v>
      </x:c>
      <x:c r="M851" s="19" t="n">
        <x:v>0</x:v>
      </x:c>
      <x:c r="N851" s="19" t="n">
        <x:v>963.95</x:v>
      </x:c>
      <x:c r="O851" s="4" t="n">
        <x:f>YEAR(C851)</x:f>
        <x:v>2025</x:v>
      </x:c>
      <x:c r="P851" s="4" t="str">
        <x:f>TEXT(C851,"yyyy-mm")</x:f>
        <x:v>2025-03</x:v>
      </x:c>
      <x:c r="Q851" s="4" t="str">
        <x:f>TEXT(C851,"mmmm")</x:f>
        <x:v>March</x:v>
      </x:c>
    </x:row>
    <x:row r="852" ht="20" customHeight="1">
      <x:c r="A852" s="4" t="inlineStr">
        <x:is>
          <x:t xml:space="preserve">LINE-00859</x:t>
        </x:is>
      </x:c>
      <x:c r="B852" s="4" t="inlineStr">
        <x:is>
          <x:t xml:space="preserve">ORD-2025-0534</x:t>
        </x:is>
      </x:c>
      <x:c r="C852" s="17" t="n">
        <x:v>45725</x:v>
      </x:c>
      <x:c r="D852" s="4" t="inlineStr">
        <x:is>
          <x:t xml:space="preserve">CUS-0316</x:t>
        </x:is>
      </x:c>
      <x:c r="E852" s="4" t="inlineStr">
        <x:is>
          <x:t xml:space="preserve">Monitor</x:t>
        </x:is>
      </x:c>
      <x:c r="F852" s="4" t="inlineStr">
        <x:is>
          <x:t xml:space="preserve">Computers</x:t>
        </x:is>
      </x:c>
      <x:c r="G852" s="4" t="inlineStr">
        <x:is>
          <x:t xml:space="preserve">Austin</x:t>
        </x:is>
      </x:c>
      <x:c r="H852" s="18" t="n">
        <x:v>2</x:v>
      </x:c>
      <x:c r="I852" s="19" t="n">
        <x:v>293.79</x:v>
      </x:c>
      <x:c r="J852" s="20" t="n">
        <x:v>0</x:v>
      </x:c>
      <x:c r="K852" s="4" t="inlineStr">
        <x:is>
          <x:t xml:space="preserve">PayPal</x:t>
        </x:is>
      </x:c>
      <x:c r="L852" s="19" t="n">
        <x:v>587.58</x:v>
      </x:c>
      <x:c r="M852" s="19" t="n">
        <x:v>0</x:v>
      </x:c>
      <x:c r="N852" s="19" t="n">
        <x:v>587.58</x:v>
      </x:c>
      <x:c r="O852" s="4" t="n">
        <x:f>YEAR(C852)</x:f>
        <x:v>2025</x:v>
      </x:c>
      <x:c r="P852" s="4" t="str">
        <x:f>TEXT(C852,"yyyy-mm")</x:f>
        <x:v>2025-03</x:v>
      </x:c>
      <x:c r="Q852" s="4" t="str">
        <x:f>TEXT(C852,"mmmm")</x:f>
        <x:v>March</x:v>
      </x:c>
    </x:row>
    <x:row r="853" ht="20" customHeight="1">
      <x:c r="A853" s="4" t="inlineStr">
        <x:is>
          <x:t xml:space="preserve">LINE-00860</x:t>
        </x:is>
      </x:c>
      <x:c r="B853" s="4" t="inlineStr">
        <x:is>
          <x:t xml:space="preserve">ORD-2025-0534</x:t>
        </x:is>
      </x:c>
      <x:c r="C853" s="17" t="n">
        <x:v>45725</x:v>
      </x:c>
      <x:c r="D853" s="4" t="inlineStr">
        <x:is>
          <x:t xml:space="preserve">CUS-0316</x:t>
        </x:is>
      </x:c>
      <x:c r="E853" s="4" t="inlineStr">
        <x:is>
          <x:t xml:space="preserve">USB Flash Drive</x:t>
        </x:is>
      </x:c>
      <x:c r="F853" s="4" t="inlineStr">
        <x:is>
          <x:t xml:space="preserve">Storage</x:t>
        </x:is>
      </x:c>
      <x:c r="G853" s="4" t="inlineStr">
        <x:is>
          <x:t xml:space="preserve">Austin</x:t>
        </x:is>
      </x:c>
      <x:c r="H853" s="18" t="n">
        <x:v>3</x:v>
      </x:c>
      <x:c r="I853" s="19" t="n">
        <x:v>29.93</x:v>
      </x:c>
      <x:c r="J853" s="20" t="n">
        <x:v>0.1</x:v>
      </x:c>
      <x:c r="K853" s="4" t="inlineStr">
        <x:is>
          <x:t xml:space="preserve">PayPal</x:t>
        </x:is>
      </x:c>
      <x:c r="L853" s="19" t="n">
        <x:v>89.79000000000001</x:v>
      </x:c>
      <x:c r="M853" s="19" t="n">
        <x:v>8.98</x:v>
      </x:c>
      <x:c r="N853" s="19" t="n">
        <x:v>80.81</x:v>
      </x:c>
      <x:c r="O853" s="4" t="n">
        <x:f>YEAR(C853)</x:f>
        <x:v>2025</x:v>
      </x:c>
      <x:c r="P853" s="4" t="str">
        <x:f>TEXT(C853,"yyyy-mm")</x:f>
        <x:v>2025-03</x:v>
      </x:c>
      <x:c r="Q853" s="4" t="str">
        <x:f>TEXT(C853,"mmmm")</x:f>
        <x:v>March</x:v>
      </x:c>
    </x:row>
    <x:row r="854" ht="20" customHeight="1">
      <x:c r="A854" s="4" t="inlineStr">
        <x:is>
          <x:t xml:space="preserve">LINE-00861</x:t>
        </x:is>
      </x:c>
      <x:c r="B854" s="4" t="inlineStr">
        <x:is>
          <x:t xml:space="preserve">ORD-2025-0535</x:t>
        </x:is>
      </x:c>
      <x:c r="C854" s="17" t="n">
        <x:v>45674</x:v>
      </x:c>
      <x:c r="D854" s="4" t="inlineStr">
        <x:is>
          <x:t xml:space="preserve">CUS-0176</x:t>
        </x:is>
      </x:c>
      <x:c r="E854" s="4" t="inlineStr">
        <x:is>
          <x:t xml:space="preserve">Keyboard</x:t>
        </x:is>
      </x:c>
      <x:c r="F854" s="4" t="inlineStr">
        <x:is>
          <x:t xml:space="preserve">Accessories</x:t>
        </x:is>
      </x:c>
      <x:c r="G854" s="4" t="inlineStr">
        <x:is>
          <x:t xml:space="preserve">New York</x:t>
        </x:is>
      </x:c>
      <x:c r="H854" s="18" t="n">
        <x:v>3</x:v>
      </x:c>
      <x:c r="I854" s="19" t="n">
        <x:v>73.95999999999999</x:v>
      </x:c>
      <x:c r="J854" s="20" t="n">
        <x:v>0</x:v>
      </x:c>
      <x:c r="K854" s="4" t="inlineStr">
        <x:is>
          <x:t xml:space="preserve">Debit Card</x:t>
        </x:is>
      </x:c>
      <x:c r="L854" s="19" t="n">
        <x:v>221.88</x:v>
      </x:c>
      <x:c r="M854" s="19" t="n">
        <x:v>0</x:v>
      </x:c>
      <x:c r="N854" s="19" t="n">
        <x:v>221.88</x:v>
      </x:c>
      <x:c r="O854" s="4" t="n">
        <x:f>YEAR(C854)</x:f>
        <x:v>2025</x:v>
      </x:c>
      <x:c r="P854" s="4" t="str">
        <x:f>TEXT(C854,"yyyy-mm")</x:f>
        <x:v>2025-01</x:v>
      </x:c>
      <x:c r="Q854" s="4" t="str">
        <x:f>TEXT(C854,"mmmm")</x:f>
        <x:v>January</x:v>
      </x:c>
    </x:row>
    <x:row r="855" ht="20" customHeight="1">
      <x:c r="A855" s="4" t="inlineStr">
        <x:is>
          <x:t xml:space="preserve">LINE-00862</x:t>
        </x:is>
      </x:c>
      <x:c r="B855" s="4" t="inlineStr">
        <x:is>
          <x:t xml:space="preserve">ORD-2025-0535</x:t>
        </x:is>
      </x:c>
      <x:c r="C855" s="17" t="n">
        <x:v>45674</x:v>
      </x:c>
      <x:c r="D855" s="4" t="inlineStr">
        <x:is>
          <x:t xml:space="preserve">CUS-0176</x:t>
        </x:is>
      </x:c>
      <x:c r="E855" s="4" t="inlineStr">
        <x:is>
          <x:t xml:space="preserve">Bluetooth Speaker</x:t>
        </x:is>
      </x:c>
      <x:c r="F855" s="4" t="inlineStr">
        <x:is>
          <x:t xml:space="preserve">Audio</x:t>
        </x:is>
      </x:c>
      <x:c r="G855" s="4" t="inlineStr">
        <x:is>
          <x:t xml:space="preserve">New York</x:t>
        </x:is>
      </x:c>
      <x:c r="H855" s="18" t="n">
        <x:v>2</x:v>
      </x:c>
      <x:c r="I855" s="19" t="n">
        <x:v>113.98</x:v>
      </x:c>
      <x:c r="J855" s="20" t="n">
        <x:v>0</x:v>
      </x:c>
      <x:c r="K855" s="4" t="inlineStr">
        <x:is>
          <x:t xml:space="preserve">Debit Card</x:t>
        </x:is>
      </x:c>
      <x:c r="L855" s="19" t="n">
        <x:v>227.96</x:v>
      </x:c>
      <x:c r="M855" s="19" t="n">
        <x:v>0</x:v>
      </x:c>
      <x:c r="N855" s="19" t="n">
        <x:v>227.96</x:v>
      </x:c>
      <x:c r="O855" s="4" t="n">
        <x:f>YEAR(C855)</x:f>
        <x:v>2025</x:v>
      </x:c>
      <x:c r="P855" s="4" t="str">
        <x:f>TEXT(C855,"yyyy-mm")</x:f>
        <x:v>2025-01</x:v>
      </x:c>
      <x:c r="Q855" s="4" t="str">
        <x:f>TEXT(C855,"mmmm")</x:f>
        <x:v>January</x:v>
      </x:c>
    </x:row>
    <x:row r="856" ht="20" customHeight="1">
      <x:c r="A856" s="4" t="inlineStr">
        <x:is>
          <x:t xml:space="preserve">LINE-00863</x:t>
        </x:is>
      </x:c>
      <x:c r="B856" s="4" t="inlineStr">
        <x:is>
          <x:t xml:space="preserve">ORD-2025-0536</x:t>
        </x:is>
      </x:c>
      <x:c r="C856" s="17" t="n">
        <x:v>45953</x:v>
      </x:c>
      <x:c r="D856" s="4" t="inlineStr">
        <x:is>
          <x:t xml:space="preserve">CUS-0177</x:t>
        </x:is>
      </x:c>
      <x:c r="E856" s="4" t="inlineStr">
        <x:is>
          <x:t xml:space="preserve">Monitor</x:t>
        </x:is>
      </x:c>
      <x:c r="F856" s="4" t="inlineStr">
        <x:is>
          <x:t xml:space="preserve">Computers</x:t>
        </x:is>
      </x:c>
      <x:c r="G856" s="4" t="inlineStr">
        <x:is>
          <x:t xml:space="preserve">New York</x:t>
        </x:is>
      </x:c>
      <x:c r="H856" s="18" t="n">
        <x:v>1</x:v>
      </x:c>
      <x:c r="I856" s="19" t="n">
        <x:v>275.46</x:v>
      </x:c>
      <x:c r="J856" s="20" t="n">
        <x:v>0</x:v>
      </x:c>
      <x:c r="K856" s="4" t="inlineStr">
        <x:is>
          <x:t xml:space="preserve">PayPal</x:t>
        </x:is>
      </x:c>
      <x:c r="L856" s="19" t="n">
        <x:v>275.46</x:v>
      </x:c>
      <x:c r="M856" s="19" t="n">
        <x:v>0</x:v>
      </x:c>
      <x:c r="N856" s="19" t="n">
        <x:v>275.46</x:v>
      </x:c>
      <x:c r="O856" s="4" t="n">
        <x:f>YEAR(C856)</x:f>
        <x:v>2025</x:v>
      </x:c>
      <x:c r="P856" s="4" t="str">
        <x:f>TEXT(C856,"yyyy-mm")</x:f>
        <x:v>2025-10</x:v>
      </x:c>
      <x:c r="Q856" s="4" t="str">
        <x:f>TEXT(C856,"mmmm")</x:f>
        <x:v>October</x:v>
      </x:c>
    </x:row>
    <x:row r="857" ht="20" customHeight="1">
      <x:c r="A857" s="4" t="inlineStr">
        <x:is>
          <x:t xml:space="preserve">LINE-00864</x:t>
        </x:is>
      </x:c>
      <x:c r="B857" s="4" t="inlineStr">
        <x:is>
          <x:t xml:space="preserve">ORD-2025-0536</x:t>
        </x:is>
      </x:c>
      <x:c r="C857" s="17" t="n">
        <x:v>45953</x:v>
      </x:c>
      <x:c r="D857" s="4" t="inlineStr">
        <x:is>
          <x:t xml:space="preserve">CUS-0177</x:t>
        </x:is>
      </x:c>
      <x:c r="E857" s="4" t="inlineStr">
        <x:is>
          <x:t xml:space="preserve">Laptop</x:t>
        </x:is>
      </x:c>
      <x:c r="F857" s="4" t="inlineStr">
        <x:is>
          <x:t xml:space="preserve">Computers</x:t>
        </x:is>
      </x:c>
      <x:c r="G857" s="4" t="inlineStr">
        <x:is>
          <x:t xml:space="preserve">New York</x:t>
        </x:is>
      </x:c>
      <x:c r="H857" s="18" t="n">
        <x:v>3</x:v>
      </x:c>
      <x:c r="I857" s="19" t="n">
        <x:v>988.37</x:v>
      </x:c>
      <x:c r="J857" s="20" t="n">
        <x:v>0.05</x:v>
      </x:c>
      <x:c r="K857" s="4" t="inlineStr">
        <x:is>
          <x:t xml:space="preserve">PayPal</x:t>
        </x:is>
      </x:c>
      <x:c r="L857" s="19" t="n">
        <x:v>2965.11</x:v>
      </x:c>
      <x:c r="M857" s="19" t="n">
        <x:v>148.26</x:v>
      </x:c>
      <x:c r="N857" s="19" t="n">
        <x:v>2816.85</x:v>
      </x:c>
      <x:c r="O857" s="4" t="n">
        <x:f>YEAR(C857)</x:f>
        <x:v>2025</x:v>
      </x:c>
      <x:c r="P857" s="4" t="str">
        <x:f>TEXT(C857,"yyyy-mm")</x:f>
        <x:v>2025-10</x:v>
      </x:c>
      <x:c r="Q857" s="4" t="str">
        <x:f>TEXT(C857,"mmmm")</x:f>
        <x:v>October</x:v>
      </x:c>
    </x:row>
    <x:row r="858" ht="20" customHeight="1">
      <x:c r="A858" s="4" t="inlineStr">
        <x:is>
          <x:t xml:space="preserve">LINE-00865</x:t>
        </x:is>
      </x:c>
      <x:c r="B858" s="4" t="inlineStr">
        <x:is>
          <x:t xml:space="preserve">ORD-2025-0537</x:t>
        </x:is>
      </x:c>
      <x:c r="C858" s="17" t="n">
        <x:v>45852</x:v>
      </x:c>
      <x:c r="D858" s="4" t="inlineStr">
        <x:is>
          <x:t xml:space="preserve">CUS-0350</x:t>
        </x:is>
      </x:c>
      <x:c r="E858" s="4" t="inlineStr">
        <x:is>
          <x:t xml:space="preserve">Keyboard</x:t>
        </x:is>
      </x:c>
      <x:c r="F858" s="4" t="inlineStr">
        <x:is>
          <x:t xml:space="preserve">Accessories</x:t>
        </x:is>
      </x:c>
      <x:c r="G858" s="4" t="inlineStr">
        <x:is>
          <x:t xml:space="preserve">San Francisco</x:t>
        </x:is>
      </x:c>
      <x:c r="H858" s="18" t="n">
        <x:v>2</x:v>
      </x:c>
      <x:c r="I858" s="19" t="n">
        <x:v>74.22</x:v>
      </x:c>
      <x:c r="J858" s="20" t="n">
        <x:v>0</x:v>
      </x:c>
      <x:c r="K858" s="4" t="inlineStr">
        <x:is>
          <x:t xml:space="preserve">Bank Transfer</x:t>
        </x:is>
      </x:c>
      <x:c r="L858" s="19" t="n">
        <x:v>148.44</x:v>
      </x:c>
      <x:c r="M858" s="19" t="n">
        <x:v>0</x:v>
      </x:c>
      <x:c r="N858" s="19" t="n">
        <x:v>148.44</x:v>
      </x:c>
      <x:c r="O858" s="4" t="n">
        <x:f>YEAR(C858)</x:f>
        <x:v>2025</x:v>
      </x:c>
      <x:c r="P858" s="4" t="str">
        <x:f>TEXT(C858,"yyyy-mm")</x:f>
        <x:v>2025-07</x:v>
      </x:c>
      <x:c r="Q858" s="4" t="str">
        <x:f>TEXT(C858,"mmmm")</x:f>
        <x:v>July</x:v>
      </x:c>
    </x:row>
    <x:row r="859" ht="20" customHeight="1">
      <x:c r="A859" s="4" t="inlineStr">
        <x:is>
          <x:t xml:space="preserve">LINE-00866</x:t>
        </x:is>
      </x:c>
      <x:c r="B859" s="4" t="inlineStr">
        <x:is>
          <x:t xml:space="preserve">ORD-2025-0538</x:t>
        </x:is>
      </x:c>
      <x:c r="C859" s="17" t="n">
        <x:v>45887</x:v>
      </x:c>
      <x:c r="D859" s="4" t="inlineStr">
        <x:is>
          <x:t xml:space="preserve">CUS-0196</x:t>
        </x:is>
      </x:c>
      <x:c r="E859" s="4" t="inlineStr">
        <x:is>
          <x:t xml:space="preserve">Office Chair</x:t>
        </x:is>
      </x:c>
      <x:c r="F859" s="4" t="inlineStr">
        <x:is>
          <x:t xml:space="preserve">Furniture</x:t>
        </x:is>
      </x:c>
      <x:c r="G859" s="4" t="inlineStr">
        <x:is>
          <x:t xml:space="preserve">San Francisco</x:t>
        </x:is>
      </x:c>
      <x:c r="H859" s="18" t="n">
        <x:v>4</x:v>
      </x:c>
      <x:c r="I859" s="19" t="n">
        <x:v>245.28</x:v>
      </x:c>
      <x:c r="J859" s="20" t="n">
        <x:v>0.15</x:v>
      </x:c>
      <x:c r="K859" s="4" t="inlineStr">
        <x:is>
          <x:t xml:space="preserve">PayPal</x:t>
        </x:is>
      </x:c>
      <x:c r="L859" s="19" t="n">
        <x:v>981.12</x:v>
      </x:c>
      <x:c r="M859" s="19" t="n">
        <x:v>147.17</x:v>
      </x:c>
      <x:c r="N859" s="19" t="n">
        <x:v>833.95</x:v>
      </x:c>
      <x:c r="O859" s="4" t="n">
        <x:f>YEAR(C859)</x:f>
        <x:v>2025</x:v>
      </x:c>
      <x:c r="P859" s="4" t="str">
        <x:f>TEXT(C859,"yyyy-mm")</x:f>
        <x:v>2025-08</x:v>
      </x:c>
      <x:c r="Q859" s="4" t="str">
        <x:f>TEXT(C859,"mmmm")</x:f>
        <x:v>August</x:v>
      </x:c>
    </x:row>
    <x:row r="860" ht="20" customHeight="1">
      <x:c r="A860" s="4" t="inlineStr">
        <x:is>
          <x:t xml:space="preserve">LINE-00867</x:t>
        </x:is>
      </x:c>
      <x:c r="B860" s="4" t="inlineStr">
        <x:is>
          <x:t xml:space="preserve">ORD-2025-0538</x:t>
        </x:is>
      </x:c>
      <x:c r="C860" s="17" t="n">
        <x:v>45887</x:v>
      </x:c>
      <x:c r="D860" s="4" t="inlineStr">
        <x:is>
          <x:t xml:space="preserve">CUS-0196</x:t>
        </x:is>
      </x:c>
      <x:c r="E860" s="4" t="inlineStr">
        <x:is>
          <x:t xml:space="preserve">Laptop</x:t>
        </x:is>
      </x:c>
      <x:c r="F860" s="4" t="inlineStr">
        <x:is>
          <x:t xml:space="preserve">Computers</x:t>
        </x:is>
      </x:c>
      <x:c r="G860" s="4" t="inlineStr">
        <x:is>
          <x:t xml:space="preserve">San Francisco</x:t>
        </x:is>
      </x:c>
      <x:c r="H860" s="18" t="n">
        <x:v>2</x:v>
      </x:c>
      <x:c r="I860" s="19" t="n">
        <x:v>1013.54</x:v>
      </x:c>
      <x:c r="J860" s="20" t="n">
        <x:v>0.1</x:v>
      </x:c>
      <x:c r="K860" s="4" t="inlineStr">
        <x:is>
          <x:t xml:space="preserve">PayPal</x:t>
        </x:is>
      </x:c>
      <x:c r="L860" s="19" t="n">
        <x:v>2027.08</x:v>
      </x:c>
      <x:c r="M860" s="19" t="n">
        <x:v>202.71</x:v>
      </x:c>
      <x:c r="N860" s="19" t="n">
        <x:v>1824.37</x:v>
      </x:c>
      <x:c r="O860" s="4" t="n">
        <x:f>YEAR(C860)</x:f>
        <x:v>2025</x:v>
      </x:c>
      <x:c r="P860" s="4" t="str">
        <x:f>TEXT(C860,"yyyy-mm")</x:f>
        <x:v>2025-08</x:v>
      </x:c>
      <x:c r="Q860" s="4" t="str">
        <x:f>TEXT(C860,"mmmm")</x:f>
        <x:v>August</x:v>
      </x:c>
    </x:row>
    <x:row r="861" ht="20" customHeight="1">
      <x:c r="A861" s="4" t="inlineStr">
        <x:is>
          <x:t xml:space="preserve">LINE-00868</x:t>
        </x:is>
      </x:c>
      <x:c r="B861" s="4" t="inlineStr">
        <x:is>
          <x:t xml:space="preserve">ORD-2025-0538</x:t>
        </x:is>
      </x:c>
      <x:c r="C861" s="17" t="n">
        <x:v>45887</x:v>
      </x:c>
      <x:c r="D861" s="4" t="inlineStr">
        <x:is>
          <x:t xml:space="preserve">CUS-0196</x:t>
        </x:is>
      </x:c>
      <x:c r="E861" s="4" t="inlineStr">
        <x:is>
          <x:t xml:space="preserve">Monitor</x:t>
        </x:is>
      </x:c>
      <x:c r="F861" s="4" t="inlineStr">
        <x:is>
          <x:t xml:space="preserve">Computers</x:t>
        </x:is>
      </x:c>
      <x:c r="G861" s="4" t="inlineStr">
        <x:is>
          <x:t xml:space="preserve">San Francisco</x:t>
        </x:is>
      </x:c>
      <x:c r="H861" s="18" t="n">
        <x:v>1</x:v>
      </x:c>
      <x:c r="I861" s="19" t="n">
        <x:v>269.57</x:v>
      </x:c>
      <x:c r="J861" s="20" t="n">
        <x:v>0</x:v>
      </x:c>
      <x:c r="K861" s="4" t="inlineStr">
        <x:is>
          <x:t xml:space="preserve">PayPal</x:t>
        </x:is>
      </x:c>
      <x:c r="L861" s="19" t="n">
        <x:v>269.57</x:v>
      </x:c>
      <x:c r="M861" s="19" t="n">
        <x:v>0</x:v>
      </x:c>
      <x:c r="N861" s="19" t="n">
        <x:v>269.57</x:v>
      </x:c>
      <x:c r="O861" s="4" t="n">
        <x:f>YEAR(C861)</x:f>
        <x:v>2025</x:v>
      </x:c>
      <x:c r="P861" s="4" t="str">
        <x:f>TEXT(C861,"yyyy-mm")</x:f>
        <x:v>2025-08</x:v>
      </x:c>
      <x:c r="Q861" s="4" t="str">
        <x:f>TEXT(C861,"mmmm")</x:f>
        <x:v>August</x:v>
      </x:c>
    </x:row>
    <x:row r="862" ht="20" customHeight="1">
      <x:c r="A862" s="4" t="inlineStr">
        <x:is>
          <x:t xml:space="preserve">LINE-00869</x:t>
        </x:is>
      </x:c>
      <x:c r="B862" s="4" t="inlineStr">
        <x:is>
          <x:t xml:space="preserve">ORD-2025-0539</x:t>
        </x:is>
      </x:c>
      <x:c r="C862" s="17" t="n">
        <x:v>45993</x:v>
      </x:c>
      <x:c r="D862" s="4" t="inlineStr">
        <x:is>
          <x:t xml:space="preserve">CUS-0300</x:t>
        </x:is>
      </x:c>
      <x:c r="E862" s="4" t="inlineStr">
        <x:is>
          <x:t xml:space="preserve">Desk Lamp</x:t>
        </x:is>
      </x:c>
      <x:c r="F862" s="4" t="inlineStr">
        <x:is>
          <x:t xml:space="preserve">Furniture</x:t>
        </x:is>
      </x:c>
      <x:c r="G862" s="4" t="inlineStr">
        <x:is>
          <x:t xml:space="preserve">Seattle</x:t>
        </x:is>
      </x:c>
      <x:c r="H862" s="18" t="n">
        <x:v>3</x:v>
      </x:c>
      <x:c r="I862" s="19" t="n">
        <x:v>55.78</x:v>
      </x:c>
      <x:c r="J862" s="20" t="n">
        <x:v>0</x:v>
      </x:c>
      <x:c r="K862" s="4" t="inlineStr">
        <x:is>
          <x:t xml:space="preserve">Bank Transfer</x:t>
        </x:is>
      </x:c>
      <x:c r="L862" s="19" t="n">
        <x:v>167.34</x:v>
      </x:c>
      <x:c r="M862" s="19" t="n">
        <x:v>0</x:v>
      </x:c>
      <x:c r="N862" s="19" t="n">
        <x:v>167.34</x:v>
      </x:c>
      <x:c r="O862" s="4" t="n">
        <x:f>YEAR(C862)</x:f>
        <x:v>2025</x:v>
      </x:c>
      <x:c r="P862" s="4" t="str">
        <x:f>TEXT(C862,"yyyy-mm")</x:f>
        <x:v>2025-12</x:v>
      </x:c>
      <x:c r="Q862" s="4" t="str">
        <x:f>TEXT(C862,"mmmm")</x:f>
        <x:v>December</x:v>
      </x:c>
    </x:row>
    <x:row r="863" ht="20" customHeight="1">
      <x:c r="A863" s="4" t="inlineStr">
        <x:is>
          <x:t xml:space="preserve">LINE-00870</x:t>
        </x:is>
      </x:c>
      <x:c r="B863" s="4" t="inlineStr">
        <x:is>
          <x:t xml:space="preserve">ORD-2025-0539</x:t>
        </x:is>
      </x:c>
      <x:c r="C863" s="17" t="n">
        <x:v>45993</x:v>
      </x:c>
      <x:c r="D863" s="4" t="inlineStr">
        <x:is>
          <x:t xml:space="preserve">CUS-0300</x:t>
        </x:is>
      </x:c>
      <x:c r="E863" s="4" t="inlineStr">
        <x:is>
          <x:t xml:space="preserve">Wireless Mouse</x:t>
        </x:is>
      </x:c>
      <x:c r="F863" s="4" t="inlineStr">
        <x:is>
          <x:t xml:space="preserve">Accessories</x:t>
        </x:is>
      </x:c>
      <x:c r="G863" s="4" t="inlineStr">
        <x:is>
          <x:t xml:space="preserve">Seattle</x:t>
        </x:is>
      </x:c>
      <x:c r="H863" s="18" t="n">
        <x:v>1</x:v>
      </x:c>
      <x:c r="I863" s="19" t="n">
        <x:v>46.37</x:v>
      </x:c>
      <x:c r="J863" s="20" t="n">
        <x:v>0</x:v>
      </x:c>
      <x:c r="K863" s="4" t="inlineStr">
        <x:is>
          <x:t xml:space="preserve">Bank Transfer</x:t>
        </x:is>
      </x:c>
      <x:c r="L863" s="19" t="n">
        <x:v>46.37</x:v>
      </x:c>
      <x:c r="M863" s="19" t="n">
        <x:v>0</x:v>
      </x:c>
      <x:c r="N863" s="19" t="n">
        <x:v>46.37</x:v>
      </x:c>
      <x:c r="O863" s="4" t="n">
        <x:f>YEAR(C863)</x:f>
        <x:v>2025</x:v>
      </x:c>
      <x:c r="P863" s="4" t="str">
        <x:f>TEXT(C863,"yyyy-mm")</x:f>
        <x:v>2025-12</x:v>
      </x:c>
      <x:c r="Q863" s="4" t="str">
        <x:f>TEXT(C863,"mmmm")</x:f>
        <x:v>December</x:v>
      </x:c>
    </x:row>
    <x:row r="864" ht="20" customHeight="1">
      <x:c r="A864" s="4" t="inlineStr">
        <x:is>
          <x:t xml:space="preserve">LINE-00871</x:t>
        </x:is>
      </x:c>
      <x:c r="B864" s="4" t="inlineStr">
        <x:is>
          <x:t xml:space="preserve">ORD-2025-0540</x:t>
        </x:is>
      </x:c>
      <x:c r="C864" s="17" t="n">
        <x:v>45938</x:v>
      </x:c>
      <x:c r="D864" s="4" t="inlineStr">
        <x:is>
          <x:t xml:space="preserve">CUS-0006</x:t>
        </x:is>
      </x:c>
      <x:c r="E864" s="4" t="inlineStr">
        <x:is>
          <x:t xml:space="preserve">Laptop</x:t>
        </x:is>
      </x:c>
      <x:c r="F864" s="4" t="inlineStr">
        <x:is>
          <x:t xml:space="preserve">Computers</x:t>
        </x:is>
      </x:c>
      <x:c r="G864" s="4" t="inlineStr">
        <x:is>
          <x:t xml:space="preserve">San Francisco</x:t>
        </x:is>
      </x:c>
      <x:c r="H864" s="18" t="n">
        <x:v>1</x:v>
      </x:c>
      <x:c r="I864" s="19" t="n">
        <x:v>889.79</x:v>
      </x:c>
      <x:c r="J864" s="20" t="n">
        <x:v>0</x:v>
      </x:c>
      <x:c r="K864" s="4" t="inlineStr">
        <x:is>
          <x:t xml:space="preserve">Credit Card</x:t>
        </x:is>
      </x:c>
      <x:c r="L864" s="19" t="n">
        <x:v>889.79</x:v>
      </x:c>
      <x:c r="M864" s="19" t="n">
        <x:v>0</x:v>
      </x:c>
      <x:c r="N864" s="19" t="n">
        <x:v>889.79</x:v>
      </x:c>
      <x:c r="O864" s="4" t="n">
        <x:f>YEAR(C864)</x:f>
        <x:v>2025</x:v>
      </x:c>
      <x:c r="P864" s="4" t="str">
        <x:f>TEXT(C864,"yyyy-mm")</x:f>
        <x:v>2025-10</x:v>
      </x:c>
      <x:c r="Q864" s="4" t="str">
        <x:f>TEXT(C864,"mmmm")</x:f>
        <x:v>October</x:v>
      </x:c>
    </x:row>
    <x:row r="865" ht="20" customHeight="1">
      <x:c r="A865" s="4" t="inlineStr">
        <x:is>
          <x:t xml:space="preserve">LINE-00872</x:t>
        </x:is>
      </x:c>
      <x:c r="B865" s="4" t="inlineStr">
        <x:is>
          <x:t xml:space="preserve">ORD-2025-0540</x:t>
        </x:is>
      </x:c>
      <x:c r="C865" s="17" t="n">
        <x:v>45938</x:v>
      </x:c>
      <x:c r="D865" s="4" t="inlineStr">
        <x:is>
          <x:t xml:space="preserve">CUS-0006</x:t>
        </x:is>
      </x:c>
      <x:c r="E865" s="4" t="inlineStr">
        <x:is>
          <x:t xml:space="preserve">Headphones</x:t>
        </x:is>
      </x:c>
      <x:c r="F865" s="4" t="inlineStr">
        <x:is>
          <x:t xml:space="preserve">Audio</x:t>
        </x:is>
      </x:c>
      <x:c r="G865" s="4" t="inlineStr">
        <x:is>
          <x:t xml:space="preserve">San Francisco</x:t>
        </x:is>
      </x:c>
      <x:c r="H865" s="18" t="n">
        <x:v>1</x:v>
      </x:c>
      <x:c r="I865" s="19" t="n">
        <x:v>130.545</x:v>
      </x:c>
      <x:c r="J865" s="20" t="n">
        <x:v>0</x:v>
      </x:c>
      <x:c r="K865" s="4" t="inlineStr">
        <x:is>
          <x:t xml:space="preserve">Credit Card</x:t>
        </x:is>
      </x:c>
      <x:c r="L865" s="19" t="n">
        <x:v>130.54</x:v>
      </x:c>
      <x:c r="M865" s="19" t="n">
        <x:v>0</x:v>
      </x:c>
      <x:c r="N865" s="19" t="n">
        <x:v>130.54</x:v>
      </x:c>
      <x:c r="O865" s="4" t="n">
        <x:f>YEAR(C865)</x:f>
        <x:v>2025</x:v>
      </x:c>
      <x:c r="P865" s="4" t="str">
        <x:f>TEXT(C865,"yyyy-mm")</x:f>
        <x:v>2025-10</x:v>
      </x:c>
      <x:c r="Q865" s="4" t="str">
        <x:f>TEXT(C865,"mmmm")</x:f>
        <x:v>October</x:v>
      </x:c>
    </x:row>
    <x:row r="866" ht="20" customHeight="1">
      <x:c r="A866" s="4" t="inlineStr">
        <x:is>
          <x:t xml:space="preserve">LINE-00873</x:t>
        </x:is>
      </x:c>
      <x:c r="B866" s="4" t="inlineStr">
        <x:is>
          <x:t xml:space="preserve">ORD-2025-0541</x:t>
        </x:is>
      </x:c>
      <x:c r="C866" s="17" t="n">
        <x:v>45670</x:v>
      </x:c>
      <x:c r="D866" s="4" t="inlineStr">
        <x:is>
          <x:t xml:space="preserve">CUS-0318</x:t>
        </x:is>
      </x:c>
      <x:c r="E866" s="4" t="inlineStr">
        <x:is>
          <x:t xml:space="preserve">Office Chair</x:t>
        </x:is>
      </x:c>
      <x:c r="F866" s="4" t="inlineStr">
        <x:is>
          <x:t xml:space="preserve">Furniture</x:t>
        </x:is>
      </x:c>
      <x:c r="G866" s="4" t="inlineStr">
        <x:is>
          <x:t xml:space="preserve">New York</x:t>
        </x:is>
      </x:c>
      <x:c r="H866" s="18" t="n">
        <x:v>2</x:v>
      </x:c>
      <x:c r="I866" s="19" t="n">
        <x:v>247.99</x:v>
      </x:c>
      <x:c r="J866" s="20" t="n">
        <x:v>0</x:v>
      </x:c>
      <x:c r="K866" s="4" t="inlineStr">
        <x:is>
          <x:t xml:space="preserve">Credit Card</x:t>
        </x:is>
      </x:c>
      <x:c r="L866" s="19" t="n">
        <x:v>495.98</x:v>
      </x:c>
      <x:c r="M866" s="19" t="n">
        <x:v>0</x:v>
      </x:c>
      <x:c r="N866" s="19" t="n">
        <x:v>495.98</x:v>
      </x:c>
      <x:c r="O866" s="4" t="n">
        <x:f>YEAR(C866)</x:f>
        <x:v>2025</x:v>
      </x:c>
      <x:c r="P866" s="4" t="str">
        <x:f>TEXT(C866,"yyyy-mm")</x:f>
        <x:v>2025-01</x:v>
      </x:c>
      <x:c r="Q866" s="4" t="str">
        <x:f>TEXT(C866,"mmmm")</x:f>
        <x:v>January</x:v>
      </x:c>
    </x:row>
    <x:row r="867" ht="20" customHeight="1">
      <x:c r="A867" s="4" t="inlineStr">
        <x:is>
          <x:t xml:space="preserve">LINE-00874</x:t>
        </x:is>
      </x:c>
      <x:c r="B867" s="4" t="inlineStr">
        <x:is>
          <x:t xml:space="preserve">ORD-2025-0541</x:t>
        </x:is>
      </x:c>
      <x:c r="C867" s="17" t="n">
        <x:v>45670</x:v>
      </x:c>
      <x:c r="D867" s="4" t="inlineStr">
        <x:is>
          <x:t xml:space="preserve">CUS-0318</x:t>
        </x:is>
      </x:c>
      <x:c r="E867" s="4" t="inlineStr">
        <x:is>
          <x:t xml:space="preserve">Wireless Mouse</x:t>
        </x:is>
      </x:c>
      <x:c r="F867" s="4" t="inlineStr">
        <x:is>
          <x:t xml:space="preserve">Accessories</x:t>
        </x:is>
      </x:c>
      <x:c r="G867" s="4" t="inlineStr">
        <x:is>
          <x:t xml:space="preserve">New York</x:t>
        </x:is>
      </x:c>
      <x:c r="H867" s="18" t="n">
        <x:v>3</x:v>
      </x:c>
      <x:c r="I867" s="19" t="n">
        <x:v>42.34</x:v>
      </x:c>
      <x:c r="J867" s="20" t="n">
        <x:v>0.05</x:v>
      </x:c>
      <x:c r="K867" s="4" t="inlineStr">
        <x:is>
          <x:t xml:space="preserve">Credit Card</x:t>
        </x:is>
      </x:c>
      <x:c r="L867" s="19" t="n">
        <x:v>127.02</x:v>
      </x:c>
      <x:c r="M867" s="19" t="n">
        <x:v>6.35</x:v>
      </x:c>
      <x:c r="N867" s="19" t="n">
        <x:v>120.67</x:v>
      </x:c>
      <x:c r="O867" s="4" t="n">
        <x:f>YEAR(C867)</x:f>
        <x:v>2025</x:v>
      </x:c>
      <x:c r="P867" s="4" t="str">
        <x:f>TEXT(C867,"yyyy-mm")</x:f>
        <x:v>2025-01</x:v>
      </x:c>
      <x:c r="Q867" s="4" t="str">
        <x:f>TEXT(C867,"mmmm")</x:f>
        <x:v>January</x:v>
      </x:c>
    </x:row>
    <x:row r="868" ht="20" customHeight="1">
      <x:c r="A868" s="4" t="inlineStr">
        <x:is>
          <x:t xml:space="preserve">LINE-00875</x:t>
        </x:is>
      </x:c>
      <x:c r="B868" s="4" t="inlineStr">
        <x:is>
          <x:t xml:space="preserve">ORD-2025-0541</x:t>
        </x:is>
      </x:c>
      <x:c r="C868" s="17" t="n">
        <x:v>45670</x:v>
      </x:c>
      <x:c r="D868" s="4" t="inlineStr">
        <x:is>
          <x:t xml:space="preserve">CUS-0318</x:t>
        </x:is>
      </x:c>
      <x:c r="E868" s="4" t="inlineStr">
        <x:is>
          <x:t xml:space="preserve">USB Flash Drive</x:t>
        </x:is>
      </x:c>
      <x:c r="F868" s="4" t="inlineStr">
        <x:is>
          <x:t xml:space="preserve">Storage</x:t>
        </x:is>
      </x:c>
      <x:c r="G868" s="4" t="inlineStr">
        <x:is>
          <x:t xml:space="preserve">New York</x:t>
        </x:is>
      </x:c>
      <x:c r="H868" s="18" t="n">
        <x:v>4</x:v>
      </x:c>
      <x:c r="I868" s="19" t="n">
        <x:v>30.32</x:v>
      </x:c>
      <x:c r="J868" s="20" t="n">
        <x:v>0.2</x:v>
      </x:c>
      <x:c r="K868" s="4" t="inlineStr">
        <x:is>
          <x:t xml:space="preserve">Credit Card</x:t>
        </x:is>
      </x:c>
      <x:c r="L868" s="19" t="n">
        <x:v>121.28</x:v>
      </x:c>
      <x:c r="M868" s="19" t="n">
        <x:v>24.26</x:v>
      </x:c>
      <x:c r="N868" s="19" t="n">
        <x:v>97.02</x:v>
      </x:c>
      <x:c r="O868" s="4" t="n">
        <x:f>YEAR(C868)</x:f>
        <x:v>2025</x:v>
      </x:c>
      <x:c r="P868" s="4" t="str">
        <x:f>TEXT(C868,"yyyy-mm")</x:f>
        <x:v>2025-01</x:v>
      </x:c>
      <x:c r="Q868" s="4" t="str">
        <x:f>TEXT(C868,"mmmm")</x:f>
        <x:v>January</x:v>
      </x:c>
    </x:row>
    <x:row r="869" ht="20" customHeight="1">
      <x:c r="A869" s="4" t="inlineStr">
        <x:is>
          <x:t xml:space="preserve">LINE-00876</x:t>
        </x:is>
      </x:c>
      <x:c r="B869" s="4" t="inlineStr">
        <x:is>
          <x:t xml:space="preserve">ORD-2025-0542</x:t>
        </x:is>
      </x:c>
      <x:c r="C869" s="17" t="n">
        <x:v>45714</x:v>
      </x:c>
      <x:c r="D869" s="4" t="inlineStr">
        <x:is>
          <x:t xml:space="preserve">CUS-0095</x:t>
        </x:is>
      </x:c>
      <x:c r="E869" s="4" t="inlineStr">
        <x:is>
          <x:t xml:space="preserve">Monitor</x:t>
        </x:is>
      </x:c>
      <x:c r="F869" s="4" t="inlineStr">
        <x:is>
          <x:t xml:space="preserve">Computers</x:t>
        </x:is>
      </x:c>
      <x:c r="G869" s="4" t="inlineStr">
        <x:is>
          <x:t xml:space="preserve">Austin</x:t>
        </x:is>
      </x:c>
      <x:c r="H869" s="18" t="n">
        <x:v>2</x:v>
      </x:c>
      <x:c r="I869" s="19" t="n">
        <x:v>298.94</x:v>
      </x:c>
      <x:c r="J869" s="20" t="n">
        <x:v>0</x:v>
      </x:c>
      <x:c r="K869" s="4" t="inlineStr">
        <x:is>
          <x:t xml:space="preserve">PayPal</x:t>
        </x:is>
      </x:c>
      <x:c r="L869" s="19" t="n">
        <x:v>597.88</x:v>
      </x:c>
      <x:c r="M869" s="19" t="n">
        <x:v>0</x:v>
      </x:c>
      <x:c r="N869" s="19" t="n">
        <x:v>597.88</x:v>
      </x:c>
      <x:c r="O869" s="4" t="n">
        <x:f>YEAR(C869)</x:f>
        <x:v>2025</x:v>
      </x:c>
      <x:c r="P869" s="4" t="str">
        <x:f>TEXT(C869,"yyyy-mm")</x:f>
        <x:v>2025-02</x:v>
      </x:c>
      <x:c r="Q869" s="4" t="str">
        <x:f>TEXT(C869,"mmmm")</x:f>
        <x:v>February</x:v>
      </x:c>
    </x:row>
    <x:row r="870" ht="20" customHeight="1">
      <x:c r="A870" s="4" t="inlineStr">
        <x:is>
          <x:t xml:space="preserve">LINE-00877</x:t>
        </x:is>
      </x:c>
      <x:c r="B870" s="4" t="inlineStr">
        <x:is>
          <x:t xml:space="preserve">ORD-2025-0543</x:t>
        </x:is>
      </x:c>
      <x:c r="C870" s="17" t="n">
        <x:v>45876</x:v>
      </x:c>
      <x:c r="D870" s="4" t="inlineStr">
        <x:is>
          <x:t xml:space="preserve">CUS-0342</x:t>
        </x:is>
      </x:c>
      <x:c r="E870" s="4" t="inlineStr">
        <x:is>
          <x:t xml:space="preserve">Monitor</x:t>
        </x:is>
      </x:c>
      <x:c r="F870" s="4" t="inlineStr">
        <x:is>
          <x:t xml:space="preserve">Computers</x:t>
        </x:is>
      </x:c>
      <x:c r="G870" s="4" t="inlineStr">
        <x:is>
          <x:t xml:space="preserve">Austin</x:t>
        </x:is>
      </x:c>
      <x:c r="H870" s="18" t="n">
        <x:v>1</x:v>
      </x:c>
      <x:c r="I870" s="19" t="n">
        <x:v>260.39</x:v>
      </x:c>
      <x:c r="J870" s="20" t="n">
        <x:v>0</x:v>
      </x:c>
      <x:c r="K870" s="4" t="inlineStr">
        <x:is>
          <x:t xml:space="preserve">PayPal</x:t>
        </x:is>
      </x:c>
      <x:c r="L870" s="19" t="n">
        <x:v>260.39</x:v>
      </x:c>
      <x:c r="M870" s="19" t="n">
        <x:v>0</x:v>
      </x:c>
      <x:c r="N870" s="19" t="n">
        <x:v>260.39</x:v>
      </x:c>
      <x:c r="O870" s="4" t="n">
        <x:f>YEAR(C870)</x:f>
        <x:v>2025</x:v>
      </x:c>
      <x:c r="P870" s="4" t="str">
        <x:f>TEXT(C870,"yyyy-mm")</x:f>
        <x:v>2025-08</x:v>
      </x:c>
      <x:c r="Q870" s="4" t="str">
        <x:f>TEXT(C870,"mmmm")</x:f>
        <x:v>August</x:v>
      </x:c>
    </x:row>
    <x:row r="871" ht="20" customHeight="1">
      <x:c r="A871" s="4" t="inlineStr">
        <x:is>
          <x:t xml:space="preserve">LINE-00878</x:t>
        </x:is>
      </x:c>
      <x:c r="B871" s="4" t="inlineStr">
        <x:is>
          <x:t xml:space="preserve">ORD-2025-0544</x:t>
        </x:is>
      </x:c>
      <x:c r="C871" s="17" t="n">
        <x:v>45688</x:v>
      </x:c>
      <x:c r="D871" s="4" t="inlineStr">
        <x:is>
          <x:t xml:space="preserve">CUS-0133</x:t>
        </x:is>
      </x:c>
      <x:c r="E871" s="4" t="inlineStr">
        <x:is>
          <x:t xml:space="preserve">Bluetooth Speaker</x:t>
        </x:is>
      </x:c>
      <x:c r="F871" s="4" t="inlineStr">
        <x:is>
          <x:t xml:space="preserve">Audio</x:t>
        </x:is>
      </x:c>
      <x:c r="G871" s="4" t="inlineStr">
        <x:is>
          <x:t xml:space="preserve">Austin</x:t>
        </x:is>
      </x:c>
      <x:c r="H871" s="18" t="n">
        <x:v>5</x:v>
      </x:c>
      <x:c r="I871" s="19" t="n">
        <x:v>104.73</x:v>
      </x:c>
      <x:c r="J871" s="20" t="n">
        <x:v>0</x:v>
      </x:c>
      <x:c r="K871" s="4" t="inlineStr">
        <x:is>
          <x:t xml:space="preserve">Debit Card</x:t>
        </x:is>
      </x:c>
      <x:c r="L871" s="19" t="n">
        <x:v>523.65</x:v>
      </x:c>
      <x:c r="M871" s="19" t="n">
        <x:v>0</x:v>
      </x:c>
      <x:c r="N871" s="19" t="n">
        <x:v>523.65</x:v>
      </x:c>
      <x:c r="O871" s="4" t="n">
        <x:f>YEAR(C871)</x:f>
        <x:v>2025</x:v>
      </x:c>
      <x:c r="P871" s="4" t="str">
        <x:f>TEXT(C871,"yyyy-mm")</x:f>
        <x:v>2025-01</x:v>
      </x:c>
      <x:c r="Q871" s="4" t="str">
        <x:f>TEXT(C871,"mmmm")</x:f>
        <x:v>January</x:v>
      </x:c>
    </x:row>
    <x:row r="872" ht="20" customHeight="1">
      <x:c r="A872" s="4" t="inlineStr">
        <x:is>
          <x:t xml:space="preserve">LINE-00879</x:t>
        </x:is>
      </x:c>
      <x:c r="B872" s="4" t="inlineStr">
        <x:is>
          <x:t xml:space="preserve">ORD-2025-0545</x:t>
        </x:is>
      </x:c>
      <x:c r="C872" s="17" t="n">
        <x:v>45988</x:v>
      </x:c>
      <x:c r="D872" s="4" t="inlineStr">
        <x:is>
          <x:t xml:space="preserve">CUS-0252</x:t>
        </x:is>
      </x:c>
      <x:c r="E872" s="4" t="inlineStr">
        <x:is>
          <x:t xml:space="preserve">Headphones</x:t>
        </x:is>
      </x:c>
      <x:c r="F872" s="4" t="inlineStr">
        <x:is>
          <x:t xml:space="preserve">Audio</x:t>
        </x:is>
      </x:c>
      <x:c r="G872" s="4" t="inlineStr">
        <x:is>
          <x:t xml:space="preserve">New York</x:t>
        </x:is>
      </x:c>
      <x:c r="H872" s="18" t="n">
        <x:v>2</x:v>
      </x:c>
      <x:c r="I872" s="19" t="n">
        <x:v>121.81</x:v>
      </x:c>
      <x:c r="J872" s="20" t="n">
        <x:v>0</x:v>
      </x:c>
      <x:c r="K872" s="4" t="inlineStr">
        <x:is>
          <x:t xml:space="preserve">Debit Card</x:t>
        </x:is>
      </x:c>
      <x:c r="L872" s="19" t="n">
        <x:v>243.62</x:v>
      </x:c>
      <x:c r="M872" s="19" t="n">
        <x:v>0</x:v>
      </x:c>
      <x:c r="N872" s="19" t="n">
        <x:v>243.62</x:v>
      </x:c>
      <x:c r="O872" s="4" t="n">
        <x:f>YEAR(C872)</x:f>
        <x:v>2025</x:v>
      </x:c>
      <x:c r="P872" s="4" t="str">
        <x:f>TEXT(C872,"yyyy-mm")</x:f>
        <x:v>2025-11</x:v>
      </x:c>
      <x:c r="Q872" s="4" t="str">
        <x:f>TEXT(C872,"mmmm")</x:f>
        <x:v>November</x:v>
      </x:c>
    </x:row>
    <x:row r="873" ht="20" customHeight="1">
      <x:c r="A873" s="4" t="inlineStr">
        <x:is>
          <x:t xml:space="preserve">LINE-00880</x:t>
        </x:is>
      </x:c>
      <x:c r="B873" s="4" t="inlineStr">
        <x:is>
          <x:t xml:space="preserve">ORD-2025-0545</x:t>
        </x:is>
      </x:c>
      <x:c r="C873" s="17" t="n">
        <x:v>45988</x:v>
      </x:c>
      <x:c r="D873" s="4" t="inlineStr">
        <x:is>
          <x:t xml:space="preserve">CUS-0252</x:t>
        </x:is>
      </x:c>
      <x:c r="E873" s="4" t="inlineStr">
        <x:is>
          <x:t xml:space="preserve">Wireless Mouse</x:t>
        </x:is>
      </x:c>
      <x:c r="F873" s="4" t="inlineStr">
        <x:is>
          <x:t xml:space="preserve">Accessories</x:t>
        </x:is>
      </x:c>
      <x:c r="G873" s="4" t="inlineStr">
        <x:is>
          <x:t xml:space="preserve">New York</x:t>
        </x:is>
      </x:c>
      <x:c r="H873" s="18" t="n">
        <x:v>1</x:v>
      </x:c>
      <x:c r="I873" s="19" t="n">
        <x:v>41.65</x:v>
      </x:c>
      <x:c r="J873" s="20" t="n">
        <x:v>0</x:v>
      </x:c>
      <x:c r="K873" s="4" t="inlineStr">
        <x:is>
          <x:t xml:space="preserve">Debit Card</x:t>
        </x:is>
      </x:c>
      <x:c r="L873" s="19" t="n">
        <x:v>41.65</x:v>
      </x:c>
      <x:c r="M873" s="19" t="n">
        <x:v>0</x:v>
      </x:c>
      <x:c r="N873" s="19" t="n">
        <x:v>41.65</x:v>
      </x:c>
      <x:c r="O873" s="4" t="n">
        <x:f>YEAR(C873)</x:f>
        <x:v>2025</x:v>
      </x:c>
      <x:c r="P873" s="4" t="str">
        <x:f>TEXT(C873,"yyyy-mm")</x:f>
        <x:v>2025-11</x:v>
      </x:c>
      <x:c r="Q873" s="4" t="str">
        <x:f>TEXT(C873,"mmmm")</x:f>
        <x:v>November</x:v>
      </x:c>
    </x:row>
    <x:row r="874" ht="20" customHeight="1">
      <x:c r="A874" s="4" t="inlineStr">
        <x:is>
          <x:t xml:space="preserve">LINE-00881</x:t>
        </x:is>
      </x:c>
      <x:c r="B874" s="4" t="inlineStr">
        <x:is>
          <x:t xml:space="preserve">ORD-2025-0546</x:t>
        </x:is>
      </x:c>
      <x:c r="C874" s="17" t="n">
        <x:v>45786</x:v>
      </x:c>
      <x:c r="D874" s="4" t="inlineStr">
        <x:is>
          <x:t xml:space="preserve">CUS-0229</x:t>
        </x:is>
      </x:c>
      <x:c r="E874" s="4" t="inlineStr">
        <x:is>
          <x:t xml:space="preserve">Office Chair</x:t>
        </x:is>
      </x:c>
      <x:c r="F874" s="4" t="inlineStr">
        <x:is>
          <x:t xml:space="preserve">Furniture</x:t>
        </x:is>
      </x:c>
      <x:c r="G874" s="4" t="inlineStr">
        <x:is>
          <x:t xml:space="preserve">New York</x:t>
        </x:is>
      </x:c>
      <x:c r="H874" s="18" t="n">
        <x:v>1</x:v>
      </x:c>
      <x:c r="I874" s="19" t="n">
        <x:v>222.25</x:v>
      </x:c>
      <x:c r="J874" s="20" t="n">
        <x:v>0</x:v>
      </x:c>
      <x:c r="K874" s="4" t="inlineStr">
        <x:is>
          <x:t xml:space="preserve">Bank Transfer</x:t>
        </x:is>
      </x:c>
      <x:c r="L874" s="19" t="n">
        <x:v>222.25</x:v>
      </x:c>
      <x:c r="M874" s="19" t="n">
        <x:v>0</x:v>
      </x:c>
      <x:c r="N874" s="19" t="n">
        <x:v>222.25</x:v>
      </x:c>
      <x:c r="O874" s="4" t="n">
        <x:f>YEAR(C874)</x:f>
        <x:v>2025</x:v>
      </x:c>
      <x:c r="P874" s="4" t="str">
        <x:f>TEXT(C874,"yyyy-mm")</x:f>
        <x:v>2025-05</x:v>
      </x:c>
      <x:c r="Q874" s="4" t="str">
        <x:f>TEXT(C874,"mmmm")</x:f>
        <x:v>May</x:v>
      </x:c>
    </x:row>
    <x:row r="875" ht="20" customHeight="1">
      <x:c r="A875" s="4" t="inlineStr">
        <x:is>
          <x:t xml:space="preserve">LINE-00882</x:t>
        </x:is>
      </x:c>
      <x:c r="B875" s="4" t="inlineStr">
        <x:is>
          <x:t xml:space="preserve">ORD-2025-0547</x:t>
        </x:is>
      </x:c>
      <x:c r="C875" s="17" t="n">
        <x:v>45735</x:v>
      </x:c>
      <x:c r="D875" s="4" t="inlineStr">
        <x:is>
          <x:t xml:space="preserve">CUS-0169</x:t>
        </x:is>
      </x:c>
      <x:c r="E875" s="4" t="inlineStr">
        <x:is>
          <x:t xml:space="preserve">Bluetooth Speaker</x:t>
        </x:is>
      </x:c>
      <x:c r="F875" s="4" t="inlineStr">
        <x:is>
          <x:t xml:space="preserve">Audio</x:t>
        </x:is>
      </x:c>
      <x:c r="G875" s="4" t="inlineStr">
        <x:is>
          <x:t xml:space="preserve">Seattle</x:t>
        </x:is>
      </x:c>
      <x:c r="H875" s="18" t="n">
        <x:v>2</x:v>
      </x:c>
      <x:c r="I875" s="19" t="n">
        <x:v>116.06</x:v>
      </x:c>
      <x:c r="J875" s="20" t="n">
        <x:v>0.1</x:v>
      </x:c>
      <x:c r="K875" s="4" t="inlineStr">
        <x:is>
          <x:t xml:space="preserve">Credit Card</x:t>
        </x:is>
      </x:c>
      <x:c r="L875" s="19" t="n">
        <x:v>232.12</x:v>
      </x:c>
      <x:c r="M875" s="19" t="n">
        <x:v>23.21</x:v>
      </x:c>
      <x:c r="N875" s="19" t="n">
        <x:v>208.91</x:v>
      </x:c>
      <x:c r="O875" s="4" t="n">
        <x:f>YEAR(C875)</x:f>
        <x:v>2025</x:v>
      </x:c>
      <x:c r="P875" s="4" t="str">
        <x:f>TEXT(C875,"yyyy-mm")</x:f>
        <x:v>2025-03</x:v>
      </x:c>
      <x:c r="Q875" s="4" t="str">
        <x:f>TEXT(C875,"mmmm")</x:f>
        <x:v>March</x:v>
      </x:c>
    </x:row>
    <x:row r="876" ht="20" customHeight="1">
      <x:c r="A876" s="4" t="inlineStr">
        <x:is>
          <x:t xml:space="preserve">LINE-00883</x:t>
        </x:is>
      </x:c>
      <x:c r="B876" s="4" t="inlineStr">
        <x:is>
          <x:t xml:space="preserve">ORD-2025-0547</x:t>
        </x:is>
      </x:c>
      <x:c r="C876" s="17" t="n">
        <x:v>45735</x:v>
      </x:c>
      <x:c r="D876" s="4" t="inlineStr">
        <x:is>
          <x:t xml:space="preserve">CUS-0169</x:t>
        </x:is>
      </x:c>
      <x:c r="E876" s="4" t="inlineStr">
        <x:is>
          <x:t xml:space="preserve">Desk Lamp</x:t>
        </x:is>
      </x:c>
      <x:c r="F876" s="4" t="inlineStr">
        <x:is>
          <x:t xml:space="preserve">Furniture</x:t>
        </x:is>
      </x:c>
      <x:c r="G876" s="4" t="inlineStr">
        <x:is>
          <x:t xml:space="preserve">Seattle</x:t>
        </x:is>
      </x:c>
      <x:c r="H876" s="18" t="n">
        <x:v>3</x:v>
      </x:c>
      <x:c r="I876" s="19" t="n">
        <x:v>55.35</x:v>
      </x:c>
      <x:c r="J876" s="20" t="n">
        <x:v>0</x:v>
      </x:c>
      <x:c r="K876" s="4" t="inlineStr">
        <x:is>
          <x:t xml:space="preserve">Credit Card</x:t>
        </x:is>
      </x:c>
      <x:c r="L876" s="19" t="n">
        <x:v>166.05</x:v>
      </x:c>
      <x:c r="M876" s="19" t="n">
        <x:v>0</x:v>
      </x:c>
      <x:c r="N876" s="19" t="n">
        <x:v>166.05</x:v>
      </x:c>
      <x:c r="O876" s="4" t="n">
        <x:f>YEAR(C876)</x:f>
        <x:v>2025</x:v>
      </x:c>
      <x:c r="P876" s="4" t="str">
        <x:f>TEXT(C876,"yyyy-mm")</x:f>
        <x:v>2025-03</x:v>
      </x:c>
      <x:c r="Q876" s="4" t="str">
        <x:f>TEXT(C876,"mmmm")</x:f>
        <x:v>March</x:v>
      </x:c>
    </x:row>
    <x:row r="877" ht="20" customHeight="1">
      <x:c r="A877" s="4" t="inlineStr">
        <x:is>
          <x:t xml:space="preserve">LINE-00884</x:t>
        </x:is>
      </x:c>
      <x:c r="B877" s="4" t="inlineStr">
        <x:is>
          <x:t xml:space="preserve">ORD-2025-0548</x:t>
        </x:is>
      </x:c>
      <x:c r="C877" s="17" t="n">
        <x:v>46010</x:v>
      </x:c>
      <x:c r="D877" s="4" t="inlineStr">
        <x:is>
          <x:t xml:space="preserve">CUS-0247</x:t>
        </x:is>
      </x:c>
      <x:c r="E877" s="4" t="inlineStr">
        <x:is>
          <x:t xml:space="preserve">USB-C Hub</x:t>
        </x:is>
      </x:c>
      <x:c r="F877" s="4" t="inlineStr">
        <x:is>
          <x:t xml:space="preserve">Accessories</x:t>
        </x:is>
      </x:c>
      <x:c r="G877" s="4" t="inlineStr">
        <x:is>
          <x:t xml:space="preserve">New York</x:t>
        </x:is>
      </x:c>
      <x:c r="H877" s="18" t="n">
        <x:v>2</x:v>
      </x:c>
      <x:c r="I877" s="19" t="n">
        <x:v>66.38</x:v>
      </x:c>
      <x:c r="J877" s="20" t="n">
        <x:v>0.15</x:v>
      </x:c>
      <x:c r="K877" s="4" t="inlineStr">
        <x:is>
          <x:t xml:space="preserve">PayPal</x:t>
        </x:is>
      </x:c>
      <x:c r="L877" s="19" t="n">
        <x:v>132.76</x:v>
      </x:c>
      <x:c r="M877" s="19" t="n">
        <x:v>19.91</x:v>
      </x:c>
      <x:c r="N877" s="19" t="n">
        <x:v>112.85</x:v>
      </x:c>
      <x:c r="O877" s="4" t="n">
        <x:f>YEAR(C877)</x:f>
        <x:v>2025</x:v>
      </x:c>
      <x:c r="P877" s="4" t="str">
        <x:f>TEXT(C877,"yyyy-mm")</x:f>
        <x:v>2025-12</x:v>
      </x:c>
      <x:c r="Q877" s="4" t="str">
        <x:f>TEXT(C877,"mmmm")</x:f>
        <x:v>December</x:v>
      </x:c>
    </x:row>
    <x:row r="878" ht="20" customHeight="1">
      <x:c r="A878" s="4" t="inlineStr">
        <x:is>
          <x:t xml:space="preserve">LINE-00886</x:t>
        </x:is>
      </x:c>
      <x:c r="B878" s="4" t="inlineStr">
        <x:is>
          <x:t xml:space="preserve">ORD-2025-0550</x:t>
        </x:is>
      </x:c>
      <x:c r="C878" s="17" t="n">
        <x:v>45941</x:v>
      </x:c>
      <x:c r="D878" s="4" t="inlineStr">
        <x:is>
          <x:t xml:space="preserve">CUS-0021</x:t>
        </x:is>
      </x:c>
      <x:c r="E878" s="4" t="inlineStr">
        <x:is>
          <x:t xml:space="preserve">Headphones</x:t>
        </x:is>
      </x:c>
      <x:c r="F878" s="4" t="inlineStr">
        <x:is>
          <x:t xml:space="preserve">Audio</x:t>
        </x:is>
      </x:c>
      <x:c r="G878" s="4" t="inlineStr">
        <x:is>
          <x:t xml:space="preserve">Seattle</x:t>
        </x:is>
      </x:c>
      <x:c r="H878" s="18" t="n">
        <x:v>4</x:v>
      </x:c>
      <x:c r="I878" s="19" t="n">
        <x:v>132.72</x:v>
      </x:c>
      <x:c r="J878" s="20" t="n">
        <x:v>0</x:v>
      </x:c>
      <x:c r="K878" s="4" t="inlineStr">
        <x:is>
          <x:t xml:space="preserve">Debit Card</x:t>
        </x:is>
      </x:c>
      <x:c r="L878" s="19" t="n">
        <x:v>530.88</x:v>
      </x:c>
      <x:c r="M878" s="19" t="n">
        <x:v>0</x:v>
      </x:c>
      <x:c r="N878" s="19" t="n">
        <x:v>530.88</x:v>
      </x:c>
      <x:c r="O878" s="4" t="n">
        <x:f>YEAR(C878)</x:f>
        <x:v>2025</x:v>
      </x:c>
      <x:c r="P878" s="4" t="str">
        <x:f>TEXT(C878,"yyyy-mm")</x:f>
        <x:v>2025-10</x:v>
      </x:c>
      <x:c r="Q878" s="4" t="str">
        <x:f>TEXT(C878,"mmmm")</x:f>
        <x:v>October</x:v>
      </x:c>
    </x:row>
    <x:row r="879" ht="20" customHeight="1">
      <x:c r="A879" s="4" t="inlineStr">
        <x:is>
          <x:t xml:space="preserve">LINE-00887</x:t>
        </x:is>
      </x:c>
      <x:c r="B879" s="4" t="inlineStr">
        <x:is>
          <x:t xml:space="preserve">ORD-2025-0551</x:t>
        </x:is>
      </x:c>
      <x:c r="C879" s="17" t="n">
        <x:v>45701</x:v>
      </x:c>
      <x:c r="D879" s="4" t="inlineStr">
        <x:is>
          <x:t xml:space="preserve">CUS-0324</x:t>
        </x:is>
      </x:c>
      <x:c r="E879" s="4" t="inlineStr">
        <x:is>
          <x:t xml:space="preserve">Wireless Mouse</x:t>
        </x:is>
      </x:c>
      <x:c r="F879" s="4" t="inlineStr">
        <x:is>
          <x:t xml:space="preserve">Accessories</x:t>
        </x:is>
      </x:c>
      <x:c r="G879" s="4" t="inlineStr">
        <x:is>
          <x:t xml:space="preserve">Seattle</x:t>
        </x:is>
      </x:c>
      <x:c r="H879" s="18" t="n">
        <x:v>1</x:v>
      </x:c>
      <x:c r="I879" s="19" t="n">
        <x:v>48.57</x:v>
      </x:c>
      <x:c r="J879" s="20" t="n">
        <x:v>0</x:v>
      </x:c>
      <x:c r="K879" s="4" t="inlineStr">
        <x:is>
          <x:t xml:space="preserve">Debit Card</x:t>
        </x:is>
      </x:c>
      <x:c r="L879" s="19" t="n">
        <x:v>48.57</x:v>
      </x:c>
      <x:c r="M879" s="19" t="n">
        <x:v>0</x:v>
      </x:c>
      <x:c r="N879" s="19" t="n">
        <x:v>48.57</x:v>
      </x:c>
      <x:c r="O879" s="4" t="n">
        <x:f>YEAR(C879)</x:f>
        <x:v>2025</x:v>
      </x:c>
      <x:c r="P879" s="4" t="str">
        <x:f>TEXT(C879,"yyyy-mm")</x:f>
        <x:v>2025-02</x:v>
      </x:c>
      <x:c r="Q879" s="4" t="str">
        <x:f>TEXT(C879,"mmmm")</x:f>
        <x:v>February</x:v>
      </x:c>
    </x:row>
    <x:row r="880" ht="20" customHeight="1">
      <x:c r="A880" s="4" t="inlineStr">
        <x:is>
          <x:t xml:space="preserve">LINE-00888</x:t>
        </x:is>
      </x:c>
      <x:c r="B880" s="4" t="inlineStr">
        <x:is>
          <x:t xml:space="preserve">ORD-2025-0552</x:t>
        </x:is>
      </x:c>
      <x:c r="C880" s="17" t="n">
        <x:v>45857</x:v>
      </x:c>
      <x:c r="D880" s="4" t="inlineStr">
        <x:is>
          <x:t xml:space="preserve">CUS-0033</x:t>
        </x:is>
      </x:c>
      <x:c r="E880" s="4" t="inlineStr">
        <x:is>
          <x:t xml:space="preserve">Bluetooth Speaker</x:t>
        </x:is>
      </x:c>
      <x:c r="F880" s="4" t="inlineStr">
        <x:is>
          <x:t xml:space="preserve">Audio</x:t>
        </x:is>
      </x:c>
      <x:c r="G880" s="4" t="inlineStr">
        <x:is>
          <x:t xml:space="preserve">Boston</x:t>
        </x:is>
      </x:c>
      <x:c r="H880" s="18" t="n">
        <x:v>5</x:v>
      </x:c>
      <x:c r="I880" s="19" t="n">
        <x:v>101.49</x:v>
      </x:c>
      <x:c r="J880" s="20" t="n">
        <x:v>0</x:v>
      </x:c>
      <x:c r="K880" s="4" t="inlineStr">
        <x:is>
          <x:t xml:space="preserve">PayPal</x:t>
        </x:is>
      </x:c>
      <x:c r="L880" s="19" t="n">
        <x:v>507.45</x:v>
      </x:c>
      <x:c r="M880" s="19" t="n">
        <x:v>0</x:v>
      </x:c>
      <x:c r="N880" s="19" t="n">
        <x:v>507.45</x:v>
      </x:c>
      <x:c r="O880" s="4" t="n">
        <x:f>YEAR(C880)</x:f>
        <x:v>2025</x:v>
      </x:c>
      <x:c r="P880" s="4" t="str">
        <x:f>TEXT(C880,"yyyy-mm")</x:f>
        <x:v>2025-07</x:v>
      </x:c>
      <x:c r="Q880" s="4" t="str">
        <x:f>TEXT(C880,"mmmm")</x:f>
        <x:v>July</x:v>
      </x:c>
    </x:row>
    <x:row r="881" ht="20" customHeight="1">
      <x:c r="A881" s="4" t="inlineStr">
        <x:is>
          <x:t xml:space="preserve">LINE-00889</x:t>
        </x:is>
      </x:c>
      <x:c r="B881" s="4" t="inlineStr">
        <x:is>
          <x:t xml:space="preserve">ORD-2025-0553</x:t>
        </x:is>
      </x:c>
      <x:c r="C881" s="17" t="n">
        <x:v>45830</x:v>
      </x:c>
      <x:c r="D881" s="4" t="inlineStr">
        <x:is>
          <x:t xml:space="preserve">CUS-0022</x:t>
        </x:is>
      </x:c>
      <x:c r="E881" s="4" t="inlineStr">
        <x:is>
          <x:t xml:space="preserve">Office Chair</x:t>
        </x:is>
      </x:c>
      <x:c r="F881" s="4" t="inlineStr">
        <x:is>
          <x:t xml:space="preserve">Furniture</x:t>
        </x:is>
      </x:c>
      <x:c r="G881" s="4" t="inlineStr">
        <x:is>
          <x:t xml:space="preserve">Seattle</x:t>
        </x:is>
      </x:c>
      <x:c r="H881" s="18" t="n">
        <x:v>2</x:v>
      </x:c>
      <x:c r="I881" s="19" t="n">
        <x:v>238.4</x:v>
      </x:c>
      <x:c r="J881" s="20" t="n">
        <x:v>0.05</x:v>
      </x:c>
      <x:c r="K881" s="4" t="inlineStr">
        <x:is>
          <x:t xml:space="preserve">Credit Card</x:t>
        </x:is>
      </x:c>
      <x:c r="L881" s="19" t="n">
        <x:v>476.8</x:v>
      </x:c>
      <x:c r="M881" s="19" t="n">
        <x:v>23.84</x:v>
      </x:c>
      <x:c r="N881" s="19" t="n">
        <x:v>452.96</x:v>
      </x:c>
      <x:c r="O881" s="4" t="n">
        <x:f>YEAR(C881)</x:f>
        <x:v>2025</x:v>
      </x:c>
      <x:c r="P881" s="4" t="str">
        <x:f>TEXT(C881,"yyyy-mm")</x:f>
        <x:v>2025-06</x:v>
      </x:c>
      <x:c r="Q881" s="4" t="str">
        <x:f>TEXT(C881,"mmmm")</x:f>
        <x:v>June</x:v>
      </x:c>
    </x:row>
    <x:row r="882" ht="20" customHeight="1">
      <x:c r="A882" s="4" t="inlineStr">
        <x:is>
          <x:t xml:space="preserve">LINE-00890</x:t>
        </x:is>
      </x:c>
      <x:c r="B882" s="4" t="inlineStr">
        <x:is>
          <x:t xml:space="preserve">ORD-2025-0554</x:t>
        </x:is>
      </x:c>
      <x:c r="C882" s="17" t="n">
        <x:v>45932</x:v>
      </x:c>
      <x:c r="D882" s="4" t="inlineStr">
        <x:is>
          <x:t xml:space="preserve">CUS-0077</x:t>
        </x:is>
      </x:c>
      <x:c r="E882" s="4" t="inlineStr">
        <x:is>
          <x:t xml:space="preserve">Laptop</x:t>
        </x:is>
      </x:c>
      <x:c r="F882" s="4" t="inlineStr">
        <x:is>
          <x:t xml:space="preserve">Computers</x:t>
        </x:is>
      </x:c>
      <x:c r="G882" s="4" t="inlineStr">
        <x:is>
          <x:t xml:space="preserve">San Francisco</x:t>
        </x:is>
      </x:c>
      <x:c r="H882" s="18" t="n">
        <x:v>2</x:v>
      </x:c>
      <x:c r="I882" s="19" t="n">
        <x:v>945.63</x:v>
      </x:c>
      <x:c r="J882" s="20" t="n">
        <x:v>0.15</x:v>
      </x:c>
      <x:c r="K882" s="4" t="inlineStr">
        <x:is>
          <x:t xml:space="preserve">Debit Card</x:t>
        </x:is>
      </x:c>
      <x:c r="L882" s="19" t="n">
        <x:v>1891.26</x:v>
      </x:c>
      <x:c r="M882" s="19" t="n">
        <x:v>283.69</x:v>
      </x:c>
      <x:c r="N882" s="19" t="n">
        <x:v>1607.57</x:v>
      </x:c>
      <x:c r="O882" s="4" t="n">
        <x:f>YEAR(C882)</x:f>
        <x:v>2025</x:v>
      </x:c>
      <x:c r="P882" s="4" t="str">
        <x:f>TEXT(C882,"yyyy-mm")</x:f>
        <x:v>2025-10</x:v>
      </x:c>
      <x:c r="Q882" s="4" t="str">
        <x:f>TEXT(C882,"mmmm")</x:f>
        <x:v>October</x:v>
      </x:c>
    </x:row>
    <x:row r="883" ht="20" customHeight="1">
      <x:c r="A883" s="4" t="inlineStr">
        <x:is>
          <x:t xml:space="preserve">LINE-00891</x:t>
        </x:is>
      </x:c>
      <x:c r="B883" s="4" t="inlineStr">
        <x:is>
          <x:t xml:space="preserve">ORD-2025-0554</x:t>
        </x:is>
      </x:c>
      <x:c r="C883" s="17" t="n">
        <x:v>45932</x:v>
      </x:c>
      <x:c r="D883" s="4" t="inlineStr">
        <x:is>
          <x:t xml:space="preserve">CUS-0077</x:t>
        </x:is>
      </x:c>
      <x:c r="E883" s="4" t="inlineStr">
        <x:is>
          <x:t xml:space="preserve">Keyboard</x:t>
        </x:is>
      </x:c>
      <x:c r="F883" s="4" t="inlineStr">
        <x:is>
          <x:t xml:space="preserve">Accessories</x:t>
        </x:is>
      </x:c>
      <x:c r="G883" s="4" t="inlineStr">
        <x:is>
          <x:t xml:space="preserve">San Francisco</x:t>
        </x:is>
      </x:c>
      <x:c r="H883" s="18" t="n">
        <x:v>1</x:v>
      </x:c>
      <x:c r="I883" s="19" t="n">
        <x:v>77.42</x:v>
      </x:c>
      <x:c r="J883" s="20" t="n">
        <x:v>0</x:v>
      </x:c>
      <x:c r="K883" s="4" t="inlineStr">
        <x:is>
          <x:t xml:space="preserve">Debit Card</x:t>
        </x:is>
      </x:c>
      <x:c r="L883" s="19" t="n">
        <x:v>77.42</x:v>
      </x:c>
      <x:c r="M883" s="19" t="n">
        <x:v>0</x:v>
      </x:c>
      <x:c r="N883" s="19" t="n">
        <x:v>77.42</x:v>
      </x:c>
      <x:c r="O883" s="4" t="n">
        <x:f>YEAR(C883)</x:f>
        <x:v>2025</x:v>
      </x:c>
      <x:c r="P883" s="4" t="str">
        <x:f>TEXT(C883,"yyyy-mm")</x:f>
        <x:v>2025-10</x:v>
      </x:c>
      <x:c r="Q883" s="4" t="str">
        <x:f>TEXT(C883,"mmmm")</x:f>
        <x:v>October</x:v>
      </x:c>
    </x:row>
    <x:row r="884" ht="20" customHeight="1">
      <x:c r="A884" s="4" t="inlineStr">
        <x:is>
          <x:t xml:space="preserve">LINE-00892</x:t>
        </x:is>
      </x:c>
      <x:c r="B884" s="4" t="inlineStr">
        <x:is>
          <x:t xml:space="preserve">ORD-2025-0554</x:t>
        </x:is>
      </x:c>
      <x:c r="C884" s="17" t="n">
        <x:v>45932</x:v>
      </x:c>
      <x:c r="D884" s="4" t="inlineStr">
        <x:is>
          <x:t xml:space="preserve">CUS-0077</x:t>
        </x:is>
      </x:c>
      <x:c r="E884" s="4" t="inlineStr">
        <x:is>
          <x:t xml:space="preserve">Bluetooth Speaker</x:t>
        </x:is>
      </x:c>
      <x:c r="F884" s="4" t="inlineStr">
        <x:is>
          <x:t xml:space="preserve">Audio</x:t>
        </x:is>
      </x:c>
      <x:c r="G884" s="4" t="inlineStr">
        <x:is>
          <x:t xml:space="preserve">San Francisco</x:t>
        </x:is>
      </x:c>
      <x:c r="H884" s="18" t="n">
        <x:v>1</x:v>
      </x:c>
      <x:c r="I884" s="19" t="n">
        <x:v>102.08</x:v>
      </x:c>
      <x:c r="J884" s="20" t="n">
        <x:v>0</x:v>
      </x:c>
      <x:c r="K884" s="4" t="inlineStr">
        <x:is>
          <x:t xml:space="preserve">Debit Card</x:t>
        </x:is>
      </x:c>
      <x:c r="L884" s="19" t="n">
        <x:v>102.08</x:v>
      </x:c>
      <x:c r="M884" s="19" t="n">
        <x:v>0</x:v>
      </x:c>
      <x:c r="N884" s="19" t="n">
        <x:v>102.08</x:v>
      </x:c>
      <x:c r="O884" s="4" t="n">
        <x:f>YEAR(C884)</x:f>
        <x:v>2025</x:v>
      </x:c>
      <x:c r="P884" s="4" t="str">
        <x:f>TEXT(C884,"yyyy-mm")</x:f>
        <x:v>2025-10</x:v>
      </x:c>
      <x:c r="Q884" s="4" t="str">
        <x:f>TEXT(C884,"mmmm")</x:f>
        <x:v>October</x:v>
      </x:c>
    </x:row>
    <x:row r="885" ht="20" customHeight="1">
      <x:c r="A885" s="4" t="inlineStr">
        <x:is>
          <x:t xml:space="preserve">LINE-00893</x:t>
        </x:is>
      </x:c>
      <x:c r="B885" s="4" t="inlineStr">
        <x:is>
          <x:t xml:space="preserve">ORD-2025-0555</x:t>
        </x:is>
      </x:c>
      <x:c r="C885" s="17" t="n">
        <x:v>45707</x:v>
      </x:c>
      <x:c r="D885" s="4" t="inlineStr">
        <x:is>
          <x:t xml:space="preserve">CUS-0234</x:t>
        </x:is>
      </x:c>
      <x:c r="E885" s="4" t="inlineStr">
        <x:is>
          <x:t xml:space="preserve">Monitor</x:t>
        </x:is>
      </x:c>
      <x:c r="F885" s="4" t="inlineStr">
        <x:is>
          <x:t xml:space="preserve">Computers</x:t>
        </x:is>
      </x:c>
      <x:c r="G885" s="4" t="inlineStr">
        <x:is>
          <x:t xml:space="preserve">Boston</x:t>
        </x:is>
      </x:c>
      <x:c r="H885" s="18" t="n">
        <x:v>1</x:v>
      </x:c>
      <x:c r="I885" s="19" t="n">
        <x:v>284.25</x:v>
      </x:c>
      <x:c r="J885" s="20" t="n">
        <x:v>0.05</x:v>
      </x:c>
      <x:c r="K885" s="4" t="inlineStr">
        <x:is>
          <x:t xml:space="preserve">Debit Card</x:t>
        </x:is>
      </x:c>
      <x:c r="L885" s="19" t="n">
        <x:v>284.25</x:v>
      </x:c>
      <x:c r="M885" s="19" t="n">
        <x:v>14.21</x:v>
      </x:c>
      <x:c r="N885" s="19" t="n">
        <x:v>270.04</x:v>
      </x:c>
      <x:c r="O885" s="4" t="n">
        <x:f>YEAR(C885)</x:f>
        <x:v>2025</x:v>
      </x:c>
      <x:c r="P885" s="4" t="str">
        <x:f>TEXT(C885,"yyyy-mm")</x:f>
        <x:v>2025-02</x:v>
      </x:c>
      <x:c r="Q885" s="4" t="str">
        <x:f>TEXT(C885,"mmmm")</x:f>
        <x:v>February</x:v>
      </x:c>
    </x:row>
    <x:row r="886" ht="20" customHeight="1">
      <x:c r="A886" s="4" t="inlineStr">
        <x:is>
          <x:t xml:space="preserve">LINE-00894</x:t>
        </x:is>
      </x:c>
      <x:c r="B886" s="4" t="inlineStr">
        <x:is>
          <x:t xml:space="preserve">ORD-2025-0555</x:t>
        </x:is>
      </x:c>
      <x:c r="C886" s="17" t="n">
        <x:v>45707</x:v>
      </x:c>
      <x:c r="D886" s="4" t="inlineStr">
        <x:is>
          <x:t xml:space="preserve">CUS-0234</x:t>
        </x:is>
      </x:c>
      <x:c r="E886" s="4" t="inlineStr">
        <x:is>
          <x:t xml:space="preserve">Desk Lamp</x:t>
        </x:is>
      </x:c>
      <x:c r="F886" s="4" t="inlineStr">
        <x:is>
          <x:t xml:space="preserve">Furniture</x:t>
        </x:is>
      </x:c>
      <x:c r="G886" s="4" t="inlineStr">
        <x:is>
          <x:t xml:space="preserve">Boston</x:t>
        </x:is>
      </x:c>
      <x:c r="H886" s="18" t="n">
        <x:v>1</x:v>
      </x:c>
      <x:c r="I886" s="19" t="n">
        <x:v>52.38</x:v>
      </x:c>
      <x:c r="J886" s="20" t="n">
        <x:v>0</x:v>
      </x:c>
      <x:c r="K886" s="4" t="inlineStr">
        <x:is>
          <x:t xml:space="preserve">Debit Card</x:t>
        </x:is>
      </x:c>
      <x:c r="L886" s="19" t="n">
        <x:v>52.38</x:v>
      </x:c>
      <x:c r="M886" s="19" t="n">
        <x:v>0</x:v>
      </x:c>
      <x:c r="N886" s="19" t="n">
        <x:v>52.38</x:v>
      </x:c>
      <x:c r="O886" s="4" t="n">
        <x:f>YEAR(C886)</x:f>
        <x:v>2025</x:v>
      </x:c>
      <x:c r="P886" s="4" t="str">
        <x:f>TEXT(C886,"yyyy-mm")</x:f>
        <x:v>2025-02</x:v>
      </x:c>
      <x:c r="Q886" s="4" t="str">
        <x:f>TEXT(C886,"mmmm")</x:f>
        <x:v>February</x:v>
      </x:c>
    </x:row>
    <x:row r="887" ht="20" customHeight="1">
      <x:c r="A887" s="4" t="inlineStr">
        <x:is>
          <x:t xml:space="preserve">LINE-00895</x:t>
        </x:is>
      </x:c>
      <x:c r="B887" s="4" t="inlineStr">
        <x:is>
          <x:t xml:space="preserve">ORD-2025-0556</x:t>
        </x:is>
      </x:c>
      <x:c r="C887" s="17" t="n">
        <x:v>46005</x:v>
      </x:c>
      <x:c r="D887" s="4" t="inlineStr">
        <x:is>
          <x:t xml:space="preserve">CUS-0206</x:t>
        </x:is>
      </x:c>
      <x:c r="E887" s="4" t="inlineStr">
        <x:is>
          <x:t xml:space="preserve">USB Flash Drive</x:t>
        </x:is>
      </x:c>
      <x:c r="F887" s="4" t="inlineStr">
        <x:is>
          <x:t xml:space="preserve">Storage</x:t>
        </x:is>
      </x:c>
      <x:c r="G887" s="4" t="inlineStr">
        <x:is>
          <x:t xml:space="preserve">Austin</x:t>
        </x:is>
      </x:c>
      <x:c r="H887" s="18" t="n">
        <x:v>1</x:v>
      </x:c>
      <x:c r="I887" s="19" t="n">
        <x:v>32.23</x:v>
      </x:c>
      <x:c r="J887" s="20" t="n">
        <x:v>0</x:v>
      </x:c>
      <x:c r="K887" s="4" t="inlineStr">
        <x:is>
          <x:t xml:space="preserve">Credit Card</x:t>
        </x:is>
      </x:c>
      <x:c r="L887" s="19" t="n">
        <x:v>32.23</x:v>
      </x:c>
      <x:c r="M887" s="19" t="n">
        <x:v>0</x:v>
      </x:c>
      <x:c r="N887" s="19" t="n">
        <x:v>32.23</x:v>
      </x:c>
      <x:c r="O887" s="4" t="n">
        <x:f>YEAR(C887)</x:f>
        <x:v>2025</x:v>
      </x:c>
      <x:c r="P887" s="4" t="str">
        <x:f>TEXT(C887,"yyyy-mm")</x:f>
        <x:v>2025-12</x:v>
      </x:c>
      <x:c r="Q887" s="4" t="str">
        <x:f>TEXT(C887,"mmmm")</x:f>
        <x:v>December</x:v>
      </x:c>
    </x:row>
    <x:row r="888" ht="20" customHeight="1">
      <x:c r="A888" s="4" t="inlineStr">
        <x:is>
          <x:t xml:space="preserve">LINE-00896</x:t>
        </x:is>
      </x:c>
      <x:c r="B888" s="4" t="inlineStr">
        <x:is>
          <x:t xml:space="preserve">ORD-2025-0556</x:t>
        </x:is>
      </x:c>
      <x:c r="C888" s="17" t="n">
        <x:v>46005</x:v>
      </x:c>
      <x:c r="D888" s="4" t="inlineStr">
        <x:is>
          <x:t xml:space="preserve">CUS-0206</x:t>
        </x:is>
      </x:c>
      <x:c r="E888" s="4" t="inlineStr">
        <x:is>
          <x:t xml:space="preserve">External SSD</x:t>
        </x:is>
      </x:c>
      <x:c r="F888" s="4" t="inlineStr">
        <x:is>
          <x:t xml:space="preserve">Storage</x:t>
        </x:is>
      </x:c>
      <x:c r="G888" s="4" t="inlineStr">
        <x:is>
          <x:t xml:space="preserve">Austin</x:t>
        </x:is>
      </x:c>
      <x:c r="H888" s="18" t="n">
        <x:v>1</x:v>
      </x:c>
      <x:c r="I888" s="19" t="n">
        <x:v>142.16</x:v>
      </x:c>
      <x:c r="J888" s="20" t="n">
        <x:v>0</x:v>
      </x:c>
      <x:c r="K888" s="4" t="inlineStr">
        <x:is>
          <x:t xml:space="preserve">Credit Card</x:t>
        </x:is>
      </x:c>
      <x:c r="L888" s="19" t="n">
        <x:v>142.16</x:v>
      </x:c>
      <x:c r="M888" s="19" t="n">
        <x:v>0</x:v>
      </x:c>
      <x:c r="N888" s="19" t="n">
        <x:v>142.16</x:v>
      </x:c>
      <x:c r="O888" s="4" t="n">
        <x:f>YEAR(C888)</x:f>
        <x:v>2025</x:v>
      </x:c>
      <x:c r="P888" s="4" t="str">
        <x:f>TEXT(C888,"yyyy-mm")</x:f>
        <x:v>2025-12</x:v>
      </x:c>
      <x:c r="Q888" s="4" t="str">
        <x:f>TEXT(C888,"mmmm")</x:f>
        <x:v>December</x:v>
      </x:c>
    </x:row>
    <x:row r="889" ht="20" customHeight="1">
      <x:c r="A889" s="4" t="inlineStr">
        <x:is>
          <x:t xml:space="preserve">LINE-00897</x:t>
        </x:is>
      </x:c>
      <x:c r="B889" s="4" t="inlineStr">
        <x:is>
          <x:t xml:space="preserve">ORD-2025-0556</x:t>
        </x:is>
      </x:c>
      <x:c r="C889" s="17" t="n">
        <x:v>46005</x:v>
      </x:c>
      <x:c r="D889" s="4" t="inlineStr">
        <x:is>
          <x:t xml:space="preserve">CUS-0206</x:t>
        </x:is>
      </x:c>
      <x:c r="E889" s="4" t="inlineStr">
        <x:is>
          <x:t xml:space="preserve">Keyboard</x:t>
        </x:is>
      </x:c>
      <x:c r="F889" s="4" t="inlineStr">
        <x:is>
          <x:t xml:space="preserve">Accessories</x:t>
        </x:is>
      </x:c>
      <x:c r="G889" s="4" t="inlineStr">
        <x:is>
          <x:t xml:space="preserve">Austin</x:t>
        </x:is>
      </x:c>
      <x:c r="H889" s="18" t="n">
        <x:v>1</x:v>
      </x:c>
      <x:c r="I889" s="19" t="n">
        <x:v>78.09</x:v>
      </x:c>
      <x:c r="J889" s="20" t="n">
        <x:v>0</x:v>
      </x:c>
      <x:c r="K889" s="4" t="inlineStr">
        <x:is>
          <x:t xml:space="preserve">Credit Card</x:t>
        </x:is>
      </x:c>
      <x:c r="L889" s="19" t="n">
        <x:v>78.09</x:v>
      </x:c>
      <x:c r="M889" s="19" t="n">
        <x:v>0</x:v>
      </x:c>
      <x:c r="N889" s="19" t="n">
        <x:v>78.09</x:v>
      </x:c>
      <x:c r="O889" s="4" t="n">
        <x:f>YEAR(C889)</x:f>
        <x:v>2025</x:v>
      </x:c>
      <x:c r="P889" s="4" t="str">
        <x:f>TEXT(C889,"yyyy-mm")</x:f>
        <x:v>2025-12</x:v>
      </x:c>
      <x:c r="Q889" s="4" t="str">
        <x:f>TEXT(C889,"mmmm")</x:f>
        <x:v>December</x:v>
      </x:c>
    </x:row>
    <x:row r="890" ht="20" customHeight="1">
      <x:c r="A890" s="4" t="inlineStr">
        <x:is>
          <x:t xml:space="preserve">LINE-00898</x:t>
        </x:is>
      </x:c>
      <x:c r="B890" s="4" t="inlineStr">
        <x:is>
          <x:t xml:space="preserve">ORD-2025-0557</x:t>
        </x:is>
      </x:c>
      <x:c r="C890" s="17" t="n">
        <x:v>45847</x:v>
      </x:c>
      <x:c r="D890" s="4" t="inlineStr">
        <x:is>
          <x:t xml:space="preserve">CUS-0284</x:t>
        </x:is>
      </x:c>
      <x:c r="E890" s="4" t="inlineStr">
        <x:is>
          <x:t xml:space="preserve">USB Flash Drive</x:t>
        </x:is>
      </x:c>
      <x:c r="F890" s="4" t="inlineStr">
        <x:is>
          <x:t xml:space="preserve">Storage</x:t>
        </x:is>
      </x:c>
      <x:c r="G890" s="4" t="inlineStr">
        <x:is>
          <x:t xml:space="preserve">Chicago</x:t>
        </x:is>
      </x:c>
      <x:c r="H890" s="18" t="n">
        <x:v>1</x:v>
      </x:c>
      <x:c r="I890" s="19" t="n">
        <x:v>28.08</x:v>
      </x:c>
      <x:c r="J890" s="20" t="n">
        <x:v>0.1</x:v>
      </x:c>
      <x:c r="K890" s="4" t="inlineStr">
        <x:is>
          <x:t xml:space="preserve">Bank Transfer</x:t>
        </x:is>
      </x:c>
      <x:c r="L890" s="19" t="n">
        <x:v>28.08</x:v>
      </x:c>
      <x:c r="M890" s="19" t="n">
        <x:v>2.81</x:v>
      </x:c>
      <x:c r="N890" s="19" t="n">
        <x:v>25.27</x:v>
      </x:c>
      <x:c r="O890" s="4" t="n">
        <x:f>YEAR(C890)</x:f>
        <x:v>2025</x:v>
      </x:c>
      <x:c r="P890" s="4" t="str">
        <x:f>TEXT(C890,"yyyy-mm")</x:f>
        <x:v>2025-07</x:v>
      </x:c>
      <x:c r="Q890" s="4" t="str">
        <x:f>TEXT(C890,"mmmm")</x:f>
        <x:v>July</x:v>
      </x:c>
    </x:row>
    <x:row r="891" ht="20" customHeight="1">
      <x:c r="A891" s="4" t="inlineStr">
        <x:is>
          <x:t xml:space="preserve">LINE-00899</x:t>
        </x:is>
      </x:c>
      <x:c r="B891" s="4" t="inlineStr">
        <x:is>
          <x:t xml:space="preserve">ORD-2025-0558</x:t>
        </x:is>
      </x:c>
      <x:c r="C891" s="17" t="n">
        <x:v>45971</x:v>
      </x:c>
      <x:c r="D891" s="4" t="inlineStr">
        <x:is>
          <x:t xml:space="preserve">CUS-0193</x:t>
        </x:is>
      </x:c>
      <x:c r="E891" s="4" t="inlineStr">
        <x:is>
          <x:t xml:space="preserve">Monitor</x:t>
        </x:is>
      </x:c>
      <x:c r="F891" s="4" t="inlineStr">
        <x:is>
          <x:t xml:space="preserve">Computers</x:t>
        </x:is>
      </x:c>
      <x:c r="G891" s="4" t="inlineStr">
        <x:is>
          <x:t xml:space="preserve">Chicago</x:t>
        </x:is>
      </x:c>
      <x:c r="H891" s="18" t="n">
        <x:v>1</x:v>
      </x:c>
      <x:c r="I891" s="19" t="n">
        <x:v>261.59</x:v>
      </x:c>
      <x:c r="J891" s="20" t="n">
        <x:v>0.05</x:v>
      </x:c>
      <x:c r="K891" s="4" t="inlineStr">
        <x:is>
          <x:t xml:space="preserve">Credit Card</x:t>
        </x:is>
      </x:c>
      <x:c r="L891" s="19" t="n">
        <x:v>261.59</x:v>
      </x:c>
      <x:c r="M891" s="19" t="n">
        <x:v>13.08</x:v>
      </x:c>
      <x:c r="N891" s="19" t="n">
        <x:v>248.51</x:v>
      </x:c>
      <x:c r="O891" s="4" t="n">
        <x:f>YEAR(C891)</x:f>
        <x:v>2025</x:v>
      </x:c>
      <x:c r="P891" s="4" t="str">
        <x:f>TEXT(C891,"yyyy-mm")</x:f>
        <x:v>2025-11</x:v>
      </x:c>
      <x:c r="Q891" s="4" t="str">
        <x:f>TEXT(C891,"mmmm")</x:f>
        <x:v>November</x:v>
      </x:c>
    </x:row>
    <x:row r="892" ht="20" customHeight="1">
      <x:c r="A892" s="4" t="inlineStr">
        <x:is>
          <x:t xml:space="preserve">LINE-00900</x:t>
        </x:is>
      </x:c>
      <x:c r="B892" s="4" t="inlineStr">
        <x:is>
          <x:t xml:space="preserve">ORD-2025-0558</x:t>
        </x:is>
      </x:c>
      <x:c r="C892" s="17" t="n">
        <x:v>45971</x:v>
      </x:c>
      <x:c r="D892" s="4" t="inlineStr">
        <x:is>
          <x:t xml:space="preserve">CUS-0193</x:t>
        </x:is>
      </x:c>
      <x:c r="E892" s="4" t="inlineStr">
        <x:is>
          <x:t xml:space="preserve">Laptop</x:t>
        </x:is>
      </x:c>
      <x:c r="F892" s="4" t="inlineStr">
        <x:is>
          <x:t xml:space="preserve">Computers</x:t>
        </x:is>
      </x:c>
      <x:c r="G892" s="4" t="inlineStr">
        <x:is>
          <x:t xml:space="preserve">Chicago</x:t>
        </x:is>
      </x:c>
      <x:c r="H892" s="18" t="n">
        <x:v>4</x:v>
      </x:c>
      <x:c r="I892" s="19" t="n">
        <x:v>937.27</x:v>
      </x:c>
      <x:c r="J892" s="20" t="n">
        <x:v>0.1</x:v>
      </x:c>
      <x:c r="K892" s="4" t="inlineStr">
        <x:is>
          <x:t xml:space="preserve">Credit Card</x:t>
        </x:is>
      </x:c>
      <x:c r="L892" s="19" t="n">
        <x:v>3749.08</x:v>
      </x:c>
      <x:c r="M892" s="19" t="n">
        <x:v>374.91</x:v>
      </x:c>
      <x:c r="N892" s="19" t="n">
        <x:v>3374.17</x:v>
      </x:c>
      <x:c r="O892" s="4" t="n">
        <x:f>YEAR(C892)</x:f>
        <x:v>2025</x:v>
      </x:c>
      <x:c r="P892" s="4" t="str">
        <x:f>TEXT(C892,"yyyy-mm")</x:f>
        <x:v>2025-11</x:v>
      </x:c>
      <x:c r="Q892" s="4" t="str">
        <x:f>TEXT(C892,"mmmm")</x:f>
        <x:v>November</x:v>
      </x:c>
    </x:row>
    <x:row r="893" ht="20" customHeight="1">
      <x:c r="A893" s="4" t="inlineStr">
        <x:is>
          <x:t xml:space="preserve">LINE-00901</x:t>
        </x:is>
      </x:c>
      <x:c r="B893" s="4" t="inlineStr">
        <x:is>
          <x:t xml:space="preserve">ORD-2025-0558</x:t>
        </x:is>
      </x:c>
      <x:c r="C893" s="17" t="n">
        <x:v>45971</x:v>
      </x:c>
      <x:c r="D893" s="4" t="inlineStr">
        <x:is>
          <x:t xml:space="preserve">CUS-0193</x:t>
        </x:is>
      </x:c>
      <x:c r="E893" s="4" t="inlineStr">
        <x:is>
          <x:t xml:space="preserve">Office Chair</x:t>
        </x:is>
      </x:c>
      <x:c r="F893" s="4" t="inlineStr">
        <x:is>
          <x:t xml:space="preserve">Furniture</x:t>
        </x:is>
      </x:c>
      <x:c r="G893" s="4" t="inlineStr">
        <x:is>
          <x:t xml:space="preserve">Chicago</x:t>
        </x:is>
      </x:c>
      <x:c r="H893" s="18" t="n">
        <x:v>3</x:v>
      </x:c>
      <x:c r="I893" s="19" t="n">
        <x:v>247.39</x:v>
      </x:c>
      <x:c r="J893" s="20" t="n">
        <x:v>0</x:v>
      </x:c>
      <x:c r="K893" s="4" t="inlineStr">
        <x:is>
          <x:t xml:space="preserve">Credit Card</x:t>
        </x:is>
      </x:c>
      <x:c r="L893" s="19" t="n">
        <x:v>742.17</x:v>
      </x:c>
      <x:c r="M893" s="19" t="n">
        <x:v>0</x:v>
      </x:c>
      <x:c r="N893" s="19" t="n">
        <x:v>742.17</x:v>
      </x:c>
      <x:c r="O893" s="4" t="n">
        <x:f>YEAR(C893)</x:f>
        <x:v>2025</x:v>
      </x:c>
      <x:c r="P893" s="4" t="str">
        <x:f>TEXT(C893,"yyyy-mm")</x:f>
        <x:v>2025-11</x:v>
      </x:c>
      <x:c r="Q893" s="4" t="str">
        <x:f>TEXT(C893,"mmmm")</x:f>
        <x:v>November</x:v>
      </x:c>
    </x:row>
    <x:row r="894" ht="20" customHeight="1">
      <x:c r="A894" s="4" t="inlineStr">
        <x:is>
          <x:t xml:space="preserve">LINE-00902</x:t>
        </x:is>
      </x:c>
      <x:c r="B894" s="4" t="inlineStr">
        <x:is>
          <x:t xml:space="preserve">ORD-2025-0559</x:t>
        </x:is>
      </x:c>
      <x:c r="C894" s="17" t="n">
        <x:v>45985</x:v>
      </x:c>
      <x:c r="D894" s="4" t="inlineStr">
        <x:is>
          <x:t xml:space="preserve">CUS-0139</x:t>
        </x:is>
      </x:c>
      <x:c r="E894" s="4" t="inlineStr">
        <x:is>
          <x:t xml:space="preserve">Keyboard</x:t>
        </x:is>
      </x:c>
      <x:c r="F894" s="4" t="inlineStr">
        <x:is>
          <x:t xml:space="preserve">Accessories</x:t>
        </x:is>
      </x:c>
      <x:c r="G894" s="4" t="inlineStr">
        <x:is>
          <x:t xml:space="preserve">Boston</x:t>
        </x:is>
      </x:c>
      <x:c r="H894" s="18" t="n">
        <x:v>2</x:v>
      </x:c>
      <x:c r="I894" s="19" t="n">
        <x:v>69.45</x:v>
      </x:c>
      <x:c r="J894" s="20" t="n">
        <x:v>0</x:v>
      </x:c>
      <x:c r="K894" s="4" t="inlineStr">
        <x:is>
          <x:t xml:space="preserve">Bank Transfer</x:t>
        </x:is>
      </x:c>
      <x:c r="L894" s="19" t="n">
        <x:v>138.9</x:v>
      </x:c>
      <x:c r="M894" s="19" t="n">
        <x:v>0</x:v>
      </x:c>
      <x:c r="N894" s="19" t="n">
        <x:v>138.9</x:v>
      </x:c>
      <x:c r="O894" s="4" t="n">
        <x:f>YEAR(C894)</x:f>
        <x:v>2025</x:v>
      </x:c>
      <x:c r="P894" s="4" t="str">
        <x:f>TEXT(C894,"yyyy-mm")</x:f>
        <x:v>2025-11</x:v>
      </x:c>
      <x:c r="Q894" s="4" t="str">
        <x:f>TEXT(C894,"mmmm")</x:f>
        <x:v>November</x:v>
      </x:c>
    </x:row>
    <x:row r="895" ht="20" customHeight="1">
      <x:c r="A895" s="4" t="inlineStr">
        <x:is>
          <x:t xml:space="preserve">LINE-00903</x:t>
        </x:is>
      </x:c>
      <x:c r="B895" s="4" t="inlineStr">
        <x:is>
          <x:t xml:space="preserve">ORD-2025-0560</x:t>
        </x:is>
      </x:c>
      <x:c r="C895" s="17" t="n">
        <x:v>45913</x:v>
      </x:c>
      <x:c r="D895" s="4" t="inlineStr">
        <x:is>
          <x:t xml:space="preserve">CUS-0314</x:t>
        </x:is>
      </x:c>
      <x:c r="E895" s="4" t="inlineStr">
        <x:is>
          <x:t xml:space="preserve">Laptop</x:t>
        </x:is>
      </x:c>
      <x:c r="F895" s="4" t="inlineStr">
        <x:is>
          <x:t xml:space="preserve">Computers</x:t>
        </x:is>
      </x:c>
      <x:c r="G895" s="4" t="inlineStr">
        <x:is>
          <x:t xml:space="preserve">New York</x:t>
        </x:is>
      </x:c>
      <x:c r="H895" s="18" t="n">
        <x:v>2</x:v>
      </x:c>
      <x:c r="I895" s="19" t="n">
        <x:v>903.17</x:v>
      </x:c>
      <x:c r="J895" s="20" t="n">
        <x:v>0.2</x:v>
      </x:c>
      <x:c r="K895" s="4" t="inlineStr">
        <x:is>
          <x:t xml:space="preserve">PayPal</x:t>
        </x:is>
      </x:c>
      <x:c r="L895" s="19" t="n">
        <x:v>1806.34</x:v>
      </x:c>
      <x:c r="M895" s="19" t="n">
        <x:v>361.27</x:v>
      </x:c>
      <x:c r="N895" s="19" t="n">
        <x:v>1445.07</x:v>
      </x:c>
      <x:c r="O895" s="4" t="n">
        <x:f>YEAR(C895)</x:f>
        <x:v>2025</x:v>
      </x:c>
      <x:c r="P895" s="4" t="str">
        <x:f>TEXT(C895,"yyyy-mm")</x:f>
        <x:v>2025-09</x:v>
      </x:c>
      <x:c r="Q895" s="4" t="str">
        <x:f>TEXT(C895,"mmmm")</x:f>
        <x:v>September</x:v>
      </x:c>
    </x:row>
    <x:row r="896" ht="20" customHeight="1">
      <x:c r="A896" s="4" t="inlineStr">
        <x:is>
          <x:t xml:space="preserve">LINE-00904</x:t>
        </x:is>
      </x:c>
      <x:c r="B896" s="4" t="inlineStr">
        <x:is>
          <x:t xml:space="preserve">ORD-2025-0561</x:t>
        </x:is>
      </x:c>
      <x:c r="C896" s="17" t="n">
        <x:v>45706</x:v>
      </x:c>
      <x:c r="D896" s="4" t="inlineStr">
        <x:is>
          <x:t xml:space="preserve">CUS-0317</x:t>
        </x:is>
      </x:c>
      <x:c r="E896" s="4" t="inlineStr">
        <x:is>
          <x:t xml:space="preserve">Office Chair</x:t>
        </x:is>
      </x:c>
      <x:c r="F896" s="4" t="inlineStr">
        <x:is>
          <x:t xml:space="preserve">Furniture</x:t>
        </x:is>
      </x:c>
      <x:c r="G896" s="4" t="inlineStr">
        <x:is>
          <x:t xml:space="preserve">Austin</x:t>
        </x:is>
      </x:c>
      <x:c r="H896" s="18" t="n">
        <x:v>2</x:v>
      </x:c>
      <x:c r="I896" s="19" t="n">
        <x:v>231.41</x:v>
      </x:c>
      <x:c r="J896" s="20" t="n">
        <x:v>0</x:v>
      </x:c>
      <x:c r="K896" s="4" t="inlineStr">
        <x:is>
          <x:t xml:space="preserve">Debit Card</x:t>
        </x:is>
      </x:c>
      <x:c r="L896" s="19" t="n">
        <x:v>462.82</x:v>
      </x:c>
      <x:c r="M896" s="19" t="n">
        <x:v>0</x:v>
      </x:c>
      <x:c r="N896" s="19" t="n">
        <x:v>462.82</x:v>
      </x:c>
      <x:c r="O896" s="4" t="n">
        <x:f>YEAR(C896)</x:f>
        <x:v>2025</x:v>
      </x:c>
      <x:c r="P896" s="4" t="str">
        <x:f>TEXT(C896,"yyyy-mm")</x:f>
        <x:v>2025-02</x:v>
      </x:c>
      <x:c r="Q896" s="4" t="str">
        <x:f>TEXT(C896,"mmmm")</x:f>
        <x:v>February</x:v>
      </x:c>
    </x:row>
    <x:row r="897" ht="20" customHeight="1">
      <x:c r="A897" s="4" t="inlineStr">
        <x:is>
          <x:t xml:space="preserve">LINE-00905</x:t>
        </x:is>
      </x:c>
      <x:c r="B897" s="4" t="inlineStr">
        <x:is>
          <x:t xml:space="preserve">ORD-2025-0562</x:t>
        </x:is>
      </x:c>
      <x:c r="C897" s="17" t="n">
        <x:v>45734</x:v>
      </x:c>
      <x:c r="D897" s="4" t="inlineStr">
        <x:is>
          <x:t xml:space="preserve">CUS-0243</x:t>
        </x:is>
      </x:c>
      <x:c r="E897" s="4" t="inlineStr">
        <x:is>
          <x:t xml:space="preserve">Laptop</x:t>
        </x:is>
      </x:c>
      <x:c r="F897" s="4" t="inlineStr">
        <x:is>
          <x:t xml:space="preserve">Computers</x:t>
        </x:is>
      </x:c>
      <x:c r="G897" s="4" t="inlineStr">
        <x:is>
          <x:t xml:space="preserve">Seattle</x:t>
        </x:is>
      </x:c>
      <x:c r="H897" s="18" t="n">
        <x:v>1</x:v>
      </x:c>
      <x:c r="I897" s="19" t="n">
        <x:v>929.36</x:v>
      </x:c>
      <x:c r="J897" s="20" t="n">
        <x:v>0</x:v>
      </x:c>
      <x:c r="K897" s="4" t="inlineStr">
        <x:is>
          <x:t xml:space="preserve">Debit Card</x:t>
        </x:is>
      </x:c>
      <x:c r="L897" s="19" t="n">
        <x:v>929.36</x:v>
      </x:c>
      <x:c r="M897" s="19" t="n">
        <x:v>0</x:v>
      </x:c>
      <x:c r="N897" s="19" t="n">
        <x:v>929.36</x:v>
      </x:c>
      <x:c r="O897" s="4" t="n">
        <x:f>YEAR(C897)</x:f>
        <x:v>2025</x:v>
      </x:c>
      <x:c r="P897" s="4" t="str">
        <x:f>TEXT(C897,"yyyy-mm")</x:f>
        <x:v>2025-03</x:v>
      </x:c>
      <x:c r="Q897" s="4" t="str">
        <x:f>TEXT(C897,"mmmm")</x:f>
        <x:v>March</x:v>
      </x:c>
    </x:row>
    <x:row r="898" ht="20" customHeight="1">
      <x:c r="A898" s="4" t="inlineStr">
        <x:is>
          <x:t xml:space="preserve">LINE-00906</x:t>
        </x:is>
      </x:c>
      <x:c r="B898" s="4" t="inlineStr">
        <x:is>
          <x:t xml:space="preserve">ORD-2025-0563</x:t>
        </x:is>
      </x:c>
      <x:c r="C898" s="17" t="n">
        <x:v>45786</x:v>
      </x:c>
      <x:c r="D898" s="4" t="inlineStr">
        <x:is>
          <x:t xml:space="preserve">CUS-0172</x:t>
        </x:is>
      </x:c>
      <x:c r="E898" s="4" t="inlineStr">
        <x:is>
          <x:t xml:space="preserve">Desk Lamp</x:t>
        </x:is>
      </x:c>
      <x:c r="F898" s="4" t="inlineStr">
        <x:is>
          <x:t xml:space="preserve">Furniture</x:t>
        </x:is>
      </x:c>
      <x:c r="G898" s="4" t="inlineStr">
        <x:is>
          <x:t xml:space="preserve">Boston</x:t>
        </x:is>
      </x:c>
      <x:c r="H898" s="18" t="n">
        <x:v>1</x:v>
      </x:c>
      <x:c r="I898" s="19" t="n">
        <x:v>55.33</x:v>
      </x:c>
      <x:c r="J898" s="20" t="n">
        <x:v>0</x:v>
      </x:c>
      <x:c r="K898" s="4" t="inlineStr">
        <x:is>
          <x:t xml:space="preserve">Bank Transfer</x:t>
        </x:is>
      </x:c>
      <x:c r="L898" s="19" t="n">
        <x:v>55.33</x:v>
      </x:c>
      <x:c r="M898" s="19" t="n">
        <x:v>0</x:v>
      </x:c>
      <x:c r="N898" s="19" t="n">
        <x:v>55.33</x:v>
      </x:c>
      <x:c r="O898" s="4" t="n">
        <x:f>YEAR(C898)</x:f>
        <x:v>2025</x:v>
      </x:c>
      <x:c r="P898" s="4" t="str">
        <x:f>TEXT(C898,"yyyy-mm")</x:f>
        <x:v>2025-05</x:v>
      </x:c>
      <x:c r="Q898" s="4" t="str">
        <x:f>TEXT(C898,"mmmm")</x:f>
        <x:v>May</x:v>
      </x:c>
    </x:row>
    <x:row r="899" ht="20" customHeight="1">
      <x:c r="A899" s="4" t="inlineStr">
        <x:is>
          <x:t xml:space="preserve">LINE-00907</x:t>
        </x:is>
      </x:c>
      <x:c r="B899" s="4" t="inlineStr">
        <x:is>
          <x:t xml:space="preserve">ORD-2025-0564</x:t>
        </x:is>
      </x:c>
      <x:c r="C899" s="17" t="n">
        <x:v>45672</x:v>
      </x:c>
      <x:c r="D899" s="4" t="inlineStr">
        <x:is>
          <x:t xml:space="preserve">CUS-0249</x:t>
        </x:is>
      </x:c>
      <x:c r="E899" s="4" t="inlineStr">
        <x:is>
          <x:t xml:space="preserve">Wireless Mouse</x:t>
        </x:is>
      </x:c>
      <x:c r="F899" s="4" t="inlineStr">
        <x:is>
          <x:t xml:space="preserve">Accessories</x:t>
        </x:is>
      </x:c>
      <x:c r="G899" s="4" t="inlineStr">
        <x:is>
          <x:t xml:space="preserve">Boston</x:t>
        </x:is>
      </x:c>
      <x:c r="H899" s="18" t="n">
        <x:v>3</x:v>
      </x:c>
      <x:c r="I899" s="19" t="n">
        <x:v>45.67</x:v>
      </x:c>
      <x:c r="J899" s="20" t="n">
        <x:v>0</x:v>
      </x:c>
      <x:c r="K899" s="4" t="inlineStr">
        <x:is>
          <x:t xml:space="preserve">Credit Card</x:t>
        </x:is>
      </x:c>
      <x:c r="L899" s="19" t="n">
        <x:v>137.01</x:v>
      </x:c>
      <x:c r="M899" s="19" t="n">
        <x:v>0</x:v>
      </x:c>
      <x:c r="N899" s="19" t="n">
        <x:v>137.01</x:v>
      </x:c>
      <x:c r="O899" s="4" t="n">
        <x:f>YEAR(C899)</x:f>
        <x:v>2025</x:v>
      </x:c>
      <x:c r="P899" s="4" t="str">
        <x:f>TEXT(C899,"yyyy-mm")</x:f>
        <x:v>2025-01</x:v>
      </x:c>
      <x:c r="Q899" s="4" t="str">
        <x:f>TEXT(C899,"mmmm")</x:f>
        <x:v>January</x:v>
      </x:c>
    </x:row>
    <x:row r="900" ht="20" customHeight="1">
      <x:c r="A900" s="4" t="inlineStr">
        <x:is>
          <x:t xml:space="preserve">LINE-00908</x:t>
        </x:is>
      </x:c>
      <x:c r="B900" s="4" t="inlineStr">
        <x:is>
          <x:t xml:space="preserve">ORD-2025-0565</x:t>
        </x:is>
      </x:c>
      <x:c r="C900" s="17" t="n">
        <x:v>45759</x:v>
      </x:c>
      <x:c r="D900" s="4" t="inlineStr">
        <x:is>
          <x:t xml:space="preserve">CUS-0347</x:t>
        </x:is>
      </x:c>
      <x:c r="E900" s="4" t="inlineStr">
        <x:is>
          <x:t xml:space="preserve">Webcam</x:t>
        </x:is>
      </x:c>
      <x:c r="F900" s="4" t="inlineStr">
        <x:is>
          <x:t xml:space="preserve">Accessories</x:t>
        </x:is>
      </x:c>
      <x:c r="G900" s="4" t="inlineStr">
        <x:is>
          <x:t xml:space="preserve">Austin</x:t>
        </x:is>
      </x:c>
      <x:c r="H900" s="18" t="n">
        <x:v>1</x:v>
      </x:c>
      <x:c r="I900" s="19" t="n">
        <x:v>93.42</x:v>
      </x:c>
      <x:c r="J900" s="20" t="n">
        <x:v>0.1</x:v>
      </x:c>
      <x:c r="K900" s="4" t="inlineStr">
        <x:is>
          <x:t xml:space="preserve">Debit Card</x:t>
        </x:is>
      </x:c>
      <x:c r="L900" s="19" t="n">
        <x:v>93.42</x:v>
      </x:c>
      <x:c r="M900" s="19" t="n">
        <x:v>9.34</x:v>
      </x:c>
      <x:c r="N900" s="19" t="n">
        <x:v>84.08</x:v>
      </x:c>
      <x:c r="O900" s="4" t="n">
        <x:f>YEAR(C900)</x:f>
        <x:v>2025</x:v>
      </x:c>
      <x:c r="P900" s="4" t="str">
        <x:f>TEXT(C900,"yyyy-mm")</x:f>
        <x:v>2025-04</x:v>
      </x:c>
      <x:c r="Q900" s="4" t="str">
        <x:f>TEXT(C900,"mmmm")</x:f>
        <x:v>April</x:v>
      </x:c>
    </x:row>
    <x:row r="901" ht="20" customHeight="1">
      <x:c r="A901" s="4" t="inlineStr">
        <x:is>
          <x:t xml:space="preserve">LINE-00909</x:t>
        </x:is>
      </x:c>
      <x:c r="B901" s="4" t="inlineStr">
        <x:is>
          <x:t xml:space="preserve">ORD-2025-0565</x:t>
        </x:is>
      </x:c>
      <x:c r="C901" s="17" t="n">
        <x:v>45759</x:v>
      </x:c>
      <x:c r="D901" s="4" t="inlineStr">
        <x:is>
          <x:t xml:space="preserve">CUS-0347</x:t>
        </x:is>
      </x:c>
      <x:c r="E901" s="4" t="inlineStr">
        <x:is>
          <x:t xml:space="preserve">Wireless Mouse</x:t>
        </x:is>
      </x:c>
      <x:c r="F901" s="4" t="inlineStr">
        <x:is>
          <x:t xml:space="preserve">Accessories</x:t>
        </x:is>
      </x:c>
      <x:c r="G901" s="4" t="inlineStr">
        <x:is>
          <x:t xml:space="preserve">Austin</x:t>
        </x:is>
      </x:c>
      <x:c r="H901" s="18" t="n">
        <x:v>1</x:v>
      </x:c>
      <x:c r="I901" s="19" t="n">
        <x:v>42.99</x:v>
      </x:c>
      <x:c r="J901" s="20" t="n">
        <x:v>0.05</x:v>
      </x:c>
      <x:c r="K901" s="4" t="inlineStr">
        <x:is>
          <x:t xml:space="preserve">Debit Card</x:t>
        </x:is>
      </x:c>
      <x:c r="L901" s="19" t="n">
        <x:v>42.99</x:v>
      </x:c>
      <x:c r="M901" s="19" t="n">
        <x:v>2.15</x:v>
      </x:c>
      <x:c r="N901" s="19" t="n">
        <x:v>40.84</x:v>
      </x:c>
      <x:c r="O901" s="4" t="n">
        <x:f>YEAR(C901)</x:f>
        <x:v>2025</x:v>
      </x:c>
      <x:c r="P901" s="4" t="str">
        <x:f>TEXT(C901,"yyyy-mm")</x:f>
        <x:v>2025-04</x:v>
      </x:c>
      <x:c r="Q901" s="4" t="str">
        <x:f>TEXT(C901,"mmmm")</x:f>
        <x:v>April</x:v>
      </x:c>
    </x:row>
    <x:row r="902" ht="20" customHeight="1">
      <x:c r="A902" s="4" t="inlineStr">
        <x:is>
          <x:t xml:space="preserve">LINE-00910</x:t>
        </x:is>
      </x:c>
      <x:c r="B902" s="4" t="inlineStr">
        <x:is>
          <x:t xml:space="preserve">ORD-2025-0566</x:t>
        </x:is>
      </x:c>
      <x:c r="C902" s="17" t="n">
        <x:v>45906</x:v>
      </x:c>
      <x:c r="D902" s="4" t="inlineStr">
        <x:is>
          <x:t xml:space="preserve">CUS-0028</x:t>
        </x:is>
      </x:c>
      <x:c r="E902" s="4" t="inlineStr">
        <x:is>
          <x:t xml:space="preserve">USB Flash Drive</x:t>
        </x:is>
      </x:c>
      <x:c r="F902" s="4" t="inlineStr">
        <x:is>
          <x:t xml:space="preserve">Storage</x:t>
        </x:is>
      </x:c>
      <x:c r="G902" s="4" t="inlineStr">
        <x:is>
          <x:t xml:space="preserve">Seattle</x:t>
        </x:is>
      </x:c>
      <x:c r="H902" s="18" t="n">
        <x:v>2</x:v>
      </x:c>
      <x:c r="I902" s="19" t="n">
        <x:v>29.46</x:v>
      </x:c>
      <x:c r="J902" s="20" t="n">
        <x:v>0</x:v>
      </x:c>
      <x:c r="K902" s="4" t="inlineStr">
        <x:is>
          <x:t xml:space="preserve">Debit Card</x:t>
        </x:is>
      </x:c>
      <x:c r="L902" s="19" t="n">
        <x:v>58.92</x:v>
      </x:c>
      <x:c r="M902" s="19" t="n">
        <x:v>0</x:v>
      </x:c>
      <x:c r="N902" s="19" t="n">
        <x:v>58.92</x:v>
      </x:c>
      <x:c r="O902" s="4" t="n">
        <x:f>YEAR(C902)</x:f>
        <x:v>2025</x:v>
      </x:c>
      <x:c r="P902" s="4" t="str">
        <x:f>TEXT(C902,"yyyy-mm")</x:f>
        <x:v>2025-09</x:v>
      </x:c>
      <x:c r="Q902" s="4" t="str">
        <x:f>TEXT(C902,"mmmm")</x:f>
        <x:v>September</x:v>
      </x:c>
    </x:row>
    <x:row r="903" ht="20" customHeight="1">
      <x:c r="A903" s="4" t="inlineStr">
        <x:is>
          <x:t xml:space="preserve">LINE-00911</x:t>
        </x:is>
      </x:c>
      <x:c r="B903" s="4" t="inlineStr">
        <x:is>
          <x:t xml:space="preserve">ORD-2025-0567</x:t>
        </x:is>
      </x:c>
      <x:c r="C903" s="17" t="n">
        <x:v>45757</x:v>
      </x:c>
      <x:c r="D903" s="4" t="inlineStr">
        <x:is>
          <x:t xml:space="preserve">CUS-0324</x:t>
        </x:is>
      </x:c>
      <x:c r="E903" s="4" t="inlineStr">
        <x:is>
          <x:t xml:space="preserve">Keyboard</x:t>
        </x:is>
      </x:c>
      <x:c r="F903" s="4" t="inlineStr">
        <x:is>
          <x:t xml:space="preserve">Accessories</x:t>
        </x:is>
      </x:c>
      <x:c r="G903" s="4" t="inlineStr">
        <x:is>
          <x:t xml:space="preserve">Austin</x:t>
        </x:is>
      </x:c>
      <x:c r="H903" s="18" t="n">
        <x:v>1</x:v>
      </x:c>
      <x:c r="I903" s="19" t="n">
        <x:v>75.81999999999999</x:v>
      </x:c>
      <x:c r="J903" s="20" t="n">
        <x:v>0</x:v>
      </x:c>
      <x:c r="K903" s="4" t="inlineStr">
        <x:is>
          <x:t xml:space="preserve">PayPal</x:t>
        </x:is>
      </x:c>
      <x:c r="L903" s="19" t="n">
        <x:v>75.81999999999999</x:v>
      </x:c>
      <x:c r="M903" s="19" t="n">
        <x:v>0</x:v>
      </x:c>
      <x:c r="N903" s="19" t="n">
        <x:v>75.81999999999999</x:v>
      </x:c>
      <x:c r="O903" s="4" t="n">
        <x:f>YEAR(C903)</x:f>
        <x:v>2025</x:v>
      </x:c>
      <x:c r="P903" s="4" t="str">
        <x:f>TEXT(C903,"yyyy-mm")</x:f>
        <x:v>2025-04</x:v>
      </x:c>
      <x:c r="Q903" s="4" t="str">
        <x:f>TEXT(C903,"mmmm")</x:f>
        <x:v>April</x:v>
      </x:c>
    </x:row>
    <x:row r="904" ht="20" customHeight="1">
      <x:c r="A904" s="4" t="inlineStr">
        <x:is>
          <x:t xml:space="preserve">LINE-00912</x:t>
        </x:is>
      </x:c>
      <x:c r="B904" s="4" t="inlineStr">
        <x:is>
          <x:t xml:space="preserve">ORD-2025-0568</x:t>
        </x:is>
      </x:c>
      <x:c r="C904" s="17" t="n">
        <x:v>45714</x:v>
      </x:c>
      <x:c r="D904" s="4" t="inlineStr">
        <x:is>
          <x:t xml:space="preserve">CUS-0239</x:t>
        </x:is>
      </x:c>
      <x:c r="E904" s="4" t="inlineStr">
        <x:is>
          <x:t xml:space="preserve">Webcam</x:t>
        </x:is>
      </x:c>
      <x:c r="F904" s="4" t="inlineStr">
        <x:is>
          <x:t xml:space="preserve">Accessories</x:t>
        </x:is>
      </x:c>
      <x:c r="G904" s="4" t="inlineStr">
        <x:is>
          <x:t xml:space="preserve">Seattle</x:t>
        </x:is>
      </x:c>
      <x:c r="H904" s="18" t="n">
        <x:v>1</x:v>
      </x:c>
      <x:c r="I904" s="19" t="n">
        <x:v>87.05</x:v>
      </x:c>
      <x:c r="J904" s="20" t="n">
        <x:v>0</x:v>
      </x:c>
      <x:c r="K904" s="4" t="inlineStr">
        <x:is>
          <x:t xml:space="preserve">Bank Transfer</x:t>
        </x:is>
      </x:c>
      <x:c r="L904" s="19" t="n">
        <x:v>87.05</x:v>
      </x:c>
      <x:c r="M904" s="19" t="n">
        <x:v>0</x:v>
      </x:c>
      <x:c r="N904" s="19" t="n">
        <x:v>87.05</x:v>
      </x:c>
      <x:c r="O904" s="4" t="n">
        <x:f>YEAR(C904)</x:f>
        <x:v>2025</x:v>
      </x:c>
      <x:c r="P904" s="4" t="str">
        <x:f>TEXT(C904,"yyyy-mm")</x:f>
        <x:v>2025-02</x:v>
      </x:c>
      <x:c r="Q904" s="4" t="str">
        <x:f>TEXT(C904,"mmmm")</x:f>
        <x:v>February</x:v>
      </x:c>
    </x:row>
    <x:row r="905" ht="20" customHeight="1">
      <x:c r="A905" s="4" t="inlineStr">
        <x:is>
          <x:t xml:space="preserve">LINE-00913</x:t>
        </x:is>
      </x:c>
      <x:c r="B905" s="4" t="inlineStr">
        <x:is>
          <x:t xml:space="preserve">ORD-2025-0569</x:t>
        </x:is>
      </x:c>
      <x:c r="C905" s="17" t="n">
        <x:v>45984</x:v>
      </x:c>
      <x:c r="D905" s="4" t="inlineStr">
        <x:is>
          <x:t xml:space="preserve">CUS-0314</x:t>
        </x:is>
      </x:c>
      <x:c r="E905" s="4" t="inlineStr">
        <x:is>
          <x:t xml:space="preserve">External SSD</x:t>
        </x:is>
      </x:c>
      <x:c r="F905" s="4" t="inlineStr">
        <x:is>
          <x:t xml:space="preserve">Storage</x:t>
        </x:is>
      </x:c>
      <x:c r="G905" s="4" t="inlineStr">
        <x:is>
          <x:t xml:space="preserve">Chicago</x:t>
        </x:is>
      </x:c>
      <x:c r="H905" s="18" t="n">
        <x:v>2</x:v>
      </x:c>
      <x:c r="I905" s="19" t="n">
        <x:v>161.9</x:v>
      </x:c>
      <x:c r="J905" s="20" t="n">
        <x:v>0.05</x:v>
      </x:c>
      <x:c r="K905" s="4" t="inlineStr">
        <x:is>
          <x:t xml:space="preserve">Debit Card</x:t>
        </x:is>
      </x:c>
      <x:c r="L905" s="19" t="n">
        <x:v>323.8</x:v>
      </x:c>
      <x:c r="M905" s="19" t="n">
        <x:v>16.19</x:v>
      </x:c>
      <x:c r="N905" s="19" t="n">
        <x:v>307.61</x:v>
      </x:c>
      <x:c r="O905" s="4" t="n">
        <x:f>YEAR(C905)</x:f>
        <x:v>2025</x:v>
      </x:c>
      <x:c r="P905" s="4" t="str">
        <x:f>TEXT(C905,"yyyy-mm")</x:f>
        <x:v>2025-11</x:v>
      </x:c>
      <x:c r="Q905" s="4" t="str">
        <x:f>TEXT(C905,"mmmm")</x:f>
        <x:v>November</x:v>
      </x:c>
    </x:row>
    <x:row r="906" ht="20" customHeight="1">
      <x:c r="A906" s="4" t="inlineStr">
        <x:is>
          <x:t xml:space="preserve">LINE-00914</x:t>
        </x:is>
      </x:c>
      <x:c r="B906" s="4" t="inlineStr">
        <x:is>
          <x:t xml:space="preserve">ORD-2025-0570</x:t>
        </x:is>
      </x:c>
      <x:c r="C906" s="17" t="n">
        <x:v>45894</x:v>
      </x:c>
      <x:c r="D906" s="4" t="inlineStr">
        <x:is>
          <x:t xml:space="preserve">CUS-0143</x:t>
        </x:is>
      </x:c>
      <x:c r="E906" s="4" t="inlineStr">
        <x:is>
          <x:t xml:space="preserve">Wireless Mouse</x:t>
        </x:is>
      </x:c>
      <x:c r="F906" s="4" t="inlineStr">
        <x:is>
          <x:t xml:space="preserve">Accessories</x:t>
        </x:is>
      </x:c>
      <x:c r="G906" s="4" t="inlineStr">
        <x:is>
          <x:t xml:space="preserve">New York</x:t>
        </x:is>
      </x:c>
      <x:c r="H906" s="18" t="n">
        <x:v>1</x:v>
      </x:c>
      <x:c r="I906" s="19" t="n">
        <x:v>45.57</x:v>
      </x:c>
      <x:c r="J906" s="20" t="n">
        <x:v>0.15</x:v>
      </x:c>
      <x:c r="K906" s="4" t="inlineStr">
        <x:is>
          <x:t xml:space="preserve">Bank Transfer</x:t>
        </x:is>
      </x:c>
      <x:c r="L906" s="19" t="n">
        <x:v>45.57</x:v>
      </x:c>
      <x:c r="M906" s="19" t="n">
        <x:v>6.84</x:v>
      </x:c>
      <x:c r="N906" s="19" t="n">
        <x:v>38.73</x:v>
      </x:c>
      <x:c r="O906" s="4" t="n">
        <x:f>YEAR(C906)</x:f>
        <x:v>2025</x:v>
      </x:c>
      <x:c r="P906" s="4" t="str">
        <x:f>TEXT(C906,"yyyy-mm")</x:f>
        <x:v>2025-08</x:v>
      </x:c>
      <x:c r="Q906" s="4" t="str">
        <x:f>TEXT(C906,"mmmm")</x:f>
        <x:v>August</x:v>
      </x:c>
    </x:row>
    <x:row r="907" ht="20" customHeight="1">
      <x:c r="A907" s="4" t="inlineStr">
        <x:is>
          <x:t xml:space="preserve">LINE-00915</x:t>
        </x:is>
      </x:c>
      <x:c r="B907" s="4" t="inlineStr">
        <x:is>
          <x:t xml:space="preserve">ORD-2025-0570</x:t>
        </x:is>
      </x:c>
      <x:c r="C907" s="17" t="n">
        <x:v>45894</x:v>
      </x:c>
      <x:c r="D907" s="4" t="inlineStr">
        <x:is>
          <x:t xml:space="preserve">CUS-0143</x:t>
        </x:is>
      </x:c>
      <x:c r="E907" s="4" t="inlineStr">
        <x:is>
          <x:t xml:space="preserve">Desk Lamp</x:t>
        </x:is>
      </x:c>
      <x:c r="F907" s="4" t="inlineStr">
        <x:is>
          <x:t xml:space="preserve">Furniture</x:t>
        </x:is>
      </x:c>
      <x:c r="G907" s="4" t="inlineStr">
        <x:is>
          <x:t xml:space="preserve">New York</x:t>
        </x:is>
      </x:c>
      <x:c r="H907" s="18" t="n">
        <x:v>2</x:v>
      </x:c>
      <x:c r="I907" s="19" t="n">
        <x:v>51.91</x:v>
      </x:c>
      <x:c r="J907" s="20" t="n">
        <x:v>0.05</x:v>
      </x:c>
      <x:c r="K907" s="4" t="inlineStr">
        <x:is>
          <x:t xml:space="preserve">Bank Transfer</x:t>
        </x:is>
      </x:c>
      <x:c r="L907" s="19" t="n">
        <x:v>103.82</x:v>
      </x:c>
      <x:c r="M907" s="19" t="n">
        <x:v>5.19</x:v>
      </x:c>
      <x:c r="N907" s="19" t="n">
        <x:v>98.63</x:v>
      </x:c>
      <x:c r="O907" s="4" t="n">
        <x:f>YEAR(C907)</x:f>
        <x:v>2025</x:v>
      </x:c>
      <x:c r="P907" s="4" t="str">
        <x:f>TEXT(C907,"yyyy-mm")</x:f>
        <x:v>2025-08</x:v>
      </x:c>
      <x:c r="Q907" s="4" t="str">
        <x:f>TEXT(C907,"mmmm")</x:f>
        <x:v>August</x:v>
      </x:c>
    </x:row>
    <x:row r="908" ht="20" customHeight="1">
      <x:c r="A908" s="4" t="inlineStr">
        <x:is>
          <x:t xml:space="preserve">LINE-00916</x:t>
        </x:is>
      </x:c>
      <x:c r="B908" s="4" t="inlineStr">
        <x:is>
          <x:t xml:space="preserve">ORD-2025-0571</x:t>
        </x:is>
      </x:c>
      <x:c r="C908" s="17" t="n">
        <x:v>45660</x:v>
      </x:c>
      <x:c r="D908" s="4" t="inlineStr">
        <x:is>
          <x:t xml:space="preserve">CUS-0214</x:t>
        </x:is>
      </x:c>
      <x:c r="E908" s="4" t="inlineStr">
        <x:is>
          <x:t xml:space="preserve">Desk Lamp</x:t>
        </x:is>
      </x:c>
      <x:c r="F908" s="4" t="inlineStr">
        <x:is>
          <x:t xml:space="preserve">Furniture</x:t>
        </x:is>
      </x:c>
      <x:c r="G908" s="4" t="inlineStr">
        <x:is>
          <x:t xml:space="preserve">New York</x:t>
        </x:is>
      </x:c>
      <x:c r="H908" s="18" t="n">
        <x:v>2</x:v>
      </x:c>
      <x:c r="I908" s="19" t="n">
        <x:v>54.07</x:v>
      </x:c>
      <x:c r="J908" s="20" t="n">
        <x:v>0.1</x:v>
      </x:c>
      <x:c r="K908" s="4" t="inlineStr">
        <x:is>
          <x:t xml:space="preserve">Credit Card</x:t>
        </x:is>
      </x:c>
      <x:c r="L908" s="19" t="n">
        <x:v>108.14</x:v>
      </x:c>
      <x:c r="M908" s="19" t="n">
        <x:v>10.81</x:v>
      </x:c>
      <x:c r="N908" s="19" t="n">
        <x:v>97.33</x:v>
      </x:c>
      <x:c r="O908" s="4" t="n">
        <x:f>YEAR(C908)</x:f>
        <x:v>2025</x:v>
      </x:c>
      <x:c r="P908" s="4" t="str">
        <x:f>TEXT(C908,"yyyy-mm")</x:f>
        <x:v>2025-01</x:v>
      </x:c>
      <x:c r="Q908" s="4" t="str">
        <x:f>TEXT(C908,"mmmm")</x:f>
        <x:v>January</x:v>
      </x:c>
    </x:row>
    <x:row r="909" ht="20" customHeight="1">
      <x:c r="A909" s="4" t="inlineStr">
        <x:is>
          <x:t xml:space="preserve">LINE-00917</x:t>
        </x:is>
      </x:c>
      <x:c r="B909" s="4" t="inlineStr">
        <x:is>
          <x:t xml:space="preserve">ORD-2025-0571</x:t>
        </x:is>
      </x:c>
      <x:c r="C909" s="17" t="n">
        <x:v>45660</x:v>
      </x:c>
      <x:c r="D909" s="4" t="inlineStr">
        <x:is>
          <x:t xml:space="preserve">CUS-0214</x:t>
        </x:is>
      </x:c>
      <x:c r="E909" s="4" t="inlineStr">
        <x:is>
          <x:t xml:space="preserve">External SSD</x:t>
        </x:is>
      </x:c>
      <x:c r="F909" s="4" t="inlineStr">
        <x:is>
          <x:t xml:space="preserve">Storage</x:t>
        </x:is>
      </x:c>
      <x:c r="G909" s="4" t="inlineStr">
        <x:is>
          <x:t xml:space="preserve">New York</x:t>
        </x:is>
      </x:c>
      <x:c r="H909" s="18" t="n">
        <x:v>3</x:v>
      </x:c>
      <x:c r="I909" s="19" t="n">
        <x:v>140.35</x:v>
      </x:c>
      <x:c r="J909" s="20" t="n">
        <x:v>0.05</x:v>
      </x:c>
      <x:c r="K909" s="4" t="inlineStr">
        <x:is>
          <x:t xml:space="preserve">Credit Card</x:t>
        </x:is>
      </x:c>
      <x:c r="L909" s="19" t="n">
        <x:v>421.05</x:v>
      </x:c>
      <x:c r="M909" s="19" t="n">
        <x:v>21.05</x:v>
      </x:c>
      <x:c r="N909" s="19" t="n">
        <x:v>400</x:v>
      </x:c>
      <x:c r="O909" s="4" t="n">
        <x:f>YEAR(C909)</x:f>
        <x:v>2025</x:v>
      </x:c>
      <x:c r="P909" s="4" t="str">
        <x:f>TEXT(C909,"yyyy-mm")</x:f>
        <x:v>2025-01</x:v>
      </x:c>
      <x:c r="Q909" s="4" t="str">
        <x:f>TEXT(C909,"mmmm")</x:f>
        <x:v>January</x:v>
      </x:c>
    </x:row>
    <x:row r="910" ht="20" customHeight="1">
      <x:c r="A910" s="4" t="inlineStr">
        <x:is>
          <x:t xml:space="preserve">LINE-00918</x:t>
        </x:is>
      </x:c>
      <x:c r="B910" s="4" t="inlineStr">
        <x:is>
          <x:t xml:space="preserve">ORD-2025-0571</x:t>
        </x:is>
      </x:c>
      <x:c r="C910" s="17" t="n">
        <x:v>45660</x:v>
      </x:c>
      <x:c r="D910" s="4" t="inlineStr">
        <x:is>
          <x:t xml:space="preserve">CUS-0214</x:t>
        </x:is>
      </x:c>
      <x:c r="E910" s="4" t="inlineStr">
        <x:is>
          <x:t xml:space="preserve">Laptop</x:t>
        </x:is>
      </x:c>
      <x:c r="F910" s="4" t="inlineStr">
        <x:is>
          <x:t xml:space="preserve">Computers</x:t>
        </x:is>
      </x:c>
      <x:c r="G910" s="4" t="inlineStr">
        <x:is>
          <x:t xml:space="preserve">New York</x:t>
        </x:is>
      </x:c>
      <x:c r="H910" s="18" t="n">
        <x:v>1</x:v>
      </x:c>
      <x:c r="I910" s="19" t="n">
        <x:v>988.47</x:v>
      </x:c>
      <x:c r="J910" s="20" t="n">
        <x:v>0.05</x:v>
      </x:c>
      <x:c r="K910" s="4" t="inlineStr">
        <x:is>
          <x:t xml:space="preserve">Credit Card</x:t>
        </x:is>
      </x:c>
      <x:c r="L910" s="19" t="n">
        <x:v>988.47</x:v>
      </x:c>
      <x:c r="M910" s="19" t="n">
        <x:v>49.42</x:v>
      </x:c>
      <x:c r="N910" s="19" t="n">
        <x:v>939.05</x:v>
      </x:c>
      <x:c r="O910" s="4" t="n">
        <x:f>YEAR(C910)</x:f>
        <x:v>2025</x:v>
      </x:c>
      <x:c r="P910" s="4" t="str">
        <x:f>TEXT(C910,"yyyy-mm")</x:f>
        <x:v>2025-01</x:v>
      </x:c>
      <x:c r="Q910" s="4" t="str">
        <x:f>TEXT(C910,"mmmm")</x:f>
        <x:v>January</x:v>
      </x:c>
    </x:row>
    <x:row r="911" ht="20" customHeight="1">
      <x:c r="A911" s="4" t="inlineStr">
        <x:is>
          <x:t xml:space="preserve">LINE-00919</x:t>
        </x:is>
      </x:c>
      <x:c r="B911" s="4" t="inlineStr">
        <x:is>
          <x:t xml:space="preserve">ORD-2025-0572</x:t>
        </x:is>
      </x:c>
      <x:c r="C911" s="17" t="n">
        <x:v>45866</x:v>
      </x:c>
      <x:c r="D911" s="4" t="inlineStr">
        <x:is>
          <x:t xml:space="preserve">CUS-0112</x:t>
        </x:is>
      </x:c>
      <x:c r="E911" s="4" t="inlineStr">
        <x:is>
          <x:t xml:space="preserve">Office Chair</x:t>
        </x:is>
      </x:c>
      <x:c r="F911" s="4" t="inlineStr">
        <x:is>
          <x:t xml:space="preserve">Furniture</x:t>
        </x:is>
      </x:c>
      <x:c r="G911" s="4" t="inlineStr">
        <x:is>
          <x:t xml:space="preserve">Chicago</x:t>
        </x:is>
      </x:c>
      <x:c r="H911" s="18" t="n">
        <x:v>5</x:v>
      </x:c>
      <x:c r="I911" s="19" t="n">
        <x:v>221.41</x:v>
      </x:c>
      <x:c r="J911" s="20" t="n">
        <x:v>0.05</x:v>
      </x:c>
      <x:c r="K911" s="4" t="inlineStr">
        <x:is>
          <x:t xml:space="preserve">PayPal</x:t>
        </x:is>
      </x:c>
      <x:c r="L911" s="19" t="n">
        <x:v>1107.05</x:v>
      </x:c>
      <x:c r="M911" s="19" t="n">
        <x:v>55.35</x:v>
      </x:c>
      <x:c r="N911" s="19" t="n">
        <x:v>1051.7</x:v>
      </x:c>
      <x:c r="O911" s="4" t="n">
        <x:f>YEAR(C911)</x:f>
        <x:v>2025</x:v>
      </x:c>
      <x:c r="P911" s="4" t="str">
        <x:f>TEXT(C911,"yyyy-mm")</x:f>
        <x:v>2025-07</x:v>
      </x:c>
      <x:c r="Q911" s="4" t="str">
        <x:f>TEXT(C911,"mmmm")</x:f>
        <x:v>July</x:v>
      </x:c>
    </x:row>
    <x:row r="912" ht="20" customHeight="1">
      <x:c r="A912" s="4" t="inlineStr">
        <x:is>
          <x:t xml:space="preserve">LINE-00920</x:t>
        </x:is>
      </x:c>
      <x:c r="B912" s="4" t="inlineStr">
        <x:is>
          <x:t xml:space="preserve">ORD-2025-0573</x:t>
        </x:is>
      </x:c>
      <x:c r="C912" s="17" t="n">
        <x:v>45740</x:v>
      </x:c>
      <x:c r="D912" s="4" t="inlineStr">
        <x:is>
          <x:t xml:space="preserve">CUS-0236</x:t>
        </x:is>
      </x:c>
      <x:c r="E912" s="4" t="inlineStr">
        <x:is>
          <x:t xml:space="preserve">Bluetooth Speaker</x:t>
        </x:is>
      </x:c>
      <x:c r="F912" s="4" t="inlineStr">
        <x:is>
          <x:t xml:space="preserve">Audio</x:t>
        </x:is>
      </x:c>
      <x:c r="G912" s="4" t="inlineStr">
        <x:is>
          <x:t xml:space="preserve">Boston</x:t>
        </x:is>
      </x:c>
      <x:c r="H912" s="18" t="n">
        <x:v>1</x:v>
      </x:c>
      <x:c r="I912" s="19" t="n">
        <x:v>116.54</x:v>
      </x:c>
      <x:c r="J912" s="20" t="n">
        <x:v>0.05</x:v>
      </x:c>
      <x:c r="K912" s="4" t="inlineStr">
        <x:is>
          <x:t xml:space="preserve">Credit Card</x:t>
        </x:is>
      </x:c>
      <x:c r="L912" s="19" t="n">
        <x:v>116.54</x:v>
      </x:c>
      <x:c r="M912" s="19" t="n">
        <x:v>5.83</x:v>
      </x:c>
      <x:c r="N912" s="19" t="n">
        <x:v>110.71</x:v>
      </x:c>
      <x:c r="O912" s="4" t="n">
        <x:f>YEAR(C912)</x:f>
        <x:v>2025</x:v>
      </x:c>
      <x:c r="P912" s="4" t="str">
        <x:f>TEXT(C912,"yyyy-mm")</x:f>
        <x:v>2025-03</x:v>
      </x:c>
      <x:c r="Q912" s="4" t="str">
        <x:f>TEXT(C912,"mmmm")</x:f>
        <x:v>March</x:v>
      </x:c>
    </x:row>
    <x:row r="913" ht="20" customHeight="1">
      <x:c r="A913" s="4" t="inlineStr">
        <x:is>
          <x:t xml:space="preserve">LINE-00921</x:t>
        </x:is>
      </x:c>
      <x:c r="B913" s="4" t="inlineStr">
        <x:is>
          <x:t xml:space="preserve">ORD-2025-0573</x:t>
        </x:is>
      </x:c>
      <x:c r="C913" s="17" t="n">
        <x:v>45740</x:v>
      </x:c>
      <x:c r="D913" s="4" t="inlineStr">
        <x:is>
          <x:t xml:space="preserve">CUS-0236</x:t>
        </x:is>
      </x:c>
      <x:c r="E913" s="4" t="inlineStr">
        <x:is>
          <x:t xml:space="preserve">Keyboard</x:t>
        </x:is>
      </x:c>
      <x:c r="F913" s="4" t="inlineStr">
        <x:is>
          <x:t xml:space="preserve">Accessories</x:t>
        </x:is>
      </x:c>
      <x:c r="G913" s="4" t="inlineStr">
        <x:is>
          <x:t xml:space="preserve">Boston</x:t>
        </x:is>
      </x:c>
      <x:c r="H913" s="18" t="n">
        <x:v>3</x:v>
      </x:c>
      <x:c r="I913" s="19" t="n">
        <x:v>69.02</x:v>
      </x:c>
      <x:c r="J913" s="20" t="n">
        <x:v>0.05</x:v>
      </x:c>
      <x:c r="K913" s="4" t="inlineStr">
        <x:is>
          <x:t xml:space="preserve">Credit Card</x:t>
        </x:is>
      </x:c>
      <x:c r="L913" s="19" t="n">
        <x:v>207.06</x:v>
      </x:c>
      <x:c r="M913" s="19" t="n">
        <x:v>10.35</x:v>
      </x:c>
      <x:c r="N913" s="19" t="n">
        <x:v>196.71</x:v>
      </x:c>
      <x:c r="O913" s="4" t="n">
        <x:f>YEAR(C913)</x:f>
        <x:v>2025</x:v>
      </x:c>
      <x:c r="P913" s="4" t="str">
        <x:f>TEXT(C913,"yyyy-mm")</x:f>
        <x:v>2025-03</x:v>
      </x:c>
      <x:c r="Q913" s="4" t="str">
        <x:f>TEXT(C913,"mmmm")</x:f>
        <x:v>March</x:v>
      </x:c>
    </x:row>
    <x:row r="914" ht="20" customHeight="1">
      <x:c r="A914" s="4" t="inlineStr">
        <x:is>
          <x:t xml:space="preserve">LINE-00922</x:t>
        </x:is>
      </x:c>
      <x:c r="B914" s="4" t="inlineStr">
        <x:is>
          <x:t xml:space="preserve">ORD-2025-0573</x:t>
        </x:is>
      </x:c>
      <x:c r="C914" s="17" t="n">
        <x:v>45740</x:v>
      </x:c>
      <x:c r="D914" s="4" t="inlineStr">
        <x:is>
          <x:t xml:space="preserve">CUS-0236</x:t>
        </x:is>
      </x:c>
      <x:c r="E914" s="4" t="inlineStr">
        <x:is>
          <x:t xml:space="preserve">Headphones</x:t>
        </x:is>
      </x:c>
      <x:c r="F914" s="4" t="inlineStr">
        <x:is>
          <x:t xml:space="preserve">Audio</x:t>
        </x:is>
      </x:c>
      <x:c r="G914" s="4" t="inlineStr">
        <x:is>
          <x:t xml:space="preserve">Boston</x:t>
        </x:is>
      </x:c>
      <x:c r="H914" s="18" t="n">
        <x:v>1</x:v>
      </x:c>
      <x:c r="I914" s="19" t="n">
        <x:v>133.97</x:v>
      </x:c>
      <x:c r="J914" s="20" t="n">
        <x:v>0.05</x:v>
      </x:c>
      <x:c r="K914" s="4" t="inlineStr">
        <x:is>
          <x:t xml:space="preserve">Credit Card</x:t>
        </x:is>
      </x:c>
      <x:c r="L914" s="19" t="n">
        <x:v>133.97</x:v>
      </x:c>
      <x:c r="M914" s="19" t="n">
        <x:v>6.7</x:v>
      </x:c>
      <x:c r="N914" s="19" t="n">
        <x:v>127.27</x:v>
      </x:c>
      <x:c r="O914" s="4" t="n">
        <x:f>YEAR(C914)</x:f>
        <x:v>2025</x:v>
      </x:c>
      <x:c r="P914" s="4" t="str">
        <x:f>TEXT(C914,"yyyy-mm")</x:f>
        <x:v>2025-03</x:v>
      </x:c>
      <x:c r="Q914" s="4" t="str">
        <x:f>TEXT(C914,"mmmm")</x:f>
        <x:v>March</x:v>
      </x:c>
    </x:row>
    <x:row r="915" ht="20" customHeight="1">
      <x:c r="A915" s="4" t="inlineStr">
        <x:is>
          <x:t xml:space="preserve">LINE-00924</x:t>
        </x:is>
      </x:c>
      <x:c r="B915" s="4" t="inlineStr">
        <x:is>
          <x:t xml:space="preserve">ORD-2025-0574</x:t>
        </x:is>
      </x:c>
      <x:c r="C915" s="17" t="n">
        <x:v>45809</x:v>
      </x:c>
      <x:c r="D915" s="4" t="inlineStr">
        <x:is>
          <x:t xml:space="preserve">CUS-0219</x:t>
        </x:is>
      </x:c>
      <x:c r="E915" s="4" t="inlineStr">
        <x:is>
          <x:t xml:space="preserve">USB Flash Drive</x:t>
        </x:is>
      </x:c>
      <x:c r="F915" s="4" t="inlineStr">
        <x:is>
          <x:t xml:space="preserve">Storage</x:t>
        </x:is>
      </x:c>
      <x:c r="G915" s="4" t="inlineStr">
        <x:is>
          <x:t xml:space="preserve">Austin</x:t>
        </x:is>
      </x:c>
      <x:c r="H915" s="18" t="n">
        <x:v>4</x:v>
      </x:c>
      <x:c r="I915" s="19" t="n">
        <x:v>30.84</x:v>
      </x:c>
      <x:c r="J915" s="20" t="n">
        <x:v>0.15</x:v>
      </x:c>
      <x:c r="K915" s="4" t="inlineStr">
        <x:is>
          <x:t xml:space="preserve">Debit Card</x:t>
        </x:is>
      </x:c>
      <x:c r="L915" s="19" t="n">
        <x:v>123.36</x:v>
      </x:c>
      <x:c r="M915" s="19" t="n">
        <x:v>18.5</x:v>
      </x:c>
      <x:c r="N915" s="19" t="n">
        <x:v>104.86</x:v>
      </x:c>
      <x:c r="O915" s="4" t="n">
        <x:f>YEAR(C915)</x:f>
        <x:v>2025</x:v>
      </x:c>
      <x:c r="P915" s="4" t="str">
        <x:f>TEXT(C915,"yyyy-mm")</x:f>
        <x:v>2025-06</x:v>
      </x:c>
      <x:c r="Q915" s="4" t="str">
        <x:f>TEXT(C915,"mmmm")</x:f>
        <x:v>June</x:v>
      </x:c>
    </x:row>
    <x:row r="916" ht="20" customHeight="1">
      <x:c r="A916" s="4" t="inlineStr">
        <x:is>
          <x:t xml:space="preserve">LINE-00925</x:t>
        </x:is>
      </x:c>
      <x:c r="B916" s="4" t="inlineStr">
        <x:is>
          <x:t xml:space="preserve">ORD-2025-0575</x:t>
        </x:is>
      </x:c>
      <x:c r="C916" s="17" t="n">
        <x:v>45714</x:v>
      </x:c>
      <x:c r="D916" s="4" t="inlineStr">
        <x:is>
          <x:t xml:space="preserve">CUS-0197</x:t>
        </x:is>
      </x:c>
      <x:c r="E916" s="4" t="inlineStr">
        <x:is>
          <x:t xml:space="preserve">Webcam</x:t>
        </x:is>
      </x:c>
      <x:c r="F916" s="4" t="inlineStr">
        <x:is>
          <x:t xml:space="preserve">Accessories</x:t>
        </x:is>
      </x:c>
      <x:c r="G916" s="4" t="inlineStr">
        <x:is>
          <x:t xml:space="preserve">Austin</x:t>
        </x:is>
      </x:c>
      <x:c r="H916" s="18" t="n">
        <x:v>1</x:v>
      </x:c>
      <x:c r="I916" s="19" t="n">
        <x:v>90.84999999999999</x:v>
      </x:c>
      <x:c r="J916" s="20" t="n">
        <x:v>0</x:v>
      </x:c>
      <x:c r="K916" s="4" t="inlineStr">
        <x:is>
          <x:t xml:space="preserve">Bank Transfer</x:t>
        </x:is>
      </x:c>
      <x:c r="L916" s="19" t="n">
        <x:v>90.84999999999999</x:v>
      </x:c>
      <x:c r="M916" s="19" t="n">
        <x:v>0</x:v>
      </x:c>
      <x:c r="N916" s="19" t="n">
        <x:v>90.84999999999999</x:v>
      </x:c>
      <x:c r="O916" s="4" t="n">
        <x:f>YEAR(C916)</x:f>
        <x:v>2025</x:v>
      </x:c>
      <x:c r="P916" s="4" t="str">
        <x:f>TEXT(C916,"yyyy-mm")</x:f>
        <x:v>2025-02</x:v>
      </x:c>
      <x:c r="Q916" s="4" t="str">
        <x:f>TEXT(C916,"mmmm")</x:f>
        <x:v>February</x:v>
      </x:c>
    </x:row>
    <x:row r="917" ht="20" customHeight="1">
      <x:c r="A917" s="4" t="inlineStr">
        <x:is>
          <x:t xml:space="preserve">LINE-00926</x:t>
        </x:is>
      </x:c>
      <x:c r="B917" s="4" t="inlineStr">
        <x:is>
          <x:t xml:space="preserve">ORD-2025-0575</x:t>
        </x:is>
      </x:c>
      <x:c r="C917" s="17" t="n">
        <x:v>45714</x:v>
      </x:c>
      <x:c r="D917" s="4" t="inlineStr">
        <x:is>
          <x:t xml:space="preserve">CUS-0197</x:t>
        </x:is>
      </x:c>
      <x:c r="E917" s="4" t="inlineStr">
        <x:is>
          <x:t xml:space="preserve">Desk Lamp</x:t>
        </x:is>
      </x:c>
      <x:c r="F917" s="4" t="inlineStr">
        <x:is>
          <x:t xml:space="preserve">Furniture</x:t>
        </x:is>
      </x:c>
      <x:c r="G917" s="4" t="inlineStr">
        <x:is>
          <x:t xml:space="preserve">Austin</x:t>
        </x:is>
      </x:c>
      <x:c r="H917" s="18" t="n">
        <x:v>3</x:v>
      </x:c>
      <x:c r="I917" s="19" t="n">
        <x:v>52.4</x:v>
      </x:c>
      <x:c r="J917" s="20" t="n">
        <x:v>0.2</x:v>
      </x:c>
      <x:c r="K917" s="4" t="inlineStr">
        <x:is>
          <x:t xml:space="preserve">Bank Transfer</x:t>
        </x:is>
      </x:c>
      <x:c r="L917" s="19" t="n">
        <x:v>157.2</x:v>
      </x:c>
      <x:c r="M917" s="19" t="n">
        <x:v>31.44</x:v>
      </x:c>
      <x:c r="N917" s="19" t="n">
        <x:v>125.76</x:v>
      </x:c>
      <x:c r="O917" s="4" t="n">
        <x:f>YEAR(C917)</x:f>
        <x:v>2025</x:v>
      </x:c>
      <x:c r="P917" s="4" t="str">
        <x:f>TEXT(C917,"yyyy-mm")</x:f>
        <x:v>2025-02</x:v>
      </x:c>
      <x:c r="Q917" s="4" t="str">
        <x:f>TEXT(C917,"mmmm")</x:f>
        <x:v>February</x:v>
      </x:c>
    </x:row>
    <x:row r="918" ht="20" customHeight="1">
      <x:c r="A918" s="4" t="inlineStr">
        <x:is>
          <x:t xml:space="preserve">LINE-00927</x:t>
        </x:is>
      </x:c>
      <x:c r="B918" s="4" t="inlineStr">
        <x:is>
          <x:t xml:space="preserve">ORD-2025-0576</x:t>
        </x:is>
      </x:c>
      <x:c r="C918" s="17" t="n">
        <x:v>45780</x:v>
      </x:c>
      <x:c r="D918" s="4" t="inlineStr">
        <x:is>
          <x:t xml:space="preserve">CUS-0277</x:t>
        </x:is>
      </x:c>
      <x:c r="E918" s="4" t="inlineStr">
        <x:is>
          <x:t xml:space="preserve">USB Flash Drive</x:t>
        </x:is>
      </x:c>
      <x:c r="F918" s="4" t="inlineStr">
        <x:is>
          <x:t xml:space="preserve">Storage</x:t>
        </x:is>
      </x:c>
      <x:c r="G918" s="4" t="inlineStr">
        <x:is>
          <x:t xml:space="preserve">New York</x:t>
        </x:is>
      </x:c>
      <x:c r="H918" s="18" t="n">
        <x:v>3</x:v>
      </x:c>
      <x:c r="I918" s="19" t="n">
        <x:v>31.25</x:v>
      </x:c>
      <x:c r="J918" s="20" t="n">
        <x:v>0</x:v>
      </x:c>
      <x:c r="K918" s="4" t="inlineStr">
        <x:is>
          <x:t xml:space="preserve">Bank Transfer</x:t>
        </x:is>
      </x:c>
      <x:c r="L918" s="19" t="n">
        <x:v>93.75</x:v>
      </x:c>
      <x:c r="M918" s="19" t="n">
        <x:v>0</x:v>
      </x:c>
      <x:c r="N918" s="19" t="n">
        <x:v>93.75</x:v>
      </x:c>
      <x:c r="O918" s="4" t="n">
        <x:f>YEAR(C918)</x:f>
        <x:v>2025</x:v>
      </x:c>
      <x:c r="P918" s="4" t="str">
        <x:f>TEXT(C918,"yyyy-mm")</x:f>
        <x:v>2025-05</x:v>
      </x:c>
      <x:c r="Q918" s="4" t="str">
        <x:f>TEXT(C918,"mmmm")</x:f>
        <x:v>May</x:v>
      </x:c>
    </x:row>
    <x:row r="919" ht="20" customHeight="1">
      <x:c r="A919" s="4" t="inlineStr">
        <x:is>
          <x:t xml:space="preserve">LINE-00928</x:t>
        </x:is>
      </x:c>
      <x:c r="B919" s="4" t="inlineStr">
        <x:is>
          <x:t xml:space="preserve">ORD-2025-0576</x:t>
        </x:is>
      </x:c>
      <x:c r="C919" s="17" t="n">
        <x:v>45780</x:v>
      </x:c>
      <x:c r="D919" s="4" t="inlineStr">
        <x:is>
          <x:t xml:space="preserve">CUS-0277</x:t>
        </x:is>
      </x:c>
      <x:c r="E919" s="4" t="inlineStr">
        <x:is>
          <x:t xml:space="preserve">Wireless Mouse</x:t>
        </x:is>
      </x:c>
      <x:c r="F919" s="4" t="inlineStr">
        <x:is>
          <x:t xml:space="preserve">Accessories</x:t>
        </x:is>
      </x:c>
      <x:c r="G919" s="4" t="inlineStr">
        <x:is>
          <x:t xml:space="preserve">New York</x:t>
        </x:is>
      </x:c>
      <x:c r="H919" s="18" t="n">
        <x:v>4</x:v>
      </x:c>
      <x:c r="I919" s="19" t="n">
        <x:v>45.03</x:v>
      </x:c>
      <x:c r="J919" s="20" t="n">
        <x:v>0</x:v>
      </x:c>
      <x:c r="K919" s="4" t="inlineStr">
        <x:is>
          <x:t xml:space="preserve">Bank Transfer</x:t>
        </x:is>
      </x:c>
      <x:c r="L919" s="19" t="n">
        <x:v>180.12</x:v>
      </x:c>
      <x:c r="M919" s="19" t="n">
        <x:v>0</x:v>
      </x:c>
      <x:c r="N919" s="19" t="n">
        <x:v>180.12</x:v>
      </x:c>
      <x:c r="O919" s="4" t="n">
        <x:f>YEAR(C919)</x:f>
        <x:v>2025</x:v>
      </x:c>
      <x:c r="P919" s="4" t="str">
        <x:f>TEXT(C919,"yyyy-mm")</x:f>
        <x:v>2025-05</x:v>
      </x:c>
      <x:c r="Q919" s="4" t="str">
        <x:f>TEXT(C919,"mmmm")</x:f>
        <x:v>May</x:v>
      </x:c>
    </x:row>
    <x:row r="920" ht="20" customHeight="1">
      <x:c r="A920" s="4" t="inlineStr">
        <x:is>
          <x:t xml:space="preserve">LINE-00929</x:t>
        </x:is>
      </x:c>
      <x:c r="B920" s="4" t="inlineStr">
        <x:is>
          <x:t xml:space="preserve">ORD-2025-0577</x:t>
        </x:is>
      </x:c>
      <x:c r="C920" s="17" t="n">
        <x:v>45685</x:v>
      </x:c>
      <x:c r="D920" s="4" t="inlineStr">
        <x:is>
          <x:t xml:space="preserve">CUS-0033</x:t>
        </x:is>
      </x:c>
      <x:c r="E920" s="4" t="inlineStr">
        <x:is>
          <x:t xml:space="preserve">External SSD</x:t>
        </x:is>
      </x:c>
      <x:c r="F920" s="4" t="inlineStr">
        <x:is>
          <x:t xml:space="preserve">Storage</x:t>
        </x:is>
      </x:c>
      <x:c r="G920" s="4" t="inlineStr">
        <x:is>
          <x:t xml:space="preserve">Austin</x:t>
        </x:is>
      </x:c>
      <x:c r="H920" s="18" t="n">
        <x:v>2</x:v>
      </x:c>
      <x:c r="I920" s="19" t="n">
        <x:v>140.95</x:v>
      </x:c>
      <x:c r="J920" s="20" t="n">
        <x:v>0.1</x:v>
      </x:c>
      <x:c r="K920" s="4" t="inlineStr">
        <x:is>
          <x:t xml:space="preserve">PayPal</x:t>
        </x:is>
      </x:c>
      <x:c r="L920" s="19" t="n">
        <x:v>281.9</x:v>
      </x:c>
      <x:c r="M920" s="19" t="n">
        <x:v>28.19</x:v>
      </x:c>
      <x:c r="N920" s="19" t="n">
        <x:v>253.71</x:v>
      </x:c>
      <x:c r="O920" s="4" t="n">
        <x:f>YEAR(C920)</x:f>
        <x:v>2025</x:v>
      </x:c>
      <x:c r="P920" s="4" t="str">
        <x:f>TEXT(C920,"yyyy-mm")</x:f>
        <x:v>2025-01</x:v>
      </x:c>
      <x:c r="Q920" s="4" t="str">
        <x:f>TEXT(C920,"mmmm")</x:f>
        <x:v>January</x:v>
      </x:c>
    </x:row>
    <x:row r="921" ht="20" customHeight="1">
      <x:c r="A921" s="4" t="inlineStr">
        <x:is>
          <x:t xml:space="preserve">LINE-00930</x:t>
        </x:is>
      </x:c>
      <x:c r="B921" s="4" t="inlineStr">
        <x:is>
          <x:t xml:space="preserve">ORD-2025-0578</x:t>
        </x:is>
      </x:c>
      <x:c r="C921" s="17" t="n">
        <x:v>46005</x:v>
      </x:c>
      <x:c r="D921" s="4" t="inlineStr">
        <x:is>
          <x:t xml:space="preserve">CUS-0273</x:t>
        </x:is>
      </x:c>
      <x:c r="E921" s="4" t="inlineStr">
        <x:is>
          <x:t xml:space="preserve">Office Chair</x:t>
        </x:is>
      </x:c>
      <x:c r="F921" s="4" t="inlineStr">
        <x:is>
          <x:t xml:space="preserve">Furniture</x:t>
        </x:is>
      </x:c>
      <x:c r="G921" s="4" t="inlineStr">
        <x:is>
          <x:t xml:space="preserve">Austin</x:t>
        </x:is>
      </x:c>
      <x:c r="H921" s="18" t="n">
        <x:v>1</x:v>
      </x:c>
      <x:c r="I921" s="19" t="n">
        <x:v>254.74</x:v>
      </x:c>
      <x:c r="J921" s="20" t="n">
        <x:v>0</x:v>
      </x:c>
      <x:c r="K921" s="4" t="inlineStr">
        <x:is>
          <x:t xml:space="preserve">Bank Transfer</x:t>
        </x:is>
      </x:c>
      <x:c r="L921" s="19" t="n">
        <x:v>254.74</x:v>
      </x:c>
      <x:c r="M921" s="19" t="n">
        <x:v>0</x:v>
      </x:c>
      <x:c r="N921" s="19" t="n">
        <x:v>254.74</x:v>
      </x:c>
      <x:c r="O921" s="4" t="n">
        <x:f>YEAR(C921)</x:f>
        <x:v>2025</x:v>
      </x:c>
      <x:c r="P921" s="4" t="str">
        <x:f>TEXT(C921,"yyyy-mm")</x:f>
        <x:v>2025-12</x:v>
      </x:c>
      <x:c r="Q921" s="4" t="str">
        <x:f>TEXT(C921,"mmmm")</x:f>
        <x:v>December</x:v>
      </x:c>
    </x:row>
    <x:row r="922" ht="20" customHeight="1">
      <x:c r="A922" s="4" t="inlineStr">
        <x:is>
          <x:t xml:space="preserve">LINE-00931</x:t>
        </x:is>
      </x:c>
      <x:c r="B922" s="4" t="inlineStr">
        <x:is>
          <x:t xml:space="preserve">ORD-2025-0578</x:t>
        </x:is>
      </x:c>
      <x:c r="C922" s="17" t="n">
        <x:v>46005</x:v>
      </x:c>
      <x:c r="D922" s="4" t="inlineStr">
        <x:is>
          <x:t xml:space="preserve">CUS-0273</x:t>
        </x:is>
      </x:c>
      <x:c r="E922" s="4" t="inlineStr">
        <x:is>
          <x:t xml:space="preserve">Monitor</x:t>
        </x:is>
      </x:c>
      <x:c r="F922" s="4" t="inlineStr">
        <x:is>
          <x:t xml:space="preserve">Computers</x:t>
        </x:is>
      </x:c>
      <x:c r="G922" s="4" t="inlineStr">
        <x:is>
          <x:t xml:space="preserve">Austin</x:t>
        </x:is>
      </x:c>
      <x:c r="H922" s="18" t="n">
        <x:v>1</x:v>
      </x:c>
      <x:c r="I922" s="19" t="n">
        <x:v>265.61</x:v>
      </x:c>
      <x:c r="J922" s="20" t="n">
        <x:v>0.15</x:v>
      </x:c>
      <x:c r="K922" s="4" t="inlineStr">
        <x:is>
          <x:t xml:space="preserve">Bank Transfer</x:t>
        </x:is>
      </x:c>
      <x:c r="L922" s="19" t="n">
        <x:v>265.61</x:v>
      </x:c>
      <x:c r="M922" s="19" t="n">
        <x:v>39.84</x:v>
      </x:c>
      <x:c r="N922" s="19" t="n">
        <x:v>225.77</x:v>
      </x:c>
      <x:c r="O922" s="4" t="n">
        <x:f>YEAR(C922)</x:f>
        <x:v>2025</x:v>
      </x:c>
      <x:c r="P922" s="4" t="str">
        <x:f>TEXT(C922,"yyyy-mm")</x:f>
        <x:v>2025-12</x:v>
      </x:c>
      <x:c r="Q922" s="4" t="str">
        <x:f>TEXT(C922,"mmmm")</x:f>
        <x:v>December</x:v>
      </x:c>
    </x:row>
    <x:row r="923" ht="20" customHeight="1">
      <x:c r="A923" s="4" t="inlineStr">
        <x:is>
          <x:t xml:space="preserve">LINE-00932</x:t>
        </x:is>
      </x:c>
      <x:c r="B923" s="4" t="inlineStr">
        <x:is>
          <x:t xml:space="preserve">ORD-2025-0579</x:t>
        </x:is>
      </x:c>
      <x:c r="C923" s="17" t="n">
        <x:v>45697</x:v>
      </x:c>
      <x:c r="D923" s="4" t="inlineStr">
        <x:is>
          <x:t xml:space="preserve">CUS-0056</x:t>
        </x:is>
      </x:c>
      <x:c r="E923" s="4" t="inlineStr">
        <x:is>
          <x:t xml:space="preserve">Keyboard</x:t>
        </x:is>
      </x:c>
      <x:c r="F923" s="4" t="inlineStr">
        <x:is>
          <x:t xml:space="preserve">Accessories</x:t>
        </x:is>
      </x:c>
      <x:c r="G923" s="4" t="inlineStr">
        <x:is>
          <x:t xml:space="preserve">Chicago</x:t>
        </x:is>
      </x:c>
      <x:c r="H923" s="18" t="n">
        <x:v>2</x:v>
      </x:c>
      <x:c r="I923" s="19" t="n">
        <x:v>79.5</x:v>
      </x:c>
      <x:c r="J923" s="20" t="n">
        <x:v>0.05</x:v>
      </x:c>
      <x:c r="K923" s="4" t="inlineStr">
        <x:is>
          <x:t xml:space="preserve">PayPal</x:t>
        </x:is>
      </x:c>
      <x:c r="L923" s="19" t="n">
        <x:v>159</x:v>
      </x:c>
      <x:c r="M923" s="19" t="n">
        <x:v>7.95</x:v>
      </x:c>
      <x:c r="N923" s="19" t="n">
        <x:v>151.05</x:v>
      </x:c>
      <x:c r="O923" s="4" t="n">
        <x:f>YEAR(C923)</x:f>
        <x:v>2025</x:v>
      </x:c>
      <x:c r="P923" s="4" t="str">
        <x:f>TEXT(C923,"yyyy-mm")</x:f>
        <x:v>2025-02</x:v>
      </x:c>
      <x:c r="Q923" s="4" t="str">
        <x:f>TEXT(C923,"mmmm")</x:f>
        <x:v>February</x:v>
      </x:c>
    </x:row>
    <x:row r="924" ht="20" customHeight="1">
      <x:c r="A924" s="4" t="inlineStr">
        <x:is>
          <x:t xml:space="preserve">LINE-00933</x:t>
        </x:is>
      </x:c>
      <x:c r="B924" s="4" t="inlineStr">
        <x:is>
          <x:t xml:space="preserve">ORD-2025-0580</x:t>
        </x:is>
      </x:c>
      <x:c r="C924" s="17" t="n">
        <x:v>45979</x:v>
      </x:c>
      <x:c r="D924" s="4" t="inlineStr">
        <x:is>
          <x:t xml:space="preserve">CUS-0012</x:t>
        </x:is>
      </x:c>
      <x:c r="E924" s="4" t="inlineStr">
        <x:is>
          <x:t xml:space="preserve">External SSD</x:t>
        </x:is>
      </x:c>
      <x:c r="F924" s="4" t="inlineStr">
        <x:is>
          <x:t xml:space="preserve">Storage</x:t>
        </x:is>
      </x:c>
      <x:c r="G924" s="4" t="inlineStr">
        <x:is>
          <x:t xml:space="preserve">Austin</x:t>
        </x:is>
      </x:c>
      <x:c r="H924" s="18" t="n">
        <x:v>1</x:v>
      </x:c>
      <x:c r="I924" s="19" t="n">
        <x:v>148.65</x:v>
      </x:c>
      <x:c r="J924" s="20" t="n">
        <x:v>0.05</x:v>
      </x:c>
      <x:c r="K924" s="4" t="inlineStr">
        <x:is>
          <x:t xml:space="preserve">Bank Transfer</x:t>
        </x:is>
      </x:c>
      <x:c r="L924" s="19" t="n">
        <x:v>148.65</x:v>
      </x:c>
      <x:c r="M924" s="19" t="n">
        <x:v>7.43</x:v>
      </x:c>
      <x:c r="N924" s="19" t="n">
        <x:v>141.22</x:v>
      </x:c>
      <x:c r="O924" s="4" t="n">
        <x:f>YEAR(C924)</x:f>
        <x:v>2025</x:v>
      </x:c>
      <x:c r="P924" s="4" t="str">
        <x:f>TEXT(C924,"yyyy-mm")</x:f>
        <x:v>2025-11</x:v>
      </x:c>
      <x:c r="Q924" s="4" t="str">
        <x:f>TEXT(C924,"mmmm")</x:f>
        <x:v>November</x:v>
      </x:c>
    </x:row>
    <x:row r="925" ht="20" customHeight="1">
      <x:c r="A925" s="4" t="inlineStr">
        <x:is>
          <x:t xml:space="preserve">LINE-00934</x:t>
        </x:is>
      </x:c>
      <x:c r="B925" s="4" t="inlineStr">
        <x:is>
          <x:t xml:space="preserve">ORD-2025-0580</x:t>
        </x:is>
      </x:c>
      <x:c r="C925" s="17" t="n">
        <x:v>45979</x:v>
      </x:c>
      <x:c r="D925" s="4" t="inlineStr">
        <x:is>
          <x:t xml:space="preserve">CUS-0012</x:t>
        </x:is>
      </x:c>
      <x:c r="E925" s="4" t="inlineStr">
        <x:is>
          <x:t xml:space="preserve">Keyboard</x:t>
        </x:is>
      </x:c>
      <x:c r="F925" s="4" t="inlineStr">
        <x:is>
          <x:t xml:space="preserve">Accessories</x:t>
        </x:is>
      </x:c>
      <x:c r="G925" s="4" t="inlineStr">
        <x:is>
          <x:t xml:space="preserve">Austin</x:t>
        </x:is>
      </x:c>
      <x:c r="H925" s="18" t="n">
        <x:v>1</x:v>
      </x:c>
      <x:c r="I925" s="19" t="n">
        <x:v>69.76000000000001</x:v>
      </x:c>
      <x:c r="J925" s="20" t="n">
        <x:v>0.15</x:v>
      </x:c>
      <x:c r="K925" s="4" t="inlineStr">
        <x:is>
          <x:t xml:space="preserve">Bank Transfer</x:t>
        </x:is>
      </x:c>
      <x:c r="L925" s="19" t="n">
        <x:v>69.76000000000001</x:v>
      </x:c>
      <x:c r="M925" s="19" t="n">
        <x:v>10.46</x:v>
      </x:c>
      <x:c r="N925" s="19" t="n">
        <x:v>59.3</x:v>
      </x:c>
      <x:c r="O925" s="4" t="n">
        <x:f>YEAR(C925)</x:f>
        <x:v>2025</x:v>
      </x:c>
      <x:c r="P925" s="4" t="str">
        <x:f>TEXT(C925,"yyyy-mm")</x:f>
        <x:v>2025-11</x:v>
      </x:c>
      <x:c r="Q925" s="4" t="str">
        <x:f>TEXT(C925,"mmmm")</x:f>
        <x:v>November</x:v>
      </x:c>
    </x:row>
    <x:row r="926" ht="20" customHeight="1">
      <x:c r="A926" s="4" t="inlineStr">
        <x:is>
          <x:t xml:space="preserve">LINE-00935</x:t>
        </x:is>
      </x:c>
      <x:c r="B926" s="4" t="inlineStr">
        <x:is>
          <x:t xml:space="preserve">ORD-2025-0580</x:t>
        </x:is>
      </x:c>
      <x:c r="C926" s="17" t="n">
        <x:v>45979</x:v>
      </x:c>
      <x:c r="D926" s="4" t="inlineStr">
        <x:is>
          <x:t xml:space="preserve">CUS-0012</x:t>
        </x:is>
      </x:c>
      <x:c r="E926" s="4" t="inlineStr">
        <x:is>
          <x:t xml:space="preserve">Bluetooth Speaker</x:t>
        </x:is>
      </x:c>
      <x:c r="F926" s="4" t="inlineStr">
        <x:is>
          <x:t xml:space="preserve">Audio</x:t>
        </x:is>
      </x:c>
      <x:c r="G926" s="4" t="inlineStr">
        <x:is>
          <x:t xml:space="preserve">Austin</x:t>
        </x:is>
      </x:c>
      <x:c r="H926" s="18" t="n">
        <x:v>1</x:v>
      </x:c>
      <x:c r="I926" s="19" t="n">
        <x:v>117.88</x:v>
      </x:c>
      <x:c r="J926" s="20" t="n">
        <x:v>0.05</x:v>
      </x:c>
      <x:c r="K926" s="4" t="inlineStr">
        <x:is>
          <x:t xml:space="preserve">Bank Transfer</x:t>
        </x:is>
      </x:c>
      <x:c r="L926" s="19" t="n">
        <x:v>117.88</x:v>
      </x:c>
      <x:c r="M926" s="19" t="n">
        <x:v>5.89</x:v>
      </x:c>
      <x:c r="N926" s="19" t="n">
        <x:v>111.99</x:v>
      </x:c>
      <x:c r="O926" s="4" t="n">
        <x:f>YEAR(C926)</x:f>
        <x:v>2025</x:v>
      </x:c>
      <x:c r="P926" s="4" t="str">
        <x:f>TEXT(C926,"yyyy-mm")</x:f>
        <x:v>2025-11</x:v>
      </x:c>
      <x:c r="Q926" s="4" t="str">
        <x:f>TEXT(C926,"mmmm")</x:f>
        <x:v>November</x:v>
      </x:c>
    </x:row>
    <x:row r="927" ht="20" customHeight="1">
      <x:c r="A927" s="4" t="inlineStr">
        <x:is>
          <x:t xml:space="preserve">LINE-00936</x:t>
        </x:is>
      </x:c>
      <x:c r="B927" s="4" t="inlineStr">
        <x:is>
          <x:t xml:space="preserve">ORD-2025-0581</x:t>
        </x:is>
      </x:c>
      <x:c r="C927" s="17" t="n">
        <x:v>45868</x:v>
      </x:c>
      <x:c r="D927" s="4" t="inlineStr">
        <x:is>
          <x:t xml:space="preserve">CUS-0297</x:t>
        </x:is>
      </x:c>
      <x:c r="E927" s="4" t="inlineStr">
        <x:is>
          <x:t xml:space="preserve">Office Chair</x:t>
        </x:is>
      </x:c>
      <x:c r="F927" s="4" t="inlineStr">
        <x:is>
          <x:t xml:space="preserve">Furniture</x:t>
        </x:is>
      </x:c>
      <x:c r="G927" s="4" t="inlineStr">
        <x:is>
          <x:t xml:space="preserve">Austin</x:t>
        </x:is>
      </x:c>
      <x:c r="H927" s="18" t="n">
        <x:v>3</x:v>
      </x:c>
      <x:c r="I927" s="19" t="n">
        <x:v>253.13</x:v>
      </x:c>
      <x:c r="J927" s="20" t="n">
        <x:v>0</x:v>
      </x:c>
      <x:c r="K927" s="4" t="inlineStr">
        <x:is>
          <x:t xml:space="preserve">PayPal</x:t>
        </x:is>
      </x:c>
      <x:c r="L927" s="19" t="n">
        <x:v>759.39</x:v>
      </x:c>
      <x:c r="M927" s="19" t="n">
        <x:v>0</x:v>
      </x:c>
      <x:c r="N927" s="19" t="n">
        <x:v>759.39</x:v>
      </x:c>
      <x:c r="O927" s="4" t="n">
        <x:f>YEAR(C927)</x:f>
        <x:v>2025</x:v>
      </x:c>
      <x:c r="P927" s="4" t="str">
        <x:f>TEXT(C927,"yyyy-mm")</x:f>
        <x:v>2025-07</x:v>
      </x:c>
      <x:c r="Q927" s="4" t="str">
        <x:f>TEXT(C927,"mmmm")</x:f>
        <x:v>July</x:v>
      </x:c>
    </x:row>
    <x:row r="928" ht="20" customHeight="1">
      <x:c r="A928" s="4" t="inlineStr">
        <x:is>
          <x:t xml:space="preserve">LINE-00937</x:t>
        </x:is>
      </x:c>
      <x:c r="B928" s="4" t="inlineStr">
        <x:is>
          <x:t xml:space="preserve">ORD-2025-0582</x:t>
        </x:is>
      </x:c>
      <x:c r="C928" s="17" t="n">
        <x:v>45813</x:v>
      </x:c>
      <x:c r="D928" s="4" t="inlineStr">
        <x:is>
          <x:t xml:space="preserve">CUS-0291</x:t>
        </x:is>
      </x:c>
      <x:c r="E928" s="4" t="inlineStr">
        <x:is>
          <x:t xml:space="preserve">USB-C Hub</x:t>
        </x:is>
      </x:c>
      <x:c r="F928" s="4" t="inlineStr">
        <x:is>
          <x:t xml:space="preserve">Accessories</x:t>
        </x:is>
      </x:c>
      <x:c r="G928" s="4" t="inlineStr">
        <x:is>
          <x:t xml:space="preserve">Chicago</x:t>
        </x:is>
      </x:c>
      <x:c r="H928" s="18" t="n">
        <x:v>1</x:v>
      </x:c>
      <x:c r="I928" s="19" t="n">
        <x:v>63.67</x:v>
      </x:c>
      <x:c r="J928" s="20" t="n">
        <x:v>0</x:v>
      </x:c>
      <x:c r="K928" s="4" t="inlineStr">
        <x:is>
          <x:t xml:space="preserve">PayPal</x:t>
        </x:is>
      </x:c>
      <x:c r="L928" s="19" t="n">
        <x:v>63.67</x:v>
      </x:c>
      <x:c r="M928" s="19" t="n">
        <x:v>0</x:v>
      </x:c>
      <x:c r="N928" s="19" t="n">
        <x:v>63.67</x:v>
      </x:c>
      <x:c r="O928" s="4" t="n">
        <x:f>YEAR(C928)</x:f>
        <x:v>2025</x:v>
      </x:c>
      <x:c r="P928" s="4" t="str">
        <x:f>TEXT(C928,"yyyy-mm")</x:f>
        <x:v>2025-06</x:v>
      </x:c>
      <x:c r="Q928" s="4" t="str">
        <x:f>TEXT(C928,"mmmm")</x:f>
        <x:v>June</x:v>
      </x:c>
    </x:row>
    <x:row r="929" ht="20" customHeight="1">
      <x:c r="A929" s="4" t="inlineStr">
        <x:is>
          <x:t xml:space="preserve">LINE-00938</x:t>
        </x:is>
      </x:c>
      <x:c r="B929" s="4" t="inlineStr">
        <x:is>
          <x:t xml:space="preserve">ORD-2025-0583</x:t>
        </x:is>
      </x:c>
      <x:c r="C929" s="17" t="n">
        <x:v>45682</x:v>
      </x:c>
      <x:c r="D929" s="4" t="inlineStr">
        <x:is>
          <x:t xml:space="preserve">CUS-0076</x:t>
        </x:is>
      </x:c>
      <x:c r="E929" s="4" t="inlineStr">
        <x:is>
          <x:t xml:space="preserve">Keyboard</x:t>
        </x:is>
      </x:c>
      <x:c r="F929" s="4" t="inlineStr">
        <x:is>
          <x:t xml:space="preserve">Accessories</x:t>
        </x:is>
      </x:c>
      <x:c r="G929" s="4" t="inlineStr">
        <x:is>
          <x:t xml:space="preserve">Austin</x:t>
        </x:is>
      </x:c>
      <x:c r="H929" s="18" t="n">
        <x:v>2</x:v>
      </x:c>
      <x:c r="I929" s="19" t="n">
        <x:v>70.93000000000001</x:v>
      </x:c>
      <x:c r="J929" s="20" t="n">
        <x:v>0.05</x:v>
      </x:c>
      <x:c r="K929" s="4" t="inlineStr">
        <x:is>
          <x:t xml:space="preserve">PayPal</x:t>
        </x:is>
      </x:c>
      <x:c r="L929" s="19" t="n">
        <x:v>141.86</x:v>
      </x:c>
      <x:c r="M929" s="19" t="n">
        <x:v>7.09</x:v>
      </x:c>
      <x:c r="N929" s="19" t="n">
        <x:v>134.77</x:v>
      </x:c>
      <x:c r="O929" s="4" t="n">
        <x:f>YEAR(C929)</x:f>
        <x:v>2025</x:v>
      </x:c>
      <x:c r="P929" s="4" t="str">
        <x:f>TEXT(C929,"yyyy-mm")</x:f>
        <x:v>2025-01</x:v>
      </x:c>
      <x:c r="Q929" s="4" t="str">
        <x:f>TEXT(C929,"mmmm")</x:f>
        <x:v>January</x:v>
      </x:c>
    </x:row>
    <x:row r="930" ht="20" customHeight="1">
      <x:c r="A930" s="4" t="inlineStr">
        <x:is>
          <x:t xml:space="preserve">LINE-00939</x:t>
        </x:is>
      </x:c>
      <x:c r="B930" s="4" t="inlineStr">
        <x:is>
          <x:t xml:space="preserve">ORD-2025-0584</x:t>
        </x:is>
      </x:c>
      <x:c r="C930" s="17" t="n">
        <x:v>45751</x:v>
      </x:c>
      <x:c r="D930" s="4" t="inlineStr">
        <x:is>
          <x:t xml:space="preserve">CUS-0090</x:t>
        </x:is>
      </x:c>
      <x:c r="E930" s="4" t="inlineStr">
        <x:is>
          <x:t xml:space="preserve">Monitor</x:t>
        </x:is>
      </x:c>
      <x:c r="F930" s="4" t="inlineStr">
        <x:is>
          <x:t xml:space="preserve">Computers</x:t>
        </x:is>
      </x:c>
      <x:c r="G930" s="4" t="inlineStr">
        <x:is>
          <x:t xml:space="preserve">San Francisco</x:t>
        </x:is>
      </x:c>
      <x:c r="H930" s="18" t="n">
        <x:v>1</x:v>
      </x:c>
      <x:c r="I930" s="19" t="n">
        <x:v>271.78</x:v>
      </x:c>
      <x:c r="J930" s="20" t="n">
        <x:v>0</x:v>
      </x:c>
      <x:c r="K930" s="4" t="inlineStr">
        <x:is>
          <x:t xml:space="preserve">Debit Card</x:t>
        </x:is>
      </x:c>
      <x:c r="L930" s="19" t="n">
        <x:v>271.78</x:v>
      </x:c>
      <x:c r="M930" s="19" t="n">
        <x:v>0</x:v>
      </x:c>
      <x:c r="N930" s="19" t="n">
        <x:v>271.78</x:v>
      </x:c>
      <x:c r="O930" s="4" t="n">
        <x:f>YEAR(C930)</x:f>
        <x:v>2025</x:v>
      </x:c>
      <x:c r="P930" s="4" t="str">
        <x:f>TEXT(C930,"yyyy-mm")</x:f>
        <x:v>2025-04</x:v>
      </x:c>
      <x:c r="Q930" s="4" t="str">
        <x:f>TEXT(C930,"mmmm")</x:f>
        <x:v>April</x:v>
      </x:c>
    </x:row>
    <x:row r="931" ht="20" customHeight="1">
      <x:c r="A931" s="4" t="inlineStr">
        <x:is>
          <x:t xml:space="preserve">LINE-00940</x:t>
        </x:is>
      </x:c>
      <x:c r="B931" s="4" t="inlineStr">
        <x:is>
          <x:t xml:space="preserve">ORD-2025-0585</x:t>
        </x:is>
      </x:c>
      <x:c r="C931" s="17" t="n">
        <x:v>45791</x:v>
      </x:c>
      <x:c r="D931" s="4" t="inlineStr">
        <x:is>
          <x:t xml:space="preserve">CUS-0190</x:t>
        </x:is>
      </x:c>
      <x:c r="E931" s="4" t="inlineStr">
        <x:is>
          <x:t xml:space="preserve">Laptop</x:t>
        </x:is>
      </x:c>
      <x:c r="F931" s="4" t="inlineStr">
        <x:is>
          <x:t xml:space="preserve">Computers</x:t>
        </x:is>
      </x:c>
      <x:c r="G931" s="4" t="inlineStr">
        <x:is>
          <x:t xml:space="preserve">Chicago</x:t>
        </x:is>
      </x:c>
      <x:c r="H931" s="18" t="n">
        <x:v>1</x:v>
      </x:c>
      <x:c r="I931" s="19" t="n">
        <x:v>926.26</x:v>
      </x:c>
      <x:c r="J931" s="20" t="n">
        <x:v>0</x:v>
      </x:c>
      <x:c r="K931" s="4" t="inlineStr">
        <x:is>
          <x:t xml:space="preserve">Debit Card</x:t>
        </x:is>
      </x:c>
      <x:c r="L931" s="19" t="n">
        <x:v>926.26</x:v>
      </x:c>
      <x:c r="M931" s="19" t="n">
        <x:v>0</x:v>
      </x:c>
      <x:c r="N931" s="19" t="n">
        <x:v>926.26</x:v>
      </x:c>
      <x:c r="O931" s="4" t="n">
        <x:f>YEAR(C931)</x:f>
        <x:v>2025</x:v>
      </x:c>
      <x:c r="P931" s="4" t="str">
        <x:f>TEXT(C931,"yyyy-mm")</x:f>
        <x:v>2025-05</x:v>
      </x:c>
      <x:c r="Q931" s="4" t="str">
        <x:f>TEXT(C931,"mmmm")</x:f>
        <x:v>May</x:v>
      </x:c>
    </x:row>
    <x:row r="932" ht="20" customHeight="1">
      <x:c r="A932" s="4" t="inlineStr">
        <x:is>
          <x:t xml:space="preserve">LINE-00941</x:t>
        </x:is>
      </x:c>
      <x:c r="B932" s="4" t="inlineStr">
        <x:is>
          <x:t xml:space="preserve">ORD-2025-0585</x:t>
        </x:is>
      </x:c>
      <x:c r="C932" s="17" t="n">
        <x:v>45791</x:v>
      </x:c>
      <x:c r="D932" s="4" t="inlineStr">
        <x:is>
          <x:t xml:space="preserve">CUS-0190</x:t>
        </x:is>
      </x:c>
      <x:c r="E932" s="4" t="inlineStr">
        <x:is>
          <x:t xml:space="preserve">Office Chair</x:t>
        </x:is>
      </x:c>
      <x:c r="F932" s="4" t="inlineStr">
        <x:is>
          <x:t xml:space="preserve">Furniture</x:t>
        </x:is>
      </x:c>
      <x:c r="G932" s="4" t="inlineStr">
        <x:is>
          <x:t xml:space="preserve">Chicago</x:t>
        </x:is>
      </x:c>
      <x:c r="H932" s="18" t="n">
        <x:v>2</x:v>
      </x:c>
      <x:c r="I932" s="19" t="n">
        <x:v>227.04</x:v>
      </x:c>
      <x:c r="J932" s="20" t="n">
        <x:v>0</x:v>
      </x:c>
      <x:c r="K932" s="4" t="inlineStr">
        <x:is>
          <x:t xml:space="preserve">Debit Card</x:t>
        </x:is>
      </x:c>
      <x:c r="L932" s="19" t="n">
        <x:v>454.08</x:v>
      </x:c>
      <x:c r="M932" s="19" t="n">
        <x:v>0</x:v>
      </x:c>
      <x:c r="N932" s="19" t="n">
        <x:v>454.08</x:v>
      </x:c>
      <x:c r="O932" s="4" t="n">
        <x:f>YEAR(C932)</x:f>
        <x:v>2025</x:v>
      </x:c>
      <x:c r="P932" s="4" t="str">
        <x:f>TEXT(C932,"yyyy-mm")</x:f>
        <x:v>2025-05</x:v>
      </x:c>
      <x:c r="Q932" s="4" t="str">
        <x:f>TEXT(C932,"mmmm")</x:f>
        <x:v>May</x:v>
      </x:c>
    </x:row>
    <x:row r="933" ht="20" customHeight="1">
      <x:c r="A933" s="4" t="inlineStr">
        <x:is>
          <x:t xml:space="preserve">LINE-00942</x:t>
        </x:is>
      </x:c>
      <x:c r="B933" s="4" t="inlineStr">
        <x:is>
          <x:t xml:space="preserve">ORD-2025-0586</x:t>
        </x:is>
      </x:c>
      <x:c r="C933" s="17" t="n">
        <x:v>45670</x:v>
      </x:c>
      <x:c r="D933" s="4" t="inlineStr">
        <x:is>
          <x:t xml:space="preserve">CUS-0208</x:t>
        </x:is>
      </x:c>
      <x:c r="E933" s="4" t="inlineStr">
        <x:is>
          <x:t xml:space="preserve">Webcam</x:t>
        </x:is>
      </x:c>
      <x:c r="F933" s="4" t="inlineStr">
        <x:is>
          <x:t xml:space="preserve">Accessories</x:t>
        </x:is>
      </x:c>
      <x:c r="G933" s="4" t="inlineStr">
        <x:is>
          <x:t xml:space="preserve">Seattle</x:t>
        </x:is>
      </x:c>
      <x:c r="H933" s="18" t="n">
        <x:v>5</x:v>
      </x:c>
      <x:c r="I933" s="19" t="n">
        <x:v>90.66</x:v>
      </x:c>
      <x:c r="J933" s="20" t="n">
        <x:v>0.05</x:v>
      </x:c>
      <x:c r="K933" s="4" t="inlineStr">
        <x:is>
          <x:t xml:space="preserve">Debit Card</x:t>
        </x:is>
      </x:c>
      <x:c r="L933" s="19" t="n">
        <x:v>453.3</x:v>
      </x:c>
      <x:c r="M933" s="19" t="n">
        <x:v>22.67</x:v>
      </x:c>
      <x:c r="N933" s="19" t="n">
        <x:v>430.63</x:v>
      </x:c>
      <x:c r="O933" s="4" t="n">
        <x:f>YEAR(C933)</x:f>
        <x:v>2025</x:v>
      </x:c>
      <x:c r="P933" s="4" t="str">
        <x:f>TEXT(C933,"yyyy-mm")</x:f>
        <x:v>2025-01</x:v>
      </x:c>
      <x:c r="Q933" s="4" t="str">
        <x:f>TEXT(C933,"mmmm")</x:f>
        <x:v>January</x:v>
      </x:c>
    </x:row>
    <x:row r="934" ht="20" customHeight="1">
      <x:c r="A934" s="4" t="inlineStr">
        <x:is>
          <x:t xml:space="preserve">LINE-00943</x:t>
        </x:is>
      </x:c>
      <x:c r="B934" s="4" t="inlineStr">
        <x:is>
          <x:t xml:space="preserve">ORD-2025-0586</x:t>
        </x:is>
      </x:c>
      <x:c r="C934" s="17" t="n">
        <x:v>45670</x:v>
      </x:c>
      <x:c r="D934" s="4" t="inlineStr">
        <x:is>
          <x:t xml:space="preserve">CUS-0208</x:t>
        </x:is>
      </x:c>
      <x:c r="E934" s="4" t="inlineStr">
        <x:is>
          <x:t xml:space="preserve">Keyboard</x:t>
        </x:is>
      </x:c>
      <x:c r="F934" s="4" t="inlineStr">
        <x:is>
          <x:t xml:space="preserve">Accessories</x:t>
        </x:is>
      </x:c>
      <x:c r="G934" s="4" t="inlineStr">
        <x:is>
          <x:t xml:space="preserve">Seattle</x:t>
        </x:is>
      </x:c>
      <x:c r="H934" s="18" t="n">
        <x:v>2</x:v>
      </x:c>
      <x:c r="I934" s="19" t="n">
        <x:v>72.55</x:v>
      </x:c>
      <x:c r="J934" s="20" t="n">
        <x:v>0.15</x:v>
      </x:c>
      <x:c r="K934" s="4" t="inlineStr">
        <x:is>
          <x:t xml:space="preserve">Debit Card</x:t>
        </x:is>
      </x:c>
      <x:c r="L934" s="19" t="n">
        <x:v>145.1</x:v>
      </x:c>
      <x:c r="M934" s="19" t="n">
        <x:v>21.76</x:v>
      </x:c>
      <x:c r="N934" s="19" t="n">
        <x:v>123.34</x:v>
      </x:c>
      <x:c r="O934" s="4" t="n">
        <x:f>YEAR(C934)</x:f>
        <x:v>2025</x:v>
      </x:c>
      <x:c r="P934" s="4" t="str">
        <x:f>TEXT(C934,"yyyy-mm")</x:f>
        <x:v>2025-01</x:v>
      </x:c>
      <x:c r="Q934" s="4" t="str">
        <x:f>TEXT(C934,"mmmm")</x:f>
        <x:v>January</x:v>
      </x:c>
    </x:row>
    <x:row r="935" ht="20" customHeight="1">
      <x:c r="A935" s="4" t="inlineStr">
        <x:is>
          <x:t xml:space="preserve">LINE-00944</x:t>
        </x:is>
      </x:c>
      <x:c r="B935" s="4" t="inlineStr">
        <x:is>
          <x:t xml:space="preserve">ORD-2025-0586</x:t>
        </x:is>
      </x:c>
      <x:c r="C935" s="17" t="n">
        <x:v>45670</x:v>
      </x:c>
      <x:c r="D935" s="4" t="inlineStr">
        <x:is>
          <x:t xml:space="preserve">CUS-0208</x:t>
        </x:is>
      </x:c>
      <x:c r="E935" s="4" t="inlineStr">
        <x:is>
          <x:t xml:space="preserve">Laptop</x:t>
        </x:is>
      </x:c>
      <x:c r="F935" s="4" t="inlineStr">
        <x:is>
          <x:t xml:space="preserve">Computers</x:t>
        </x:is>
      </x:c>
      <x:c r="G935" s="4" t="inlineStr">
        <x:is>
          <x:t xml:space="preserve">Seattle</x:t>
        </x:is>
      </x:c>
      <x:c r="H935" s="18" t="n">
        <x:v>5</x:v>
      </x:c>
      <x:c r="I935" s="19" t="n">
        <x:v>988.63</x:v>
      </x:c>
      <x:c r="J935" s="20" t="n">
        <x:v>0.2</x:v>
      </x:c>
      <x:c r="K935" s="4" t="inlineStr">
        <x:is>
          <x:t xml:space="preserve">Debit Card</x:t>
        </x:is>
      </x:c>
      <x:c r="L935" s="19" t="n">
        <x:v>4943.15</x:v>
      </x:c>
      <x:c r="M935" s="19" t="n">
        <x:v>988.63</x:v>
      </x:c>
      <x:c r="N935" s="19" t="n">
        <x:v>3954.52</x:v>
      </x:c>
      <x:c r="O935" s="4" t="n">
        <x:f>YEAR(C935)</x:f>
        <x:v>2025</x:v>
      </x:c>
      <x:c r="P935" s="4" t="str">
        <x:f>TEXT(C935,"yyyy-mm")</x:f>
        <x:v>2025-01</x:v>
      </x:c>
      <x:c r="Q935" s="4" t="str">
        <x:f>TEXT(C935,"mmmm")</x:f>
        <x:v>January</x:v>
      </x:c>
    </x:row>
    <x:row r="936" ht="20" customHeight="1">
      <x:c r="A936" s="4" t="inlineStr">
        <x:is>
          <x:t xml:space="preserve">LINE-00945</x:t>
        </x:is>
      </x:c>
      <x:c r="B936" s="4" t="inlineStr">
        <x:is>
          <x:t xml:space="preserve">ORD-2025-0587</x:t>
        </x:is>
      </x:c>
      <x:c r="C936" s="17" t="n">
        <x:v>45999</x:v>
      </x:c>
      <x:c r="D936" s="4" t="inlineStr">
        <x:is>
          <x:t xml:space="preserve">CUS-0076</x:t>
        </x:is>
      </x:c>
      <x:c r="E936" s="4" t="inlineStr">
        <x:is>
          <x:t xml:space="preserve">Monitor</x:t>
        </x:is>
      </x:c>
      <x:c r="F936" s="4" t="inlineStr">
        <x:is>
          <x:t xml:space="preserve">Computers</x:t>
        </x:is>
      </x:c>
      <x:c r="G936" s="4" t="inlineStr">
        <x:is>
          <x:t xml:space="preserve">Boston</x:t>
        </x:is>
      </x:c>
      <x:c r="H936" s="18" t="n">
        <x:v>3</x:v>
      </x:c>
      <x:c r="I936" s="19" t="n">
        <x:v>297.93</x:v>
      </x:c>
      <x:c r="J936" s="20" t="n">
        <x:v>0</x:v>
      </x:c>
      <x:c r="K936" s="4" t="inlineStr">
        <x:is>
          <x:t xml:space="preserve">Bank Transfer</x:t>
        </x:is>
      </x:c>
      <x:c r="L936" s="19" t="n">
        <x:v>893.79</x:v>
      </x:c>
      <x:c r="M936" s="19" t="n">
        <x:v>0</x:v>
      </x:c>
      <x:c r="N936" s="19" t="n">
        <x:v>893.79</x:v>
      </x:c>
      <x:c r="O936" s="4" t="n">
        <x:f>YEAR(C936)</x:f>
        <x:v>2025</x:v>
      </x:c>
      <x:c r="P936" s="4" t="str">
        <x:f>TEXT(C936,"yyyy-mm")</x:f>
        <x:v>2025-12</x:v>
      </x:c>
      <x:c r="Q936" s="4" t="str">
        <x:f>TEXT(C936,"mmmm")</x:f>
        <x:v>December</x:v>
      </x:c>
    </x:row>
    <x:row r="937" ht="20" customHeight="1">
      <x:c r="A937" s="4" t="inlineStr">
        <x:is>
          <x:t xml:space="preserve">LINE-00946</x:t>
        </x:is>
      </x:c>
      <x:c r="B937" s="4" t="inlineStr">
        <x:is>
          <x:t xml:space="preserve">ORD-2025-0588</x:t>
        </x:is>
      </x:c>
      <x:c r="C937" s="17" t="n">
        <x:v>45940</x:v>
      </x:c>
      <x:c r="D937" s="4" t="inlineStr">
        <x:is>
          <x:t xml:space="preserve">CUS-0060</x:t>
        </x:is>
      </x:c>
      <x:c r="E937" s="4" t="inlineStr">
        <x:is>
          <x:t xml:space="preserve">Wireless Mouse</x:t>
        </x:is>
      </x:c>
      <x:c r="F937" s="4" t="inlineStr">
        <x:is>
          <x:t xml:space="preserve">Accessories</x:t>
        </x:is>
      </x:c>
      <x:c r="G937" s="4" t="inlineStr">
        <x:is>
          <x:t xml:space="preserve">Austin</x:t>
        </x:is>
      </x:c>
      <x:c r="H937" s="18" t="n">
        <x:v>2</x:v>
      </x:c>
      <x:c r="I937" s="19" t="n">
        <x:v>42.07</x:v>
      </x:c>
      <x:c r="J937" s="20" t="n">
        <x:v>0</x:v>
      </x:c>
      <x:c r="K937" s="4" t="inlineStr">
        <x:is>
          <x:t xml:space="preserve">Credit Card</x:t>
        </x:is>
      </x:c>
      <x:c r="L937" s="19" t="n">
        <x:v>84.14</x:v>
      </x:c>
      <x:c r="M937" s="19" t="n">
        <x:v>0</x:v>
      </x:c>
      <x:c r="N937" s="19" t="n">
        <x:v>84.14</x:v>
      </x:c>
      <x:c r="O937" s="4" t="n">
        <x:f>YEAR(C937)</x:f>
        <x:v>2025</x:v>
      </x:c>
      <x:c r="P937" s="4" t="str">
        <x:f>TEXT(C937,"yyyy-mm")</x:f>
        <x:v>2025-10</x:v>
      </x:c>
      <x:c r="Q937" s="4" t="str">
        <x:f>TEXT(C937,"mmmm")</x:f>
        <x:v>October</x:v>
      </x:c>
    </x:row>
    <x:row r="938" ht="20" customHeight="1">
      <x:c r="A938" s="4" t="inlineStr">
        <x:is>
          <x:t xml:space="preserve">LINE-00947</x:t>
        </x:is>
      </x:c>
      <x:c r="B938" s="4" t="inlineStr">
        <x:is>
          <x:t xml:space="preserve">ORD-2025-0589</x:t>
        </x:is>
      </x:c>
      <x:c r="C938" s="17" t="n">
        <x:v>45986</x:v>
      </x:c>
      <x:c r="D938" s="4" t="inlineStr">
        <x:is>
          <x:t xml:space="preserve">CUS-0100</x:t>
        </x:is>
      </x:c>
      <x:c r="E938" s="4" t="inlineStr">
        <x:is>
          <x:t xml:space="preserve">USB-C Hub</x:t>
        </x:is>
      </x:c>
      <x:c r="F938" s="4" t="inlineStr">
        <x:is>
          <x:t xml:space="preserve">Accessories</x:t>
        </x:is>
      </x:c>
      <x:c r="G938" s="4" t="inlineStr">
        <x:is>
          <x:t xml:space="preserve">Boston</x:t>
        </x:is>
      </x:c>
      <x:c r="H938" s="18" t="n">
        <x:v>1</x:v>
      </x:c>
      <x:c r="I938" s="19" t="n">
        <x:v>65.40000000000001</x:v>
      </x:c>
      <x:c r="J938" s="20" t="n">
        <x:v>0</x:v>
      </x:c>
      <x:c r="K938" s="4" t="inlineStr">
        <x:is>
          <x:t xml:space="preserve">Debit Card</x:t>
        </x:is>
      </x:c>
      <x:c r="L938" s="19" t="n">
        <x:v>65.40000000000001</x:v>
      </x:c>
      <x:c r="M938" s="19" t="n">
        <x:v>0</x:v>
      </x:c>
      <x:c r="N938" s="19" t="n">
        <x:v>65.40000000000001</x:v>
      </x:c>
      <x:c r="O938" s="4" t="n">
        <x:f>YEAR(C938)</x:f>
        <x:v>2025</x:v>
      </x:c>
      <x:c r="P938" s="4" t="str">
        <x:f>TEXT(C938,"yyyy-mm")</x:f>
        <x:v>2025-11</x:v>
      </x:c>
      <x:c r="Q938" s="4" t="str">
        <x:f>TEXT(C938,"mmmm")</x:f>
        <x:v>November</x:v>
      </x:c>
    </x:row>
    <x:row r="939" ht="20" customHeight="1">
      <x:c r="A939" s="4" t="inlineStr">
        <x:is>
          <x:t xml:space="preserve">LINE-00948</x:t>
        </x:is>
      </x:c>
      <x:c r="B939" s="4" t="inlineStr">
        <x:is>
          <x:t xml:space="preserve">ORD-2025-0589</x:t>
        </x:is>
      </x:c>
      <x:c r="C939" s="17" t="n">
        <x:v>45986</x:v>
      </x:c>
      <x:c r="D939" s="4" t="inlineStr">
        <x:is>
          <x:t xml:space="preserve">CUS-0100</x:t>
        </x:is>
      </x:c>
      <x:c r="E939" s="4" t="inlineStr">
        <x:is>
          <x:t xml:space="preserve">Wireless Mouse</x:t>
        </x:is>
      </x:c>
      <x:c r="F939" s="4" t="inlineStr">
        <x:is>
          <x:t xml:space="preserve">Accessories</x:t>
        </x:is>
      </x:c>
      <x:c r="G939" s="4" t="inlineStr">
        <x:is>
          <x:t xml:space="preserve">Boston</x:t>
        </x:is>
      </x:c>
      <x:c r="H939" s="18" t="n">
        <x:v>2</x:v>
      </x:c>
      <x:c r="I939" s="19" t="n">
        <x:v>42.03</x:v>
      </x:c>
      <x:c r="J939" s="20" t="n">
        <x:v>0.05</x:v>
      </x:c>
      <x:c r="K939" s="4" t="inlineStr">
        <x:is>
          <x:t xml:space="preserve">Debit Card</x:t>
        </x:is>
      </x:c>
      <x:c r="L939" s="19" t="n">
        <x:v>84.06</x:v>
      </x:c>
      <x:c r="M939" s="19" t="n">
        <x:v>4.2</x:v>
      </x:c>
      <x:c r="N939" s="19" t="n">
        <x:v>79.86</x:v>
      </x:c>
      <x:c r="O939" s="4" t="n">
        <x:f>YEAR(C939)</x:f>
        <x:v>2025</x:v>
      </x:c>
      <x:c r="P939" s="4" t="str">
        <x:f>TEXT(C939,"yyyy-mm")</x:f>
        <x:v>2025-11</x:v>
      </x:c>
      <x:c r="Q939" s="4" t="str">
        <x:f>TEXT(C939,"mmmm")</x:f>
        <x:v>November</x:v>
      </x:c>
    </x:row>
    <x:row r="940" ht="20" customHeight="1">
      <x:c r="A940" s="4" t="inlineStr">
        <x:is>
          <x:t xml:space="preserve">LINE-00949</x:t>
        </x:is>
      </x:c>
      <x:c r="B940" s="4" t="inlineStr">
        <x:is>
          <x:t xml:space="preserve">ORD-2025-0590</x:t>
        </x:is>
      </x:c>
      <x:c r="C940" s="17" t="n">
        <x:v>45757</x:v>
      </x:c>
      <x:c r="D940" s="4" t="inlineStr">
        <x:is>
          <x:t xml:space="preserve">CUS-0252</x:t>
        </x:is>
      </x:c>
      <x:c r="E940" s="4" t="inlineStr">
        <x:is>
          <x:t xml:space="preserve">Webcam</x:t>
        </x:is>
      </x:c>
      <x:c r="F940" s="4" t="inlineStr">
        <x:is>
          <x:t xml:space="preserve">Accessories</x:t>
        </x:is>
      </x:c>
      <x:c r="G940" s="4" t="inlineStr">
        <x:is>
          <x:t xml:space="preserve">Austin</x:t>
        </x:is>
      </x:c>
      <x:c r="H940" s="18" t="n">
        <x:v>3</x:v>
      </x:c>
      <x:c r="I940" s="19" t="n">
        <x:v>88.95999999999999</x:v>
      </x:c>
      <x:c r="J940" s="20" t="n">
        <x:v>0</x:v>
      </x:c>
      <x:c r="K940" s="4" t="inlineStr">
        <x:is>
          <x:t xml:space="preserve">Credit Card</x:t>
        </x:is>
      </x:c>
      <x:c r="L940" s="19" t="n">
        <x:v>266.88</x:v>
      </x:c>
      <x:c r="M940" s="19" t="n">
        <x:v>0</x:v>
      </x:c>
      <x:c r="N940" s="19" t="n">
        <x:v>266.88</x:v>
      </x:c>
      <x:c r="O940" s="4" t="n">
        <x:f>YEAR(C940)</x:f>
        <x:v>2025</x:v>
      </x:c>
      <x:c r="P940" s="4" t="str">
        <x:f>TEXT(C940,"yyyy-mm")</x:f>
        <x:v>2025-04</x:v>
      </x:c>
      <x:c r="Q940" s="4" t="str">
        <x:f>TEXT(C940,"mmmm")</x:f>
        <x:v>April</x:v>
      </x:c>
    </x:row>
    <x:row r="941" ht="20" customHeight="1">
      <x:c r="A941" s="4" t="inlineStr">
        <x:is>
          <x:t xml:space="preserve">LINE-00950</x:t>
        </x:is>
      </x:c>
      <x:c r="B941" s="4" t="inlineStr">
        <x:is>
          <x:t xml:space="preserve">ORD-2025-0590</x:t>
        </x:is>
      </x:c>
      <x:c r="C941" s="17" t="n">
        <x:v>45757</x:v>
      </x:c>
      <x:c r="D941" s="4" t="inlineStr">
        <x:is>
          <x:t xml:space="preserve">CUS-0252</x:t>
        </x:is>
      </x:c>
      <x:c r="E941" s="4" t="inlineStr">
        <x:is>
          <x:t xml:space="preserve">Headphones</x:t>
        </x:is>
      </x:c>
      <x:c r="F941" s="4" t="inlineStr">
        <x:is>
          <x:t xml:space="preserve">Audio</x:t>
        </x:is>
      </x:c>
      <x:c r="G941" s="4" t="inlineStr">
        <x:is>
          <x:t xml:space="preserve">Austin</x:t>
        </x:is>
      </x:c>
      <x:c r="H941" s="18" t="n">
        <x:v>1</x:v>
      </x:c>
      <x:c r="I941" s="19" t="n">
        <x:v>126.77</x:v>
      </x:c>
      <x:c r="J941" s="20" t="n">
        <x:v>0</x:v>
      </x:c>
      <x:c r="K941" s="4" t="inlineStr">
        <x:is>
          <x:t xml:space="preserve">Credit Card</x:t>
        </x:is>
      </x:c>
      <x:c r="L941" s="19" t="n">
        <x:v>126.77</x:v>
      </x:c>
      <x:c r="M941" s="19" t="n">
        <x:v>0</x:v>
      </x:c>
      <x:c r="N941" s="19" t="n">
        <x:v>126.77</x:v>
      </x:c>
      <x:c r="O941" s="4" t="n">
        <x:f>YEAR(C941)</x:f>
        <x:v>2025</x:v>
      </x:c>
      <x:c r="P941" s="4" t="str">
        <x:f>TEXT(C941,"yyyy-mm")</x:f>
        <x:v>2025-04</x:v>
      </x:c>
      <x:c r="Q941" s="4" t="str">
        <x:f>TEXT(C941,"mmmm")</x:f>
        <x:v>April</x:v>
      </x:c>
    </x:row>
    <x:row r="942" ht="20" customHeight="1">
      <x:c r="A942" s="4" t="inlineStr">
        <x:is>
          <x:t xml:space="preserve">LINE-00951</x:t>
        </x:is>
      </x:c>
      <x:c r="B942" s="4" t="inlineStr">
        <x:is>
          <x:t xml:space="preserve">ORD-2025-0590</x:t>
        </x:is>
      </x:c>
      <x:c r="C942" s="17" t="n">
        <x:v>45757</x:v>
      </x:c>
      <x:c r="D942" s="4" t="inlineStr">
        <x:is>
          <x:t xml:space="preserve">CUS-0252</x:t>
        </x:is>
      </x:c>
      <x:c r="E942" s="4" t="inlineStr">
        <x:is>
          <x:t xml:space="preserve">Keyboard</x:t>
        </x:is>
      </x:c>
      <x:c r="F942" s="4" t="inlineStr">
        <x:is>
          <x:t xml:space="preserve">Accessories</x:t>
        </x:is>
      </x:c>
      <x:c r="G942" s="4" t="inlineStr">
        <x:is>
          <x:t xml:space="preserve">Austin</x:t>
        </x:is>
      </x:c>
      <x:c r="H942" s="18" t="n">
        <x:v>2</x:v>
      </x:c>
      <x:c r="I942" s="19" t="n">
        <x:v>75.73</x:v>
      </x:c>
      <x:c r="J942" s="20" t="n">
        <x:v>0</x:v>
      </x:c>
      <x:c r="K942" s="4" t="inlineStr">
        <x:is>
          <x:t xml:space="preserve">Credit Card</x:t>
        </x:is>
      </x:c>
      <x:c r="L942" s="19" t="n">
        <x:v>151.46</x:v>
      </x:c>
      <x:c r="M942" s="19" t="n">
        <x:v>0</x:v>
      </x:c>
      <x:c r="N942" s="19" t="n">
        <x:v>151.46</x:v>
      </x:c>
      <x:c r="O942" s="4" t="n">
        <x:f>YEAR(C942)</x:f>
        <x:v>2025</x:v>
      </x:c>
      <x:c r="P942" s="4" t="str">
        <x:f>TEXT(C942,"yyyy-mm")</x:f>
        <x:v>2025-04</x:v>
      </x:c>
      <x:c r="Q942" s="4" t="str">
        <x:f>TEXT(C942,"mmmm")</x:f>
        <x:v>April</x:v>
      </x:c>
    </x:row>
    <x:row r="943" ht="20" customHeight="1">
      <x:c r="A943" s="4" t="inlineStr">
        <x:is>
          <x:t xml:space="preserve">LINE-00952</x:t>
        </x:is>
      </x:c>
      <x:c r="B943" s="4" t="inlineStr">
        <x:is>
          <x:t xml:space="preserve">ORD-2025-0591</x:t>
        </x:is>
      </x:c>
      <x:c r="C943" s="17" t="n">
        <x:v>45885</x:v>
      </x:c>
      <x:c r="D943" s="4" t="inlineStr">
        <x:is>
          <x:t xml:space="preserve">CUS-0213</x:t>
        </x:is>
      </x:c>
      <x:c r="E943" s="4" t="inlineStr">
        <x:is>
          <x:t xml:space="preserve">Desk Lamp</x:t>
        </x:is>
      </x:c>
      <x:c r="F943" s="4" t="inlineStr">
        <x:is>
          <x:t xml:space="preserve">Furniture</x:t>
        </x:is>
      </x:c>
      <x:c r="G943" s="4" t="inlineStr">
        <x:is>
          <x:t xml:space="preserve">Seattle</x:t>
        </x:is>
      </x:c>
      <x:c r="H943" s="18" t="n">
        <x:v>5</x:v>
      </x:c>
      <x:c r="I943" s="19" t="n">
        <x:v>54.33</x:v>
      </x:c>
      <x:c r="J943" s="20" t="n">
        <x:v>0.15</x:v>
      </x:c>
      <x:c r="K943" s="4" t="inlineStr">
        <x:is>
          <x:t xml:space="preserve">PayPal</x:t>
        </x:is>
      </x:c>
      <x:c r="L943" s="19" t="n">
        <x:v>271.65</x:v>
      </x:c>
      <x:c r="M943" s="19" t="n">
        <x:v>40.75</x:v>
      </x:c>
      <x:c r="N943" s="19" t="n">
        <x:v>230.9</x:v>
      </x:c>
      <x:c r="O943" s="4" t="n">
        <x:f>YEAR(C943)</x:f>
        <x:v>2025</x:v>
      </x:c>
      <x:c r="P943" s="4" t="str">
        <x:f>TEXT(C943,"yyyy-mm")</x:f>
        <x:v>2025-08</x:v>
      </x:c>
      <x:c r="Q943" s="4" t="str">
        <x:f>TEXT(C943,"mmmm")</x:f>
        <x:v>August</x:v>
      </x:c>
    </x:row>
    <x:row r="944" ht="20" customHeight="1">
      <x:c r="A944" s="4" t="inlineStr">
        <x:is>
          <x:t xml:space="preserve">LINE-00953</x:t>
        </x:is>
      </x:c>
      <x:c r="B944" s="4" t="inlineStr">
        <x:is>
          <x:t xml:space="preserve">ORD-2025-0592</x:t>
        </x:is>
      </x:c>
      <x:c r="C944" s="17" t="n">
        <x:v>45729</x:v>
      </x:c>
      <x:c r="D944" s="4" t="inlineStr">
        <x:is>
          <x:t xml:space="preserve">CUS-0301</x:t>
        </x:is>
      </x:c>
      <x:c r="E944" s="4" t="inlineStr">
        <x:is>
          <x:t xml:space="preserve">USB-C Hub</x:t>
        </x:is>
      </x:c>
      <x:c r="F944" s="4" t="inlineStr">
        <x:is>
          <x:t xml:space="preserve">Accessories</x:t>
        </x:is>
      </x:c>
      <x:c r="G944" s="4" t="inlineStr">
        <x:is>
          <x:t xml:space="preserve">Boston</x:t>
        </x:is>
      </x:c>
      <x:c r="H944" s="18" t="n">
        <x:v>2</x:v>
      </x:c>
      <x:c r="I944" s="19" t="n">
        <x:v>68.81999999999999</x:v>
      </x:c>
      <x:c r="J944" s="20" t="n">
        <x:v>0.2</x:v>
      </x:c>
      <x:c r="K944" s="4" t="inlineStr">
        <x:is>
          <x:t xml:space="preserve">Credit Card</x:t>
        </x:is>
      </x:c>
      <x:c r="L944" s="19" t="n">
        <x:v>137.64</x:v>
      </x:c>
      <x:c r="M944" s="19" t="n">
        <x:v>27.53</x:v>
      </x:c>
      <x:c r="N944" s="19" t="n">
        <x:v>110.11</x:v>
      </x:c>
      <x:c r="O944" s="4" t="n">
        <x:f>YEAR(C944)</x:f>
        <x:v>2025</x:v>
      </x:c>
      <x:c r="P944" s="4" t="str">
        <x:f>TEXT(C944,"yyyy-mm")</x:f>
        <x:v>2025-03</x:v>
      </x:c>
      <x:c r="Q944" s="4" t="str">
        <x:f>TEXT(C944,"mmmm")</x:f>
        <x:v>March</x:v>
      </x:c>
    </x:row>
    <x:row r="945" ht="20" customHeight="1">
      <x:c r="A945" s="4" t="inlineStr">
        <x:is>
          <x:t xml:space="preserve">LINE-00954</x:t>
        </x:is>
      </x:c>
      <x:c r="B945" s="4" t="inlineStr">
        <x:is>
          <x:t xml:space="preserve">ORD-2025-0593</x:t>
        </x:is>
      </x:c>
      <x:c r="C945" s="17" t="n">
        <x:v>45691</x:v>
      </x:c>
      <x:c r="D945" s="4" t="inlineStr">
        <x:is>
          <x:t xml:space="preserve">CUS-0303</x:t>
        </x:is>
      </x:c>
      <x:c r="E945" s="4" t="inlineStr">
        <x:is>
          <x:t xml:space="preserve">Office Chair</x:t>
        </x:is>
      </x:c>
      <x:c r="F945" s="4" t="inlineStr">
        <x:is>
          <x:t xml:space="preserve">Furniture</x:t>
        </x:is>
      </x:c>
      <x:c r="G945" s="4" t="inlineStr">
        <x:is>
          <x:t xml:space="preserve">Seattle</x:t>
        </x:is>
      </x:c>
      <x:c r="H945" s="18" t="n">
        <x:v>4</x:v>
      </x:c>
      <x:c r="I945" s="19" t="n">
        <x:v>236.72</x:v>
      </x:c>
      <x:c r="J945" s="20" t="n">
        <x:v>0.05</x:v>
      </x:c>
      <x:c r="K945" s="4" t="inlineStr">
        <x:is>
          <x:t xml:space="preserve">Credit Card</x:t>
        </x:is>
      </x:c>
      <x:c r="L945" s="19" t="n">
        <x:v>946.88</x:v>
      </x:c>
      <x:c r="M945" s="19" t="n">
        <x:v>47.34</x:v>
      </x:c>
      <x:c r="N945" s="19" t="n">
        <x:v>899.54</x:v>
      </x:c>
      <x:c r="O945" s="4" t="n">
        <x:f>YEAR(C945)</x:f>
        <x:v>2025</x:v>
      </x:c>
      <x:c r="P945" s="4" t="str">
        <x:f>TEXT(C945,"yyyy-mm")</x:f>
        <x:v>2025-02</x:v>
      </x:c>
      <x:c r="Q945" s="4" t="str">
        <x:f>TEXT(C945,"mmmm")</x:f>
        <x:v>February</x:v>
      </x:c>
    </x:row>
    <x:row r="946" ht="20" customHeight="1">
      <x:c r="A946" s="4" t="inlineStr">
        <x:is>
          <x:t xml:space="preserve">LINE-00955</x:t>
        </x:is>
      </x:c>
      <x:c r="B946" s="4" t="inlineStr">
        <x:is>
          <x:t xml:space="preserve">ORD-2025-0594</x:t>
        </x:is>
      </x:c>
      <x:c r="C946" s="17" t="n">
        <x:v>46021</x:v>
      </x:c>
      <x:c r="D946" s="4" t="inlineStr">
        <x:is>
          <x:t xml:space="preserve">CUS-0291</x:t>
        </x:is>
      </x:c>
      <x:c r="E946" s="4" t="inlineStr">
        <x:is>
          <x:t xml:space="preserve">Headphones</x:t>
        </x:is>
      </x:c>
      <x:c r="F946" s="4" t="inlineStr">
        <x:is>
          <x:t xml:space="preserve">Audio</x:t>
        </x:is>
      </x:c>
      <x:c r="G946" s="4" t="inlineStr">
        <x:is>
          <x:t xml:space="preserve">Chicago</x:t>
        </x:is>
      </x:c>
      <x:c r="H946" s="18" t="n">
        <x:v>1</x:v>
      </x:c>
      <x:c r="I946" s="19" t="n">
        <x:v>129.8</x:v>
      </x:c>
      <x:c r="J946" s="20" t="n">
        <x:v>0.1</x:v>
      </x:c>
      <x:c r="K946" s="4" t="inlineStr">
        <x:is>
          <x:t xml:space="preserve">Debit Card</x:t>
        </x:is>
      </x:c>
      <x:c r="L946" s="19" t="n">
        <x:v>129.8</x:v>
      </x:c>
      <x:c r="M946" s="19" t="n">
        <x:v>12.98</x:v>
      </x:c>
      <x:c r="N946" s="19" t="n">
        <x:v>116.82</x:v>
      </x:c>
      <x:c r="O946" s="4" t="n">
        <x:f>YEAR(C946)</x:f>
        <x:v>2025</x:v>
      </x:c>
      <x:c r="P946" s="4" t="str">
        <x:f>TEXT(C946,"yyyy-mm")</x:f>
        <x:v>2025-12</x:v>
      </x:c>
      <x:c r="Q946" s="4" t="str">
        <x:f>TEXT(C946,"mmmm")</x:f>
        <x:v>December</x:v>
      </x:c>
    </x:row>
    <x:row r="947" ht="20" customHeight="1">
      <x:c r="A947" s="4" t="inlineStr">
        <x:is>
          <x:t xml:space="preserve">LINE-00956</x:t>
        </x:is>
      </x:c>
      <x:c r="B947" s="4" t="inlineStr">
        <x:is>
          <x:t xml:space="preserve">ORD-2025-0595</x:t>
        </x:is>
      </x:c>
      <x:c r="C947" s="17" t="n">
        <x:v>45812</x:v>
      </x:c>
      <x:c r="D947" s="4" t="inlineStr">
        <x:is>
          <x:t xml:space="preserve">CUS-0300</x:t>
        </x:is>
      </x:c>
      <x:c r="E947" s="4" t="inlineStr">
        <x:is>
          <x:t xml:space="preserve">Bluetooth Speaker</x:t>
        </x:is>
      </x:c>
      <x:c r="F947" s="4" t="inlineStr">
        <x:is>
          <x:t xml:space="preserve">Audio</x:t>
        </x:is>
      </x:c>
      <x:c r="G947" s="4" t="inlineStr">
        <x:is>
          <x:t xml:space="preserve">Austin</x:t>
        </x:is>
      </x:c>
      <x:c r="H947" s="18" t="n">
        <x:v>1</x:v>
      </x:c>
      <x:c r="I947" s="19" t="n">
        <x:v>101.24</x:v>
      </x:c>
      <x:c r="J947" s="20" t="n">
        <x:v>0</x:v>
      </x:c>
      <x:c r="K947" s="4" t="inlineStr">
        <x:is>
          <x:t xml:space="preserve">Bank Transfer</x:t>
        </x:is>
      </x:c>
      <x:c r="L947" s="19" t="n">
        <x:v>101.24</x:v>
      </x:c>
      <x:c r="M947" s="19" t="n">
        <x:v>0</x:v>
      </x:c>
      <x:c r="N947" s="19" t="n">
        <x:v>101.24</x:v>
      </x:c>
      <x:c r="O947" s="4" t="n">
        <x:f>YEAR(C947)</x:f>
        <x:v>2025</x:v>
      </x:c>
      <x:c r="P947" s="4" t="str">
        <x:f>TEXT(C947,"yyyy-mm")</x:f>
        <x:v>2025-06</x:v>
      </x:c>
      <x:c r="Q947" s="4" t="str">
        <x:f>TEXT(C947,"mmmm")</x:f>
        <x:v>June</x:v>
      </x:c>
    </x:row>
    <x:row r="948" ht="20" customHeight="1">
      <x:c r="A948" s="4" t="inlineStr">
        <x:is>
          <x:t xml:space="preserve">LINE-00957</x:t>
        </x:is>
      </x:c>
      <x:c r="B948" s="4" t="inlineStr">
        <x:is>
          <x:t xml:space="preserve">ORD-2025-0595</x:t>
        </x:is>
      </x:c>
      <x:c r="C948" s="17" t="n">
        <x:v>45812</x:v>
      </x:c>
      <x:c r="D948" s="4" t="inlineStr">
        <x:is>
          <x:t xml:space="preserve">CUS-0300</x:t>
        </x:is>
      </x:c>
      <x:c r="E948" s="4" t="inlineStr">
        <x:is>
          <x:t xml:space="preserve">Wireless Mouse</x:t>
        </x:is>
      </x:c>
      <x:c r="F948" s="4" t="inlineStr">
        <x:is>
          <x:t xml:space="preserve">Accessories</x:t>
        </x:is>
      </x:c>
      <x:c r="G948" s="4" t="inlineStr">
        <x:is>
          <x:t xml:space="preserve">Austin</x:t>
        </x:is>
      </x:c>
      <x:c r="H948" s="18" t="n">
        <x:v>5</x:v>
      </x:c>
      <x:c r="I948" s="19" t="n">
        <x:v>47.41</x:v>
      </x:c>
      <x:c r="J948" s="20" t="n">
        <x:v>0.05</x:v>
      </x:c>
      <x:c r="K948" s="4" t="inlineStr">
        <x:is>
          <x:t xml:space="preserve">Bank Transfer</x:t>
        </x:is>
      </x:c>
      <x:c r="L948" s="19" t="n">
        <x:v>237.05</x:v>
      </x:c>
      <x:c r="M948" s="19" t="n">
        <x:v>11.85</x:v>
      </x:c>
      <x:c r="N948" s="19" t="n">
        <x:v>225.2</x:v>
      </x:c>
      <x:c r="O948" s="4" t="n">
        <x:f>YEAR(C948)</x:f>
        <x:v>2025</x:v>
      </x:c>
      <x:c r="P948" s="4" t="str">
        <x:f>TEXT(C948,"yyyy-mm")</x:f>
        <x:v>2025-06</x:v>
      </x:c>
      <x:c r="Q948" s="4" t="str">
        <x:f>TEXT(C948,"mmmm")</x:f>
        <x:v>June</x:v>
      </x:c>
    </x:row>
    <x:row r="949" ht="20" customHeight="1">
      <x:c r="A949" s="4" t="inlineStr">
        <x:is>
          <x:t xml:space="preserve">LINE-00958</x:t>
        </x:is>
      </x:c>
      <x:c r="B949" s="4" t="inlineStr">
        <x:is>
          <x:t xml:space="preserve">ORD-2025-0596</x:t>
        </x:is>
      </x:c>
      <x:c r="C949" s="17" t="n">
        <x:v>45992</x:v>
      </x:c>
      <x:c r="D949" s="4" t="inlineStr">
        <x:is>
          <x:t xml:space="preserve">CUS-0341</x:t>
        </x:is>
      </x:c>
      <x:c r="E949" s="4" t="inlineStr">
        <x:is>
          <x:t xml:space="preserve">Desk Lamp</x:t>
        </x:is>
      </x:c>
      <x:c r="F949" s="4" t="inlineStr">
        <x:is>
          <x:t xml:space="preserve">Furniture</x:t>
        </x:is>
      </x:c>
      <x:c r="G949" s="4" t="inlineStr">
        <x:is>
          <x:t xml:space="preserve">Austin</x:t>
        </x:is>
      </x:c>
      <x:c r="H949" s="18" t="n">
        <x:v>2</x:v>
      </x:c>
      <x:c r="I949" s="19" t="n">
        <x:v>50.85</x:v>
      </x:c>
      <x:c r="J949" s="20" t="n">
        <x:v>0.1</x:v>
      </x:c>
      <x:c r="K949" s="4" t="inlineStr">
        <x:is>
          <x:t xml:space="preserve">Bank Transfer</x:t>
        </x:is>
      </x:c>
      <x:c r="L949" s="19" t="n">
        <x:v>101.7</x:v>
      </x:c>
      <x:c r="M949" s="19" t="n">
        <x:v>10.17</x:v>
      </x:c>
      <x:c r="N949" s="19" t="n">
        <x:v>91.53</x:v>
      </x:c>
      <x:c r="O949" s="4" t="n">
        <x:f>YEAR(C949)</x:f>
        <x:v>2025</x:v>
      </x:c>
      <x:c r="P949" s="4" t="str">
        <x:f>TEXT(C949,"yyyy-mm")</x:f>
        <x:v>2025-12</x:v>
      </x:c>
      <x:c r="Q949" s="4" t="str">
        <x:f>TEXT(C949,"mmmm")</x:f>
        <x:v>December</x:v>
      </x:c>
    </x:row>
    <x:row r="950" ht="20" customHeight="1">
      <x:c r="A950" s="4" t="inlineStr">
        <x:is>
          <x:t xml:space="preserve">LINE-00959</x:t>
        </x:is>
      </x:c>
      <x:c r="B950" s="4" t="inlineStr">
        <x:is>
          <x:t xml:space="preserve">ORD-2025-0597</x:t>
        </x:is>
      </x:c>
      <x:c r="C950" s="17" t="n">
        <x:v>45910</x:v>
      </x:c>
      <x:c r="D950" s="4" t="inlineStr">
        <x:is>
          <x:t xml:space="preserve">CUS-0035</x:t>
        </x:is>
      </x:c>
      <x:c r="E950" s="4" t="inlineStr">
        <x:is>
          <x:t xml:space="preserve">USB Flash Drive</x:t>
        </x:is>
      </x:c>
      <x:c r="F950" s="4" t="inlineStr">
        <x:is>
          <x:t xml:space="preserve">Storage</x:t>
        </x:is>
      </x:c>
      <x:c r="G950" s="4" t="inlineStr">
        <x:is>
          <x:t xml:space="preserve">Boston</x:t>
        </x:is>
      </x:c>
      <x:c r="H950" s="18" t="n">
        <x:v>4</x:v>
      </x:c>
      <x:c r="I950" s="19" t="n">
        <x:v>30.61</x:v>
      </x:c>
      <x:c r="J950" s="20" t="n">
        <x:v>0.05</x:v>
      </x:c>
      <x:c r="K950" s="4" t="inlineStr">
        <x:is>
          <x:t xml:space="preserve">PayPal</x:t>
        </x:is>
      </x:c>
      <x:c r="L950" s="19" t="n">
        <x:v>122.44</x:v>
      </x:c>
      <x:c r="M950" s="19" t="n">
        <x:v>6.12</x:v>
      </x:c>
      <x:c r="N950" s="19" t="n">
        <x:v>116.32</x:v>
      </x:c>
      <x:c r="O950" s="4" t="n">
        <x:f>YEAR(C950)</x:f>
        <x:v>2025</x:v>
      </x:c>
      <x:c r="P950" s="4" t="str">
        <x:f>TEXT(C950,"yyyy-mm")</x:f>
        <x:v>2025-09</x:v>
      </x:c>
      <x:c r="Q950" s="4" t="str">
        <x:f>TEXT(C950,"mmmm")</x:f>
        <x:v>September</x:v>
      </x:c>
    </x:row>
    <x:row r="951" ht="20" customHeight="1">
      <x:c r="A951" s="4" t="inlineStr">
        <x:is>
          <x:t xml:space="preserve">LINE-00960</x:t>
        </x:is>
      </x:c>
      <x:c r="B951" s="4" t="inlineStr">
        <x:is>
          <x:t xml:space="preserve">ORD-2025-0597</x:t>
        </x:is>
      </x:c>
      <x:c r="C951" s="17" t="n">
        <x:v>45910</x:v>
      </x:c>
      <x:c r="D951" s="4" t="inlineStr">
        <x:is>
          <x:t xml:space="preserve">CUS-0035</x:t>
        </x:is>
      </x:c>
      <x:c r="E951" s="4" t="inlineStr">
        <x:is>
          <x:t xml:space="preserve">Headphones</x:t>
        </x:is>
      </x:c>
      <x:c r="F951" s="4" t="inlineStr">
        <x:is>
          <x:t xml:space="preserve">Audio</x:t>
        </x:is>
      </x:c>
      <x:c r="G951" s="4" t="inlineStr">
        <x:is>
          <x:t xml:space="preserve">Boston</x:t>
        </x:is>
      </x:c>
      <x:c r="H951" s="18" t="n">
        <x:v>3</x:v>
      </x:c>
      <x:c r="I951" s="19" t="n">
        <x:v>122.09</x:v>
      </x:c>
      <x:c r="J951" s="20" t="n">
        <x:v>0.05</x:v>
      </x:c>
      <x:c r="K951" s="4" t="inlineStr">
        <x:is>
          <x:t xml:space="preserve">PayPal</x:t>
        </x:is>
      </x:c>
      <x:c r="L951" s="19" t="n">
        <x:v>366.27</x:v>
      </x:c>
      <x:c r="M951" s="19" t="n">
        <x:v>18.31</x:v>
      </x:c>
      <x:c r="N951" s="19" t="n">
        <x:v>347.96</x:v>
      </x:c>
      <x:c r="O951" s="4" t="n">
        <x:f>YEAR(C951)</x:f>
        <x:v>2025</x:v>
      </x:c>
      <x:c r="P951" s="4" t="str">
        <x:f>TEXT(C951,"yyyy-mm")</x:f>
        <x:v>2025-09</x:v>
      </x:c>
      <x:c r="Q951" s="4" t="str">
        <x:f>TEXT(C951,"mmmm")</x:f>
        <x:v>September</x:v>
      </x:c>
    </x:row>
    <x:row r="952" ht="20" customHeight="1">
      <x:c r="A952" s="4" t="inlineStr">
        <x:is>
          <x:t xml:space="preserve">LINE-00961</x:t>
        </x:is>
      </x:c>
      <x:c r="B952" s="4" t="inlineStr">
        <x:is>
          <x:t xml:space="preserve">ORD-2025-0598</x:t>
        </x:is>
      </x:c>
      <x:c r="C952" s="17" t="n">
        <x:v>45952</x:v>
      </x:c>
      <x:c r="D952" s="4" t="inlineStr">
        <x:is>
          <x:t xml:space="preserve">CUS-0009</x:t>
        </x:is>
      </x:c>
      <x:c r="E952" s="4" t="inlineStr">
        <x:is>
          <x:t xml:space="preserve">Keyboard</x:t>
        </x:is>
      </x:c>
      <x:c r="F952" s="4" t="inlineStr">
        <x:is>
          <x:t xml:space="preserve">Accessories</x:t>
        </x:is>
      </x:c>
      <x:c r="G952" s="4" t="inlineStr">
        <x:is>
          <x:t xml:space="preserve">Austin</x:t>
        </x:is>
      </x:c>
      <x:c r="H952" s="18" t="n">
        <x:v>2</x:v>
      </x:c>
      <x:c r="I952" s="19" t="n">
        <x:v>77.31999999999999</x:v>
      </x:c>
      <x:c r="J952" s="20" t="n">
        <x:v>0</x:v>
      </x:c>
      <x:c r="K952" s="4" t="inlineStr">
        <x:is>
          <x:t xml:space="preserve">Debit Card</x:t>
        </x:is>
      </x:c>
      <x:c r="L952" s="19" t="n">
        <x:v>154.64</x:v>
      </x:c>
      <x:c r="M952" s="19" t="n">
        <x:v>0</x:v>
      </x:c>
      <x:c r="N952" s="19" t="n">
        <x:v>154.64</x:v>
      </x:c>
      <x:c r="O952" s="4" t="n">
        <x:f>YEAR(C952)</x:f>
        <x:v>2025</x:v>
      </x:c>
      <x:c r="P952" s="4" t="str">
        <x:f>TEXT(C952,"yyyy-mm")</x:f>
        <x:v>2025-10</x:v>
      </x:c>
      <x:c r="Q952" s="4" t="str">
        <x:f>TEXT(C952,"mmmm")</x:f>
        <x:v>October</x:v>
      </x:c>
    </x:row>
    <x:row r="953" ht="20" customHeight="1">
      <x:c r="A953" s="4" t="inlineStr">
        <x:is>
          <x:t xml:space="preserve">LINE-00962</x:t>
        </x:is>
      </x:c>
      <x:c r="B953" s="4" t="inlineStr">
        <x:is>
          <x:t xml:space="preserve">ORD-2025-0598</x:t>
        </x:is>
      </x:c>
      <x:c r="C953" s="17" t="n">
        <x:v>45952</x:v>
      </x:c>
      <x:c r="D953" s="4" t="inlineStr">
        <x:is>
          <x:t xml:space="preserve">CUS-0009</x:t>
        </x:is>
      </x:c>
      <x:c r="E953" s="4" t="inlineStr">
        <x:is>
          <x:t xml:space="preserve">Webcam</x:t>
        </x:is>
      </x:c>
      <x:c r="F953" s="4" t="inlineStr">
        <x:is>
          <x:t xml:space="preserve">Accessories</x:t>
        </x:is>
      </x:c>
      <x:c r="G953" s="4" t="inlineStr">
        <x:is>
          <x:t xml:space="preserve">Austin</x:t>
        </x:is>
      </x:c>
      <x:c r="H953" s="18" t="n">
        <x:v>1</x:v>
      </x:c>
      <x:c r="I953" s="19" t="n">
        <x:v>88</x:v>
      </x:c>
      <x:c r="J953" s="20" t="n">
        <x:v>0.05</x:v>
      </x:c>
      <x:c r="K953" s="4" t="inlineStr">
        <x:is>
          <x:t xml:space="preserve">Debit Card</x:t>
        </x:is>
      </x:c>
      <x:c r="L953" s="19" t="n">
        <x:v>88</x:v>
      </x:c>
      <x:c r="M953" s="19" t="n">
        <x:v>4.4</x:v>
      </x:c>
      <x:c r="N953" s="19" t="n">
        <x:v>83.59999999999999</x:v>
      </x:c>
      <x:c r="O953" s="4" t="n">
        <x:f>YEAR(C953)</x:f>
        <x:v>2025</x:v>
      </x:c>
      <x:c r="P953" s="4" t="str">
        <x:f>TEXT(C953,"yyyy-mm")</x:f>
        <x:v>2025-10</x:v>
      </x:c>
      <x:c r="Q953" s="4" t="str">
        <x:f>TEXT(C953,"mmmm")</x:f>
        <x:v>October</x:v>
      </x:c>
    </x:row>
    <x:row r="954" ht="20" customHeight="1">
      <x:c r="A954" s="4" t="inlineStr">
        <x:is>
          <x:t xml:space="preserve">LINE-00963</x:t>
        </x:is>
      </x:c>
      <x:c r="B954" s="4" t="inlineStr">
        <x:is>
          <x:t xml:space="preserve">ORD-2025-0599</x:t>
        </x:is>
      </x:c>
      <x:c r="C954" s="17" t="n">
        <x:v>45840</x:v>
      </x:c>
      <x:c r="D954" s="4" t="inlineStr">
        <x:is>
          <x:t xml:space="preserve">CUS-0025</x:t>
        </x:is>
      </x:c>
      <x:c r="E954" s="4" t="inlineStr">
        <x:is>
          <x:t xml:space="preserve">Monitor</x:t>
        </x:is>
      </x:c>
      <x:c r="F954" s="4" t="inlineStr">
        <x:is>
          <x:t xml:space="preserve">Computers</x:t>
        </x:is>
      </x:c>
      <x:c r="G954" s="4" t="inlineStr">
        <x:is>
          <x:t xml:space="preserve">Austin</x:t>
        </x:is>
      </x:c>
      <x:c r="H954" s="18" t="n">
        <x:v>1</x:v>
      </x:c>
      <x:c r="I954" s="19" t="n">
        <x:v>285.74</x:v>
      </x:c>
      <x:c r="J954" s="20" t="n">
        <x:v>0.1</x:v>
      </x:c>
      <x:c r="K954" s="4" t="inlineStr">
        <x:is>
          <x:t xml:space="preserve">PayPal</x:t>
        </x:is>
      </x:c>
      <x:c r="L954" s="19" t="n">
        <x:v>285.74</x:v>
      </x:c>
      <x:c r="M954" s="19" t="n">
        <x:v>28.57</x:v>
      </x:c>
      <x:c r="N954" s="19" t="n">
        <x:v>257.17</x:v>
      </x:c>
      <x:c r="O954" s="4" t="n">
        <x:f>YEAR(C954)</x:f>
        <x:v>2025</x:v>
      </x:c>
      <x:c r="P954" s="4" t="str">
        <x:f>TEXT(C954,"yyyy-mm")</x:f>
        <x:v>2025-07</x:v>
      </x:c>
      <x:c r="Q954" s="4" t="str">
        <x:f>TEXT(C954,"mmmm")</x:f>
        <x:v>July</x:v>
      </x:c>
    </x:row>
    <x:row r="955" ht="20" customHeight="1">
      <x:c r="A955" s="4" t="inlineStr">
        <x:is>
          <x:t xml:space="preserve">LINE-00964</x:t>
        </x:is>
      </x:c>
      <x:c r="B955" s="4" t="inlineStr">
        <x:is>
          <x:t xml:space="preserve">ORD-2025-0599</x:t>
        </x:is>
      </x:c>
      <x:c r="C955" s="17" t="n">
        <x:v>45840</x:v>
      </x:c>
      <x:c r="D955" s="4" t="inlineStr">
        <x:is>
          <x:t xml:space="preserve">CUS-0025</x:t>
        </x:is>
      </x:c>
      <x:c r="E955" s="4" t="inlineStr">
        <x:is>
          <x:t xml:space="preserve">External SSD</x:t>
        </x:is>
      </x:c>
      <x:c r="F955" s="4" t="inlineStr">
        <x:is>
          <x:t xml:space="preserve">Storage</x:t>
        </x:is>
      </x:c>
      <x:c r="G955" s="4" t="inlineStr">
        <x:is>
          <x:t xml:space="preserve">Austin</x:t>
        </x:is>
      </x:c>
      <x:c r="H955" s="18" t="n">
        <x:v>2</x:v>
      </x:c>
      <x:c r="I955" s="19" t="n">
        <x:v>142.01</x:v>
      </x:c>
      <x:c r="J955" s="20" t="n">
        <x:v>0</x:v>
      </x:c>
      <x:c r="K955" s="4" t="inlineStr">
        <x:is>
          <x:t xml:space="preserve">PayPal</x:t>
        </x:is>
      </x:c>
      <x:c r="L955" s="19" t="n">
        <x:v>284.02</x:v>
      </x:c>
      <x:c r="M955" s="19" t="n">
        <x:v>0</x:v>
      </x:c>
      <x:c r="N955" s="19" t="n">
        <x:v>284.02</x:v>
      </x:c>
      <x:c r="O955" s="4" t="n">
        <x:f>YEAR(C955)</x:f>
        <x:v>2025</x:v>
      </x:c>
      <x:c r="P955" s="4" t="str">
        <x:f>TEXT(C955,"yyyy-mm")</x:f>
        <x:v>2025-07</x:v>
      </x:c>
      <x:c r="Q955" s="4" t="str">
        <x:f>TEXT(C955,"mmmm")</x:f>
        <x:v>July</x:v>
      </x:c>
    </x:row>
    <x:row r="956" ht="20" customHeight="1">
      <x:c r="A956" s="4" t="inlineStr">
        <x:is>
          <x:t xml:space="preserve">LINE-00965</x:t>
        </x:is>
      </x:c>
      <x:c r="B956" s="4" t="inlineStr">
        <x:is>
          <x:t xml:space="preserve">ORD-2025-0600</x:t>
        </x:is>
      </x:c>
      <x:c r="C956" s="17" t="n">
        <x:v>45819</x:v>
      </x:c>
      <x:c r="D956" s="4" t="inlineStr">
        <x:is>
          <x:t xml:space="preserve">CUS-0155</x:t>
        </x:is>
      </x:c>
      <x:c r="E956" s="4" t="inlineStr">
        <x:is>
          <x:t xml:space="preserve">USB Flash Drive</x:t>
        </x:is>
      </x:c>
      <x:c r="F956" s="4" t="inlineStr">
        <x:is>
          <x:t xml:space="preserve">Storage</x:t>
        </x:is>
      </x:c>
      <x:c r="G956" s="4" t="inlineStr">
        <x:is>
          <x:t xml:space="preserve">Austin</x:t>
        </x:is>
      </x:c>
      <x:c r="H956" s="18" t="n">
        <x:v>1</x:v>
      </x:c>
      <x:c r="I956" s="19" t="n">
        <x:v>28.29</x:v>
      </x:c>
      <x:c r="J956" s="20" t="n">
        <x:v>0</x:v>
      </x:c>
      <x:c r="K956" s="4" t="inlineStr">
        <x:is>
          <x:t xml:space="preserve">PayPal</x:t>
        </x:is>
      </x:c>
      <x:c r="L956" s="19" t="n">
        <x:v>28.29</x:v>
      </x:c>
      <x:c r="M956" s="19" t="n">
        <x:v>0</x:v>
      </x:c>
      <x:c r="N956" s="19" t="n">
        <x:v>28.29</x:v>
      </x:c>
      <x:c r="O956" s="4" t="n">
        <x:f>YEAR(C956)</x:f>
        <x:v>2025</x:v>
      </x:c>
      <x:c r="P956" s="4" t="str">
        <x:f>TEXT(C956,"yyyy-mm")</x:f>
        <x:v>2025-06</x:v>
      </x:c>
      <x:c r="Q956" s="4" t="str">
        <x:f>TEXT(C956,"mmmm")</x:f>
        <x:v>June</x:v>
      </x:c>
    </x:row>
    <x:row r="957" ht="20" customHeight="1">
      <x:c r="A957" s="4" t="inlineStr">
        <x:is>
          <x:t xml:space="preserve">LINE-00966</x:t>
        </x:is>
      </x:c>
      <x:c r="B957" s="4" t="inlineStr">
        <x:is>
          <x:t xml:space="preserve">ORD-2025-0601</x:t>
        </x:is>
      </x:c>
      <x:c r="C957" s="17" t="n">
        <x:v>45802</x:v>
      </x:c>
      <x:c r="D957" s="4" t="inlineStr">
        <x:is>
          <x:t xml:space="preserve">CUS-0191</x:t>
        </x:is>
      </x:c>
      <x:c r="E957" s="4" t="inlineStr">
        <x:is>
          <x:t xml:space="preserve">Keyboard</x:t>
        </x:is>
      </x:c>
      <x:c r="F957" s="4" t="inlineStr">
        <x:is>
          <x:t xml:space="preserve">Accessories</x:t>
        </x:is>
      </x:c>
      <x:c r="G957" s="4" t="inlineStr">
        <x:is>
          <x:t xml:space="preserve">Seattle</x:t>
        </x:is>
      </x:c>
      <x:c r="H957" s="18" t="n">
        <x:v>1</x:v>
      </x:c>
      <x:c r="I957" s="19" t="n">
        <x:v>70.84999999999999</x:v>
      </x:c>
      <x:c r="J957" s="20" t="n">
        <x:v>0</x:v>
      </x:c>
      <x:c r="K957" s="4" t="inlineStr">
        <x:is>
          <x:t xml:space="preserve">Bank Transfer</x:t>
        </x:is>
      </x:c>
      <x:c r="L957" s="19" t="n">
        <x:v>70.84999999999999</x:v>
      </x:c>
      <x:c r="M957" s="19" t="n">
        <x:v>0</x:v>
      </x:c>
      <x:c r="N957" s="19" t="n">
        <x:v>70.84999999999999</x:v>
      </x:c>
      <x:c r="O957" s="4" t="n">
        <x:f>YEAR(C957)</x:f>
        <x:v>2025</x:v>
      </x:c>
      <x:c r="P957" s="4" t="str">
        <x:f>TEXT(C957,"yyyy-mm")</x:f>
        <x:v>2025-05</x:v>
      </x:c>
      <x:c r="Q957" s="4" t="str">
        <x:f>TEXT(C957,"mmmm")</x:f>
        <x:v>May</x:v>
      </x:c>
    </x:row>
    <x:row r="958" ht="20" customHeight="1">
      <x:c r="A958" s="4" t="inlineStr">
        <x:is>
          <x:t xml:space="preserve">LINE-00967</x:t>
        </x:is>
      </x:c>
      <x:c r="B958" s="4" t="inlineStr">
        <x:is>
          <x:t xml:space="preserve">ORD-2025-0602</x:t>
        </x:is>
      </x:c>
      <x:c r="C958" s="17" t="n">
        <x:v>45754</x:v>
      </x:c>
      <x:c r="D958" s="4" t="inlineStr">
        <x:is>
          <x:t xml:space="preserve">CUS-0287</x:t>
        </x:is>
      </x:c>
      <x:c r="E958" s="4" t="inlineStr">
        <x:is>
          <x:t xml:space="preserve">Monitor</x:t>
        </x:is>
      </x:c>
      <x:c r="F958" s="4" t="inlineStr">
        <x:is>
          <x:t xml:space="preserve">Computers</x:t>
        </x:is>
      </x:c>
      <x:c r="G958" s="4" t="inlineStr">
        <x:is>
          <x:t xml:space="preserve">Boston</x:t>
        </x:is>
      </x:c>
      <x:c r="H958" s="18" t="n">
        <x:v>1</x:v>
      </x:c>
      <x:c r="I958" s="19" t="n">
        <x:v>263.48</x:v>
      </x:c>
      <x:c r="J958" s="20" t="n">
        <x:v>0</x:v>
      </x:c>
      <x:c r="K958" s="4" t="inlineStr">
        <x:is>
          <x:t xml:space="preserve">Credit Card</x:t>
        </x:is>
      </x:c>
      <x:c r="L958" s="19" t="n">
        <x:v>263.48</x:v>
      </x:c>
      <x:c r="M958" s="19" t="n">
        <x:v>0</x:v>
      </x:c>
      <x:c r="N958" s="19" t="n">
        <x:v>263.48</x:v>
      </x:c>
      <x:c r="O958" s="4" t="n">
        <x:f>YEAR(C958)</x:f>
        <x:v>2025</x:v>
      </x:c>
      <x:c r="P958" s="4" t="str">
        <x:f>TEXT(C958,"yyyy-mm")</x:f>
        <x:v>2025-04</x:v>
      </x:c>
      <x:c r="Q958" s="4" t="str">
        <x:f>TEXT(C958,"mmmm")</x:f>
        <x:v>April</x:v>
      </x:c>
    </x:row>
    <x:row r="959" ht="20" customHeight="1">
      <x:c r="A959" s="4" t="inlineStr">
        <x:is>
          <x:t xml:space="preserve">LINE-00968</x:t>
        </x:is>
      </x:c>
      <x:c r="B959" s="4" t="inlineStr">
        <x:is>
          <x:t xml:space="preserve">ORD-2025-0603</x:t>
        </x:is>
      </x:c>
      <x:c r="C959" s="17" t="n">
        <x:v>45836</x:v>
      </x:c>
      <x:c r="D959" s="4" t="inlineStr">
        <x:is>
          <x:t xml:space="preserve">CUS-0160</x:t>
        </x:is>
      </x:c>
      <x:c r="E959" s="4" t="inlineStr">
        <x:is>
          <x:t xml:space="preserve">Bluetooth Speaker</x:t>
        </x:is>
      </x:c>
      <x:c r="F959" s="4" t="inlineStr">
        <x:is>
          <x:t xml:space="preserve">Audio</x:t>
        </x:is>
      </x:c>
      <x:c r="G959" s="4" t="inlineStr">
        <x:is>
          <x:t xml:space="preserve">San Francisco</x:t>
        </x:is>
      </x:c>
      <x:c r="H959" s="18" t="n">
        <x:v>4</x:v>
      </x:c>
      <x:c r="I959" s="19" t="n">
        <x:v>111.72</x:v>
      </x:c>
      <x:c r="J959" s="20" t="n">
        <x:v>0.1</x:v>
      </x:c>
      <x:c r="K959" s="4" t="inlineStr">
        <x:is>
          <x:t xml:space="preserve">PayPal</x:t>
        </x:is>
      </x:c>
      <x:c r="L959" s="19" t="n">
        <x:v>446.88</x:v>
      </x:c>
      <x:c r="M959" s="19" t="n">
        <x:v>44.69</x:v>
      </x:c>
      <x:c r="N959" s="19" t="n">
        <x:v>402.19</x:v>
      </x:c>
      <x:c r="O959" s="4" t="n">
        <x:f>YEAR(C959)</x:f>
        <x:v>2025</x:v>
      </x:c>
      <x:c r="P959" s="4" t="str">
        <x:f>TEXT(C959,"yyyy-mm")</x:f>
        <x:v>2025-06</x:v>
      </x:c>
      <x:c r="Q959" s="4" t="str">
        <x:f>TEXT(C959,"mmmm")</x:f>
        <x:v>June</x:v>
      </x:c>
    </x:row>
    <x:row r="960" ht="20" customHeight="1">
      <x:c r="A960" s="4" t="inlineStr">
        <x:is>
          <x:t xml:space="preserve">LINE-00969</x:t>
        </x:is>
      </x:c>
      <x:c r="B960" s="4" t="inlineStr">
        <x:is>
          <x:t xml:space="preserve">ORD-2025-0604</x:t>
        </x:is>
      </x:c>
      <x:c r="C960" s="17" t="n">
        <x:v>45833</x:v>
      </x:c>
      <x:c r="D960" s="4" t="inlineStr">
        <x:is>
          <x:t xml:space="preserve">CUS-0089</x:t>
        </x:is>
      </x:c>
      <x:c r="E960" s="4" t="inlineStr">
        <x:is>
          <x:t xml:space="preserve">Monitor</x:t>
        </x:is>
      </x:c>
      <x:c r="F960" s="4" t="inlineStr">
        <x:is>
          <x:t xml:space="preserve">Computers</x:t>
        </x:is>
      </x:c>
      <x:c r="G960" s="4" t="inlineStr">
        <x:is>
          <x:t xml:space="preserve">San Francisco</x:t>
        </x:is>
      </x:c>
      <x:c r="H960" s="18" t="n">
        <x:v>1</x:v>
      </x:c>
      <x:c r="I960" s="19" t="n">
        <x:v>295.99</x:v>
      </x:c>
      <x:c r="J960" s="20" t="n">
        <x:v>0</x:v>
      </x:c>
      <x:c r="K960" s="4" t="inlineStr">
        <x:is>
          <x:t xml:space="preserve">PayPal</x:t>
        </x:is>
      </x:c>
      <x:c r="L960" s="19" t="n">
        <x:v>295.99</x:v>
      </x:c>
      <x:c r="M960" s="19" t="n">
        <x:v>0</x:v>
      </x:c>
      <x:c r="N960" s="19" t="n">
        <x:v>295.99</x:v>
      </x:c>
      <x:c r="O960" s="4" t="n">
        <x:f>YEAR(C960)</x:f>
        <x:v>2025</x:v>
      </x:c>
      <x:c r="P960" s="4" t="str">
        <x:f>TEXT(C960,"yyyy-mm")</x:f>
        <x:v>2025-06</x:v>
      </x:c>
      <x:c r="Q960" s="4" t="str">
        <x:f>TEXT(C960,"mmmm")</x:f>
        <x:v>June</x:v>
      </x:c>
    </x:row>
    <x:row r="961" ht="20" customHeight="1">
      <x:c r="A961" s="4" t="inlineStr">
        <x:is>
          <x:t xml:space="preserve">LINE-00970</x:t>
        </x:is>
      </x:c>
      <x:c r="B961" s="4" t="inlineStr">
        <x:is>
          <x:t xml:space="preserve">ORD-2025-0605</x:t>
        </x:is>
      </x:c>
      <x:c r="C961" s="17" t="n">
        <x:v>45774</x:v>
      </x:c>
      <x:c r="D961" s="4" t="inlineStr">
        <x:is>
          <x:t xml:space="preserve">CUS-0158</x:t>
        </x:is>
      </x:c>
      <x:c r="E961" s="4" t="inlineStr">
        <x:is>
          <x:t xml:space="preserve">Monitor</x:t>
        </x:is>
      </x:c>
      <x:c r="F961" s="4" t="inlineStr">
        <x:is>
          <x:t xml:space="preserve">Computers</x:t>
        </x:is>
      </x:c>
      <x:c r="G961" s="4" t="inlineStr">
        <x:is>
          <x:t xml:space="preserve">Chicago</x:t>
        </x:is>
      </x:c>
      <x:c r="H961" s="18" t="n">
        <x:v>2</x:v>
      </x:c>
      <x:c r="I961" s="19" t="n">
        <x:v>291.78</x:v>
      </x:c>
      <x:c r="J961" s="20" t="n">
        <x:v>0</x:v>
      </x:c>
      <x:c r="K961" s="4" t="inlineStr">
        <x:is>
          <x:t xml:space="preserve">Debit Card</x:t>
        </x:is>
      </x:c>
      <x:c r="L961" s="19" t="n">
        <x:v>583.5599999999999</x:v>
      </x:c>
      <x:c r="M961" s="19" t="n">
        <x:v>0</x:v>
      </x:c>
      <x:c r="N961" s="19" t="n">
        <x:v>583.5599999999999</x:v>
      </x:c>
      <x:c r="O961" s="4" t="n">
        <x:f>YEAR(C961)</x:f>
        <x:v>2025</x:v>
      </x:c>
      <x:c r="P961" s="4" t="str">
        <x:f>TEXT(C961,"yyyy-mm")</x:f>
        <x:v>2025-04</x:v>
      </x:c>
      <x:c r="Q961" s="4" t="str">
        <x:f>TEXT(C961,"mmmm")</x:f>
        <x:v>April</x:v>
      </x:c>
    </x:row>
    <x:row r="962" ht="20" customHeight="1">
      <x:c r="A962" s="4" t="inlineStr">
        <x:is>
          <x:t xml:space="preserve">LINE-00971</x:t>
        </x:is>
      </x:c>
      <x:c r="B962" s="4" t="inlineStr">
        <x:is>
          <x:t xml:space="preserve">ORD-2025-0606</x:t>
        </x:is>
      </x:c>
      <x:c r="C962" s="17" t="n">
        <x:v>45667</x:v>
      </x:c>
      <x:c r="D962" s="4" t="inlineStr">
        <x:is>
          <x:t xml:space="preserve">CUS-0248</x:t>
        </x:is>
      </x:c>
      <x:c r="E962" s="4" t="inlineStr">
        <x:is>
          <x:t xml:space="preserve">Laptop</x:t>
        </x:is>
      </x:c>
      <x:c r="F962" s="4" t="inlineStr">
        <x:is>
          <x:t xml:space="preserve">Computers</x:t>
        </x:is>
      </x:c>
      <x:c r="G962" s="4" t="inlineStr">
        <x:is>
          <x:t xml:space="preserve">Seattle</x:t>
        </x:is>
      </x:c>
      <x:c r="H962" s="18" t="n">
        <x:v>3</x:v>
      </x:c>
      <x:c r="I962" s="19" t="n">
        <x:v>952.05</x:v>
      </x:c>
      <x:c r="J962" s="20" t="n">
        <x:v>0</x:v>
      </x:c>
      <x:c r="K962" s="4" t="inlineStr">
        <x:is>
          <x:t xml:space="preserve">Credit Card</x:t>
        </x:is>
      </x:c>
      <x:c r="L962" s="19" t="n">
        <x:v>2856.15</x:v>
      </x:c>
      <x:c r="M962" s="19" t="n">
        <x:v>0</x:v>
      </x:c>
      <x:c r="N962" s="19" t="n">
        <x:v>2856.15</x:v>
      </x:c>
      <x:c r="O962" s="4" t="n">
        <x:f>YEAR(C962)</x:f>
        <x:v>2025</x:v>
      </x:c>
      <x:c r="P962" s="4" t="str">
        <x:f>TEXT(C962,"yyyy-mm")</x:f>
        <x:v>2025-01</x:v>
      </x:c>
      <x:c r="Q962" s="4" t="str">
        <x:f>TEXT(C962,"mmmm")</x:f>
        <x:v>January</x:v>
      </x:c>
    </x:row>
    <x:row r="963" ht="20" customHeight="1">
      <x:c r="A963" s="4" t="inlineStr">
        <x:is>
          <x:t xml:space="preserve">LINE-00972</x:t>
        </x:is>
      </x:c>
      <x:c r="B963" s="4" t="inlineStr">
        <x:is>
          <x:t xml:space="preserve">ORD-2025-0607</x:t>
        </x:is>
      </x:c>
      <x:c r="C963" s="17" t="n">
        <x:v>45718</x:v>
      </x:c>
      <x:c r="D963" s="4" t="inlineStr">
        <x:is>
          <x:t xml:space="preserve">CUS-0130</x:t>
        </x:is>
      </x:c>
      <x:c r="E963" s="4" t="inlineStr">
        <x:is>
          <x:t xml:space="preserve">Laptop</x:t>
        </x:is>
      </x:c>
      <x:c r="F963" s="4" t="inlineStr">
        <x:is>
          <x:t xml:space="preserve">Computers</x:t>
        </x:is>
      </x:c>
      <x:c r="G963" s="4" t="inlineStr">
        <x:is>
          <x:t xml:space="preserve">New York</x:t>
        </x:is>
      </x:c>
      <x:c r="H963" s="18" t="n">
        <x:v>3</x:v>
      </x:c>
      <x:c r="I963" s="19" t="n">
        <x:v>992.92</x:v>
      </x:c>
      <x:c r="J963" s="20" t="n">
        <x:v>0.15</x:v>
      </x:c>
      <x:c r="K963" s="4" t="inlineStr">
        <x:is>
          <x:t xml:space="preserve">Credit Card</x:t>
        </x:is>
      </x:c>
      <x:c r="L963" s="19" t="n">
        <x:v>2978.76</x:v>
      </x:c>
      <x:c r="M963" s="19" t="n">
        <x:v>446.81</x:v>
      </x:c>
      <x:c r="N963" s="19" t="n">
        <x:v>2531.95</x:v>
      </x:c>
      <x:c r="O963" s="4" t="n">
        <x:f>YEAR(C963)</x:f>
        <x:v>2025</x:v>
      </x:c>
      <x:c r="P963" s="4" t="str">
        <x:f>TEXT(C963,"yyyy-mm")</x:f>
        <x:v>2025-03</x:v>
      </x:c>
      <x:c r="Q963" s="4" t="str">
        <x:f>TEXT(C963,"mmmm")</x:f>
        <x:v>March</x:v>
      </x:c>
    </x:row>
    <x:row r="964" ht="20" customHeight="1">
      <x:c r="A964" s="4" t="inlineStr">
        <x:is>
          <x:t xml:space="preserve">LINE-00973</x:t>
        </x:is>
      </x:c>
      <x:c r="B964" s="4" t="inlineStr">
        <x:is>
          <x:t xml:space="preserve">ORD-2025-0608</x:t>
        </x:is>
      </x:c>
      <x:c r="C964" s="17" t="n">
        <x:v>45763</x:v>
      </x:c>
      <x:c r="D964" s="4" t="inlineStr">
        <x:is>
          <x:t xml:space="preserve">CUS-0301</x:t>
        </x:is>
      </x:c>
      <x:c r="E964" s="4" t="inlineStr">
        <x:is>
          <x:t xml:space="preserve">Laptop</x:t>
        </x:is>
      </x:c>
      <x:c r="F964" s="4" t="inlineStr">
        <x:is>
          <x:t xml:space="preserve">Computers</x:t>
        </x:is>
      </x:c>
      <x:c r="G964" s="4" t="inlineStr">
        <x:is>
          <x:t xml:space="preserve">Chicago</x:t>
        </x:is>
      </x:c>
      <x:c r="H964" s="18" t="n">
        <x:v>1</x:v>
      </x:c>
      <x:c r="I964" s="19" t="n">
        <x:v>987.42</x:v>
      </x:c>
      <x:c r="J964" s="20" t="n">
        <x:v>0</x:v>
      </x:c>
      <x:c r="K964" s="4" t="inlineStr">
        <x:is>
          <x:t xml:space="preserve">Debit Card</x:t>
        </x:is>
      </x:c>
      <x:c r="L964" s="19" t="n">
        <x:v>987.42</x:v>
      </x:c>
      <x:c r="M964" s="19" t="n">
        <x:v>0</x:v>
      </x:c>
      <x:c r="N964" s="19" t="n">
        <x:v>987.42</x:v>
      </x:c>
      <x:c r="O964" s="4" t="n">
        <x:f>YEAR(C964)</x:f>
        <x:v>2025</x:v>
      </x:c>
      <x:c r="P964" s="4" t="str">
        <x:f>TEXT(C964,"yyyy-mm")</x:f>
        <x:v>2025-04</x:v>
      </x:c>
      <x:c r="Q964" s="4" t="str">
        <x:f>TEXT(C964,"mmmm")</x:f>
        <x:v>April</x:v>
      </x:c>
    </x:row>
    <x:row r="965" ht="20" customHeight="1">
      <x:c r="A965" s="4" t="inlineStr">
        <x:is>
          <x:t xml:space="preserve">LINE-00974</x:t>
        </x:is>
      </x:c>
      <x:c r="B965" s="4" t="inlineStr">
        <x:is>
          <x:t xml:space="preserve">ORD-2025-0608</x:t>
        </x:is>
      </x:c>
      <x:c r="C965" s="17" t="n">
        <x:v>45763</x:v>
      </x:c>
      <x:c r="D965" s="4" t="inlineStr">
        <x:is>
          <x:t xml:space="preserve">CUS-0301</x:t>
        </x:is>
      </x:c>
      <x:c r="E965" s="4" t="inlineStr">
        <x:is>
          <x:t xml:space="preserve">Monitor</x:t>
        </x:is>
      </x:c>
      <x:c r="F965" s="4" t="inlineStr">
        <x:is>
          <x:t xml:space="preserve">Computers</x:t>
        </x:is>
      </x:c>
      <x:c r="G965" s="4" t="inlineStr">
        <x:is>
          <x:t xml:space="preserve">Chicago</x:t>
        </x:is>
      </x:c>
      <x:c r="H965" s="18" t="n">
        <x:v>2</x:v>
      </x:c>
      <x:c r="I965" s="19" t="n">
        <x:v>273.38</x:v>
      </x:c>
      <x:c r="J965" s="20" t="n">
        <x:v>0.1</x:v>
      </x:c>
      <x:c r="K965" s="4" t="inlineStr">
        <x:is>
          <x:t xml:space="preserve">Debit Card</x:t>
        </x:is>
      </x:c>
      <x:c r="L965" s="19" t="n">
        <x:v>546.76</x:v>
      </x:c>
      <x:c r="M965" s="19" t="n">
        <x:v>54.68</x:v>
      </x:c>
      <x:c r="N965" s="19" t="n">
        <x:v>492.08</x:v>
      </x:c>
      <x:c r="O965" s="4" t="n">
        <x:f>YEAR(C965)</x:f>
        <x:v>2025</x:v>
      </x:c>
      <x:c r="P965" s="4" t="str">
        <x:f>TEXT(C965,"yyyy-mm")</x:f>
        <x:v>2025-04</x:v>
      </x:c>
      <x:c r="Q965" s="4" t="str">
        <x:f>TEXT(C965,"mmmm")</x:f>
        <x:v>April</x:v>
      </x:c>
    </x:row>
    <x:row r="966" ht="20" customHeight="1">
      <x:c r="A966" s="4" t="inlineStr">
        <x:is>
          <x:t xml:space="preserve">LINE-00975</x:t>
        </x:is>
      </x:c>
      <x:c r="B966" s="4" t="inlineStr">
        <x:is>
          <x:t xml:space="preserve">ORD-2025-0609</x:t>
        </x:is>
      </x:c>
      <x:c r="C966" s="17" t="n">
        <x:v>45971</x:v>
      </x:c>
      <x:c r="D966" s="4" t="inlineStr">
        <x:is>
          <x:t xml:space="preserve">CUS-0124</x:t>
        </x:is>
      </x:c>
      <x:c r="E966" s="4" t="inlineStr">
        <x:is>
          <x:t xml:space="preserve">USB Flash Drive</x:t>
        </x:is>
      </x:c>
      <x:c r="F966" s="4" t="inlineStr">
        <x:is>
          <x:t xml:space="preserve">Storage</x:t>
        </x:is>
      </x:c>
      <x:c r="G966" s="4" t="inlineStr">
        <x:is>
          <x:t xml:space="preserve">Boston</x:t>
        </x:is>
      </x:c>
      <x:c r="H966" s="18" t="n">
        <x:v>3</x:v>
      </x:c>
      <x:c r="I966" s="19" t="n">
        <x:v>30.14</x:v>
      </x:c>
      <x:c r="J966" s="20" t="n">
        <x:v>0.1</x:v>
      </x:c>
      <x:c r="K966" s="4" t="inlineStr">
        <x:is>
          <x:t xml:space="preserve">Credit Card</x:t>
        </x:is>
      </x:c>
      <x:c r="L966" s="19" t="n">
        <x:v>90.42</x:v>
      </x:c>
      <x:c r="M966" s="19" t="n">
        <x:v>9.039999999999999</x:v>
      </x:c>
      <x:c r="N966" s="19" t="n">
        <x:v>81.38</x:v>
      </x:c>
      <x:c r="O966" s="4" t="n">
        <x:f>YEAR(C966)</x:f>
        <x:v>2025</x:v>
      </x:c>
      <x:c r="P966" s="4" t="str">
        <x:f>TEXT(C966,"yyyy-mm")</x:f>
        <x:v>2025-11</x:v>
      </x:c>
      <x:c r="Q966" s="4" t="str">
        <x:f>TEXT(C966,"mmmm")</x:f>
        <x:v>November</x:v>
      </x:c>
    </x:row>
    <x:row r="967" ht="20" customHeight="1">
      <x:c r="A967" s="4" t="inlineStr">
        <x:is>
          <x:t xml:space="preserve">LINE-00976</x:t>
        </x:is>
      </x:c>
      <x:c r="B967" s="4" t="inlineStr">
        <x:is>
          <x:t xml:space="preserve">ORD-2025-0610</x:t>
        </x:is>
      </x:c>
      <x:c r="C967" s="17" t="n">
        <x:v>45802</x:v>
      </x:c>
      <x:c r="D967" s="4" t="inlineStr">
        <x:is>
          <x:t xml:space="preserve">CUS-0088</x:t>
        </x:is>
      </x:c>
      <x:c r="E967" s="4" t="inlineStr">
        <x:is>
          <x:t xml:space="preserve">Monitor</x:t>
        </x:is>
      </x:c>
      <x:c r="F967" s="4" t="inlineStr">
        <x:is>
          <x:t xml:space="preserve">Computers</x:t>
        </x:is>
      </x:c>
      <x:c r="G967" s="4" t="inlineStr">
        <x:is>
          <x:t xml:space="preserve">Boston</x:t>
        </x:is>
      </x:c>
      <x:c r="H967" s="18" t="n">
        <x:v>3</x:v>
      </x:c>
      <x:c r="I967" s="19" t="n">
        <x:v>278.87</x:v>
      </x:c>
      <x:c r="J967" s="20" t="n">
        <x:v>0.05</x:v>
      </x:c>
      <x:c r="K967" s="4" t="inlineStr">
        <x:is>
          <x:t xml:space="preserve">Credit Card</x:t>
        </x:is>
      </x:c>
      <x:c r="L967" s="19" t="n">
        <x:v>836.61</x:v>
      </x:c>
      <x:c r="M967" s="19" t="n">
        <x:v>41.83</x:v>
      </x:c>
      <x:c r="N967" s="19" t="n">
        <x:v>794.78</x:v>
      </x:c>
      <x:c r="O967" s="4" t="n">
        <x:f>YEAR(C967)</x:f>
        <x:v>2025</x:v>
      </x:c>
      <x:c r="P967" s="4" t="str">
        <x:f>TEXT(C967,"yyyy-mm")</x:f>
        <x:v>2025-05</x:v>
      </x:c>
      <x:c r="Q967" s="4" t="str">
        <x:f>TEXT(C967,"mmmm")</x:f>
        <x:v>May</x:v>
      </x:c>
    </x:row>
    <x:row r="968" ht="20" customHeight="1">
      <x:c r="A968" s="4" t="inlineStr">
        <x:is>
          <x:t xml:space="preserve">LINE-00977</x:t>
        </x:is>
      </x:c>
      <x:c r="B968" s="4" t="inlineStr">
        <x:is>
          <x:t xml:space="preserve">ORD-2025-0610</x:t>
        </x:is>
      </x:c>
      <x:c r="C968" s="17" t="n">
        <x:v>45802</x:v>
      </x:c>
      <x:c r="D968" s="4" t="inlineStr">
        <x:is>
          <x:t xml:space="preserve">CUS-0088</x:t>
        </x:is>
      </x:c>
      <x:c r="E968" s="4" t="inlineStr">
        <x:is>
          <x:t xml:space="preserve">Wireless Mouse</x:t>
        </x:is>
      </x:c>
      <x:c r="F968" s="4" t="inlineStr">
        <x:is>
          <x:t xml:space="preserve">Accessories</x:t>
        </x:is>
      </x:c>
      <x:c r="G968" s="4" t="inlineStr">
        <x:is>
          <x:t xml:space="preserve">Boston</x:t>
        </x:is>
      </x:c>
      <x:c r="H968" s="18" t="n">
        <x:v>1</x:v>
      </x:c>
      <x:c r="I968" s="19" t="n">
        <x:v>46.25</x:v>
      </x:c>
      <x:c r="J968" s="20" t="n">
        <x:v>0</x:v>
      </x:c>
      <x:c r="K968" s="4" t="inlineStr">
        <x:is>
          <x:t xml:space="preserve">Credit Card</x:t>
        </x:is>
      </x:c>
      <x:c r="L968" s="19" t="n">
        <x:v>46.25</x:v>
      </x:c>
      <x:c r="M968" s="19" t="n">
        <x:v>0</x:v>
      </x:c>
      <x:c r="N968" s="19" t="n">
        <x:v>46.25</x:v>
      </x:c>
      <x:c r="O968" s="4" t="n">
        <x:f>YEAR(C968)</x:f>
        <x:v>2025</x:v>
      </x:c>
      <x:c r="P968" s="4" t="str">
        <x:f>TEXT(C968,"yyyy-mm")</x:f>
        <x:v>2025-05</x:v>
      </x:c>
      <x:c r="Q968" s="4" t="str">
        <x:f>TEXT(C968,"mmmm")</x:f>
        <x:v>May</x:v>
      </x:c>
    </x:row>
    <x:row r="969" ht="20" customHeight="1">
      <x:c r="A969" s="4" t="inlineStr">
        <x:is>
          <x:t xml:space="preserve">LINE-00978</x:t>
        </x:is>
      </x:c>
      <x:c r="B969" s="4" t="inlineStr">
        <x:is>
          <x:t xml:space="preserve">ORD-2025-0610</x:t>
        </x:is>
      </x:c>
      <x:c r="C969" s="17" t="n">
        <x:v>45802</x:v>
      </x:c>
      <x:c r="D969" s="4" t="inlineStr">
        <x:is>
          <x:t xml:space="preserve">CUS-0088</x:t>
        </x:is>
      </x:c>
      <x:c r="E969" s="4" t="inlineStr">
        <x:is>
          <x:t xml:space="preserve">External SSD</x:t>
        </x:is>
      </x:c>
      <x:c r="F969" s="4" t="inlineStr">
        <x:is>
          <x:t xml:space="preserve">Storage</x:t>
        </x:is>
      </x:c>
      <x:c r="G969" s="4" t="inlineStr">
        <x:is>
          <x:t xml:space="preserve">Boston</x:t>
        </x:is>
      </x:c>
      <x:c r="H969" s="18" t="n">
        <x:v>3</x:v>
      </x:c>
      <x:c r="I969" s="19" t="n">
        <x:v>161.55</x:v>
      </x:c>
      <x:c r="J969" s="20" t="n">
        <x:v>0</x:v>
      </x:c>
      <x:c r="K969" s="4" t="inlineStr">
        <x:is>
          <x:t xml:space="preserve">Credit Card</x:t>
        </x:is>
      </x:c>
      <x:c r="L969" s="19" t="n">
        <x:v>484.65</x:v>
      </x:c>
      <x:c r="M969" s="19" t="n">
        <x:v>0</x:v>
      </x:c>
      <x:c r="N969" s="19" t="n">
        <x:v>484.65</x:v>
      </x:c>
      <x:c r="O969" s="4" t="n">
        <x:f>YEAR(C969)</x:f>
        <x:v>2025</x:v>
      </x:c>
      <x:c r="P969" s="4" t="str">
        <x:f>TEXT(C969,"yyyy-mm")</x:f>
        <x:v>2025-05</x:v>
      </x:c>
      <x:c r="Q969" s="4" t="str">
        <x:f>TEXT(C969,"mmmm")</x:f>
        <x:v>May</x:v>
      </x:c>
    </x:row>
    <x:row r="970" ht="20" customHeight="1">
      <x:c r="A970" s="4" t="inlineStr">
        <x:is>
          <x:t xml:space="preserve">LINE-00979</x:t>
        </x:is>
      </x:c>
      <x:c r="B970" s="4" t="inlineStr">
        <x:is>
          <x:t xml:space="preserve">ORD-2025-0611</x:t>
        </x:is>
      </x:c>
      <x:c r="C970" s="17" t="n">
        <x:v>45921</x:v>
      </x:c>
      <x:c r="D970" s="4" t="inlineStr">
        <x:is>
          <x:t xml:space="preserve">CUS-0117</x:t>
        </x:is>
      </x:c>
      <x:c r="E970" s="4" t="inlineStr">
        <x:is>
          <x:t xml:space="preserve">Webcam</x:t>
        </x:is>
      </x:c>
      <x:c r="F970" s="4" t="inlineStr">
        <x:is>
          <x:t xml:space="preserve">Accessories</x:t>
        </x:is>
      </x:c>
      <x:c r="G970" s="4" t="inlineStr">
        <x:is>
          <x:t xml:space="preserve">Seattle</x:t>
        </x:is>
      </x:c>
      <x:c r="H970" s="18" t="n">
        <x:v>2</x:v>
      </x:c>
      <x:c r="I970" s="19" t="n">
        <x:v>90.28</x:v>
      </x:c>
      <x:c r="J970" s="20" t="n">
        <x:v>0.05</x:v>
      </x:c>
      <x:c r="K970" s="4" t="inlineStr">
        <x:is>
          <x:t xml:space="preserve">Credit Card</x:t>
        </x:is>
      </x:c>
      <x:c r="L970" s="19" t="n">
        <x:v>180.56</x:v>
      </x:c>
      <x:c r="M970" s="19" t="n">
        <x:v>9.029999999999999</x:v>
      </x:c>
      <x:c r="N970" s="19" t="n">
        <x:v>171.53</x:v>
      </x:c>
      <x:c r="O970" s="4" t="n">
        <x:f>YEAR(C970)</x:f>
        <x:v>2025</x:v>
      </x:c>
      <x:c r="P970" s="4" t="str">
        <x:f>TEXT(C970,"yyyy-mm")</x:f>
        <x:v>2025-09</x:v>
      </x:c>
      <x:c r="Q970" s="4" t="str">
        <x:f>TEXT(C970,"mmmm")</x:f>
        <x:v>September</x:v>
      </x:c>
    </x:row>
    <x:row r="971" ht="20" customHeight="1">
      <x:c r="A971" s="4" t="inlineStr">
        <x:is>
          <x:t xml:space="preserve">LINE-00980</x:t>
        </x:is>
      </x:c>
      <x:c r="B971" s="4" t="inlineStr">
        <x:is>
          <x:t xml:space="preserve">ORD-2025-0611</x:t>
        </x:is>
      </x:c>
      <x:c r="C971" s="17" t="n">
        <x:v>45921</x:v>
      </x:c>
      <x:c r="D971" s="4" t="inlineStr">
        <x:is>
          <x:t xml:space="preserve">CUS-0117</x:t>
        </x:is>
      </x:c>
      <x:c r="E971" s="4" t="inlineStr">
        <x:is>
          <x:t xml:space="preserve">Monitor</x:t>
        </x:is>
      </x:c>
      <x:c r="F971" s="4" t="inlineStr">
        <x:is>
          <x:t xml:space="preserve">Computers</x:t>
        </x:is>
      </x:c>
      <x:c r="G971" s="4" t="inlineStr">
        <x:is>
          <x:t xml:space="preserve">Seattle</x:t>
        </x:is>
      </x:c>
      <x:c r="H971" s="18" t="n">
        <x:v>1</x:v>
      </x:c>
      <x:c r="I971" s="19" t="n">
        <x:v>270.51</x:v>
      </x:c>
      <x:c r="J971" s="20" t="n">
        <x:v>0.1</x:v>
      </x:c>
      <x:c r="K971" s="4" t="inlineStr">
        <x:is>
          <x:t xml:space="preserve">Credit Card</x:t>
        </x:is>
      </x:c>
      <x:c r="L971" s="19" t="n">
        <x:v>270.51</x:v>
      </x:c>
      <x:c r="M971" s="19" t="n">
        <x:v>27.05</x:v>
      </x:c>
      <x:c r="N971" s="19" t="n">
        <x:v>243.46</x:v>
      </x:c>
      <x:c r="O971" s="4" t="n">
        <x:f>YEAR(C971)</x:f>
        <x:v>2025</x:v>
      </x:c>
      <x:c r="P971" s="4" t="str">
        <x:f>TEXT(C971,"yyyy-mm")</x:f>
        <x:v>2025-09</x:v>
      </x:c>
      <x:c r="Q971" s="4" t="str">
        <x:f>TEXT(C971,"mmmm")</x:f>
        <x:v>September</x:v>
      </x:c>
    </x:row>
    <x:row r="972" ht="20" customHeight="1">
      <x:c r="A972" s="4" t="inlineStr">
        <x:is>
          <x:t xml:space="preserve">LINE-00981</x:t>
        </x:is>
      </x:c>
      <x:c r="B972" s="4" t="inlineStr">
        <x:is>
          <x:t xml:space="preserve">ORD-2025-0612</x:t>
        </x:is>
      </x:c>
      <x:c r="C972" s="17" t="n">
        <x:v>45700</x:v>
      </x:c>
      <x:c r="D972" s="4" t="inlineStr">
        <x:is>
          <x:t xml:space="preserve">CUS-0168</x:t>
        </x:is>
      </x:c>
      <x:c r="E972" s="4" t="inlineStr">
        <x:is>
          <x:t xml:space="preserve">Bluetooth Speaker</x:t>
        </x:is>
      </x:c>
      <x:c r="F972" s="4" t="inlineStr">
        <x:is>
          <x:t xml:space="preserve">Audio</x:t>
        </x:is>
      </x:c>
      <x:c r="G972" s="4" t="inlineStr">
        <x:is>
          <x:t xml:space="preserve">Seattle</x:t>
        </x:is>
      </x:c>
      <x:c r="H972" s="18" t="n">
        <x:v>2</x:v>
      </x:c>
      <x:c r="I972" s="19" t="n">
        <x:v>106.69</x:v>
      </x:c>
      <x:c r="J972" s="20" t="n">
        <x:v>0.2</x:v>
      </x:c>
      <x:c r="K972" s="4" t="inlineStr">
        <x:is>
          <x:t xml:space="preserve">Credit Card</x:t>
        </x:is>
      </x:c>
      <x:c r="L972" s="19" t="n">
        <x:v>213.38</x:v>
      </x:c>
      <x:c r="M972" s="19" t="n">
        <x:v>42.68</x:v>
      </x:c>
      <x:c r="N972" s="19" t="n">
        <x:v>170.7</x:v>
      </x:c>
      <x:c r="O972" s="4" t="n">
        <x:f>YEAR(C972)</x:f>
        <x:v>2025</x:v>
      </x:c>
      <x:c r="P972" s="4" t="str">
        <x:f>TEXT(C972,"yyyy-mm")</x:f>
        <x:v>2025-02</x:v>
      </x:c>
      <x:c r="Q972" s="4" t="str">
        <x:f>TEXT(C972,"mmmm")</x:f>
        <x:v>February</x:v>
      </x:c>
    </x:row>
    <x:row r="973" ht="20" customHeight="1">
      <x:c r="A973" s="4" t="inlineStr">
        <x:is>
          <x:t xml:space="preserve">LINE-00982</x:t>
        </x:is>
      </x:c>
      <x:c r="B973" s="4" t="inlineStr">
        <x:is>
          <x:t xml:space="preserve">ORD-2025-0613</x:t>
        </x:is>
      </x:c>
      <x:c r="C973" s="17" t="n">
        <x:v>45885</x:v>
      </x:c>
      <x:c r="D973" s="4" t="inlineStr">
        <x:is>
          <x:t xml:space="preserve">CUS-0116</x:t>
        </x:is>
      </x:c>
      <x:c r="E973" s="4" t="inlineStr">
        <x:is>
          <x:t xml:space="preserve">Headphones</x:t>
        </x:is>
      </x:c>
      <x:c r="F973" s="4" t="inlineStr">
        <x:is>
          <x:t xml:space="preserve">Audio</x:t>
        </x:is>
      </x:c>
      <x:c r="G973" s="4" t="inlineStr">
        <x:is>
          <x:t xml:space="preserve">Boston</x:t>
        </x:is>
      </x:c>
      <x:c r="H973" s="18" t="n">
        <x:v>1</x:v>
      </x:c>
      <x:c r="I973" s="19" t="n">
        <x:v>121.05</x:v>
      </x:c>
      <x:c r="J973" s="20" t="n">
        <x:v>0.1</x:v>
      </x:c>
      <x:c r="K973" s="4" t="inlineStr">
        <x:is>
          <x:t xml:space="preserve">Bank Transfer</x:t>
        </x:is>
      </x:c>
      <x:c r="L973" s="19" t="n">
        <x:v>121.05</x:v>
      </x:c>
      <x:c r="M973" s="19" t="n">
        <x:v>12.1</x:v>
      </x:c>
      <x:c r="N973" s="19" t="n">
        <x:v>108.95</x:v>
      </x:c>
      <x:c r="O973" s="4" t="n">
        <x:f>YEAR(C973)</x:f>
        <x:v>2025</x:v>
      </x:c>
      <x:c r="P973" s="4" t="str">
        <x:f>TEXT(C973,"yyyy-mm")</x:f>
        <x:v>2025-08</x:v>
      </x:c>
      <x:c r="Q973" s="4" t="str">
        <x:f>TEXT(C973,"mmmm")</x:f>
        <x:v>August</x:v>
      </x:c>
    </x:row>
    <x:row r="974" ht="20" customHeight="1">
      <x:c r="A974" s="4" t="inlineStr">
        <x:is>
          <x:t xml:space="preserve">LINE-00983</x:t>
        </x:is>
      </x:c>
      <x:c r="B974" s="4" t="inlineStr">
        <x:is>
          <x:t xml:space="preserve">ORD-2025-0614</x:t>
        </x:is>
      </x:c>
      <x:c r="C974" s="17" t="n">
        <x:v>45901</x:v>
      </x:c>
      <x:c r="D974" s="4" t="inlineStr">
        <x:is>
          <x:t xml:space="preserve">CUS-0348</x:t>
        </x:is>
      </x:c>
      <x:c r="E974" s="4" t="inlineStr">
        <x:is>
          <x:t xml:space="preserve">Office Chair</x:t>
        </x:is>
      </x:c>
      <x:c r="F974" s="4" t="inlineStr">
        <x:is>
          <x:t xml:space="preserve">Furniture</x:t>
        </x:is>
      </x:c>
      <x:c r="G974" s="4" t="inlineStr">
        <x:is>
          <x:t xml:space="preserve">Austin</x:t>
        </x:is>
      </x:c>
      <x:c r="H974" s="18" t="n">
        <x:v>2</x:v>
      </x:c>
      <x:c r="I974" s="19" t="n">
        <x:v>224.84</x:v>
      </x:c>
      <x:c r="J974" s="20" t="n">
        <x:v>0</x:v>
      </x:c>
      <x:c r="K974" s="4" t="inlineStr">
        <x:is>
          <x:t xml:space="preserve">Debit Card</x:t>
        </x:is>
      </x:c>
      <x:c r="L974" s="19" t="n">
        <x:v>449.68</x:v>
      </x:c>
      <x:c r="M974" s="19" t="n">
        <x:v>0</x:v>
      </x:c>
      <x:c r="N974" s="19" t="n">
        <x:v>449.68</x:v>
      </x:c>
      <x:c r="O974" s="4" t="n">
        <x:f>YEAR(C974)</x:f>
        <x:v>2025</x:v>
      </x:c>
      <x:c r="P974" s="4" t="str">
        <x:f>TEXT(C974,"yyyy-mm")</x:f>
        <x:v>2025-09</x:v>
      </x:c>
      <x:c r="Q974" s="4" t="str">
        <x:f>TEXT(C974,"mmmm")</x:f>
        <x:v>September</x:v>
      </x:c>
    </x:row>
    <x:row r="975" ht="20" customHeight="1">
      <x:c r="A975" s="4" t="inlineStr">
        <x:is>
          <x:t xml:space="preserve">LINE-00984</x:t>
        </x:is>
      </x:c>
      <x:c r="B975" s="4" t="inlineStr">
        <x:is>
          <x:t xml:space="preserve">ORD-2025-0615</x:t>
        </x:is>
      </x:c>
      <x:c r="C975" s="17" t="n">
        <x:v>45995</x:v>
      </x:c>
      <x:c r="D975" s="4" t="inlineStr">
        <x:is>
          <x:t xml:space="preserve">CUS-0347</x:t>
        </x:is>
      </x:c>
      <x:c r="E975" s="4" t="inlineStr">
        <x:is>
          <x:t xml:space="preserve">Headphones</x:t>
        </x:is>
      </x:c>
      <x:c r="F975" s="4" t="inlineStr">
        <x:is>
          <x:t xml:space="preserve">Audio</x:t>
        </x:is>
      </x:c>
      <x:c r="G975" s="4" t="inlineStr">
        <x:is>
          <x:t xml:space="preserve">New York</x:t>
        </x:is>
      </x:c>
      <x:c r="H975" s="18" t="n">
        <x:v>3</x:v>
      </x:c>
      <x:c r="I975" s="19" t="n">
        <x:v>139.93</x:v>
      </x:c>
      <x:c r="J975" s="20" t="n">
        <x:v>0.1</x:v>
      </x:c>
      <x:c r="K975" s="4" t="inlineStr">
        <x:is>
          <x:t xml:space="preserve">Credit Card</x:t>
        </x:is>
      </x:c>
      <x:c r="L975" s="19" t="n">
        <x:v>419.79</x:v>
      </x:c>
      <x:c r="M975" s="19" t="n">
        <x:v>41.98</x:v>
      </x:c>
      <x:c r="N975" s="19" t="n">
        <x:v>377.81</x:v>
      </x:c>
      <x:c r="O975" s="4" t="n">
        <x:f>YEAR(C975)</x:f>
        <x:v>2025</x:v>
      </x:c>
      <x:c r="P975" s="4" t="str">
        <x:f>TEXT(C975,"yyyy-mm")</x:f>
        <x:v>2025-12</x:v>
      </x:c>
      <x:c r="Q975" s="4" t="str">
        <x:f>TEXT(C975,"mmmm")</x:f>
        <x:v>December</x:v>
      </x:c>
    </x:row>
    <x:row r="976" ht="20" customHeight="1">
      <x:c r="A976" s="4" t="inlineStr">
        <x:is>
          <x:t xml:space="preserve">LINE-00985</x:t>
        </x:is>
      </x:c>
      <x:c r="B976" s="4" t="inlineStr">
        <x:is>
          <x:t xml:space="preserve">ORD-2025-0616</x:t>
        </x:is>
      </x:c>
      <x:c r="C976" s="17" t="n">
        <x:v>45744</x:v>
      </x:c>
      <x:c r="D976" s="4" t="inlineStr">
        <x:is>
          <x:t xml:space="preserve">CUS-0034</x:t>
        </x:is>
      </x:c>
      <x:c r="E976" s="4" t="inlineStr">
        <x:is>
          <x:t xml:space="preserve">USB Flash Drive</x:t>
        </x:is>
      </x:c>
      <x:c r="F976" s="4" t="inlineStr">
        <x:is>
          <x:t xml:space="preserve">Storage</x:t>
        </x:is>
      </x:c>
      <x:c r="G976" s="4" t="inlineStr">
        <x:is>
          <x:t xml:space="preserve">Austin</x:t>
        </x:is>
      </x:c>
      <x:c r="H976" s="18" t="n">
        <x:v>3</x:v>
      </x:c>
      <x:c r="I976" s="19" t="n">
        <x:v>29.54</x:v>
      </x:c>
      <x:c r="J976" s="20" t="n">
        <x:v>0</x:v>
      </x:c>
      <x:c r="K976" s="4" t="inlineStr">
        <x:is>
          <x:t xml:space="preserve">Debit Card</x:t>
        </x:is>
      </x:c>
      <x:c r="L976" s="19" t="n">
        <x:v>88.62</x:v>
      </x:c>
      <x:c r="M976" s="19" t="n">
        <x:v>0</x:v>
      </x:c>
      <x:c r="N976" s="19" t="n">
        <x:v>88.62</x:v>
      </x:c>
      <x:c r="O976" s="4" t="n">
        <x:f>YEAR(C976)</x:f>
        <x:v>2025</x:v>
      </x:c>
      <x:c r="P976" s="4" t="str">
        <x:f>TEXT(C976,"yyyy-mm")</x:f>
        <x:v>2025-03</x:v>
      </x:c>
      <x:c r="Q976" s="4" t="str">
        <x:f>TEXT(C976,"mmmm")</x:f>
        <x:v>March</x:v>
      </x:c>
    </x:row>
    <x:row r="977" ht="20" customHeight="1">
      <x:c r="A977" s="4" t="inlineStr">
        <x:is>
          <x:t xml:space="preserve">LINE-00986</x:t>
        </x:is>
      </x:c>
      <x:c r="B977" s="4" t="inlineStr">
        <x:is>
          <x:t xml:space="preserve">ORD-2025-0617</x:t>
        </x:is>
      </x:c>
      <x:c r="C977" s="17" t="n">
        <x:v>45875</x:v>
      </x:c>
      <x:c r="D977" s="4" t="inlineStr">
        <x:is>
          <x:t xml:space="preserve">CUS-0256</x:t>
        </x:is>
      </x:c>
      <x:c r="E977" s="4" t="inlineStr">
        <x:is>
          <x:t xml:space="preserve">Office Chair</x:t>
        </x:is>
      </x:c>
      <x:c r="F977" s="4" t="inlineStr">
        <x:is>
          <x:t xml:space="preserve">Furniture</x:t>
        </x:is>
      </x:c>
      <x:c r="G977" s="4" t="inlineStr">
        <x:is>
          <x:t xml:space="preserve">Austin</x:t>
        </x:is>
      </x:c>
      <x:c r="H977" s="18" t="n">
        <x:v>1</x:v>
      </x:c>
      <x:c r="I977" s="19" t="n">
        <x:v>246.4</x:v>
      </x:c>
      <x:c r="J977" s="20" t="n">
        <x:v>0.15</x:v>
      </x:c>
      <x:c r="K977" s="4" t="inlineStr">
        <x:is>
          <x:t xml:space="preserve">PayPal</x:t>
        </x:is>
      </x:c>
      <x:c r="L977" s="19" t="n">
        <x:v>246.4</x:v>
      </x:c>
      <x:c r="M977" s="19" t="n">
        <x:v>36.96</x:v>
      </x:c>
      <x:c r="N977" s="19" t="n">
        <x:v>209.44</x:v>
      </x:c>
      <x:c r="O977" s="4" t="n">
        <x:f>YEAR(C977)</x:f>
        <x:v>2025</x:v>
      </x:c>
      <x:c r="P977" s="4" t="str">
        <x:f>TEXT(C977,"yyyy-mm")</x:f>
        <x:v>2025-08</x:v>
      </x:c>
      <x:c r="Q977" s="4" t="str">
        <x:f>TEXT(C977,"mmmm")</x:f>
        <x:v>August</x:v>
      </x:c>
    </x:row>
    <x:row r="978" ht="20" customHeight="1">
      <x:c r="A978" s="4" t="inlineStr">
        <x:is>
          <x:t xml:space="preserve">LINE-00987</x:t>
        </x:is>
      </x:c>
      <x:c r="B978" s="4" t="inlineStr">
        <x:is>
          <x:t xml:space="preserve">ORD-2025-0617</x:t>
        </x:is>
      </x:c>
      <x:c r="C978" s="17" t="n">
        <x:v>45875</x:v>
      </x:c>
      <x:c r="D978" s="4" t="inlineStr">
        <x:is>
          <x:t xml:space="preserve">CUS-0256</x:t>
        </x:is>
      </x:c>
      <x:c r="E978" s="4" t="inlineStr">
        <x:is>
          <x:t xml:space="preserve">Headphones</x:t>
        </x:is>
      </x:c>
      <x:c r="F978" s="4" t="inlineStr">
        <x:is>
          <x:t xml:space="preserve">Audio</x:t>
        </x:is>
      </x:c>
      <x:c r="G978" s="4" t="inlineStr">
        <x:is>
          <x:t xml:space="preserve">Austin</x:t>
        </x:is>
      </x:c>
      <x:c r="H978" s="18" t="n">
        <x:v>5</x:v>
      </x:c>
      <x:c r="I978" s="19" t="n">
        <x:v>130.24</x:v>
      </x:c>
      <x:c r="J978" s="20" t="n">
        <x:v>0</x:v>
      </x:c>
      <x:c r="K978" s="4" t="inlineStr">
        <x:is>
          <x:t xml:space="preserve">PayPal</x:t>
        </x:is>
      </x:c>
      <x:c r="L978" s="19" t="n">
        <x:v>651.2</x:v>
      </x:c>
      <x:c r="M978" s="19" t="n">
        <x:v>0</x:v>
      </x:c>
      <x:c r="N978" s="19" t="n">
        <x:v>651.2</x:v>
      </x:c>
      <x:c r="O978" s="4" t="n">
        <x:f>YEAR(C978)</x:f>
        <x:v>2025</x:v>
      </x:c>
      <x:c r="P978" s="4" t="str">
        <x:f>TEXT(C978,"yyyy-mm")</x:f>
        <x:v>2025-08</x:v>
      </x:c>
      <x:c r="Q978" s="4" t="str">
        <x:f>TEXT(C978,"mmmm")</x:f>
        <x:v>August</x:v>
      </x:c>
    </x:row>
    <x:row r="979" ht="20" customHeight="1">
      <x:c r="A979" s="4" t="inlineStr">
        <x:is>
          <x:t xml:space="preserve">LINE-00988</x:t>
        </x:is>
      </x:c>
      <x:c r="B979" s="4" t="inlineStr">
        <x:is>
          <x:t xml:space="preserve">ORD-2025-0618</x:t>
        </x:is>
      </x:c>
      <x:c r="C979" s="17" t="n">
        <x:v>45890</x:v>
      </x:c>
      <x:c r="D979" s="4" t="inlineStr">
        <x:is>
          <x:t xml:space="preserve">CUS-0056</x:t>
        </x:is>
      </x:c>
      <x:c r="E979" s="4" t="inlineStr">
        <x:is>
          <x:t xml:space="preserve">Wireless Mouse</x:t>
        </x:is>
      </x:c>
      <x:c r="F979" s="4" t="inlineStr">
        <x:is>
          <x:t xml:space="preserve">Accessories</x:t>
        </x:is>
      </x:c>
      <x:c r="G979" s="4" t="inlineStr">
        <x:is>
          <x:t xml:space="preserve">New York</x:t>
        </x:is>
      </x:c>
      <x:c r="H979" s="18" t="n">
        <x:v>2</x:v>
      </x:c>
      <x:c r="I979" s="19" t="n">
        <x:v>42.37</x:v>
      </x:c>
      <x:c r="J979" s="20" t="n">
        <x:v>0</x:v>
      </x:c>
      <x:c r="K979" s="4" t="inlineStr">
        <x:is>
          <x:t xml:space="preserve">PayPal</x:t>
        </x:is>
      </x:c>
      <x:c r="L979" s="19" t="n">
        <x:v>84.73999999999999</x:v>
      </x:c>
      <x:c r="M979" s="19" t="n">
        <x:v>0</x:v>
      </x:c>
      <x:c r="N979" s="19" t="n">
        <x:v>84.73999999999999</x:v>
      </x:c>
      <x:c r="O979" s="4" t="n">
        <x:f>YEAR(C979)</x:f>
        <x:v>2025</x:v>
      </x:c>
      <x:c r="P979" s="4" t="str">
        <x:f>TEXT(C979,"yyyy-mm")</x:f>
        <x:v>2025-08</x:v>
      </x:c>
      <x:c r="Q979" s="4" t="str">
        <x:f>TEXT(C979,"mmmm")</x:f>
        <x:v>August</x:v>
      </x:c>
    </x:row>
    <x:row r="980" ht="20" customHeight="1">
      <x:c r="A980" s="4" t="inlineStr">
        <x:is>
          <x:t xml:space="preserve">LINE-00989</x:t>
        </x:is>
      </x:c>
      <x:c r="B980" s="4" t="inlineStr">
        <x:is>
          <x:t xml:space="preserve">ORD-2025-0619</x:t>
        </x:is>
      </x:c>
      <x:c r="C980" s="17" t="n">
        <x:v>45685</x:v>
      </x:c>
      <x:c r="D980" s="4" t="inlineStr">
        <x:is>
          <x:t xml:space="preserve">CUS-0035</x:t>
        </x:is>
      </x:c>
      <x:c r="E980" s="4" t="inlineStr">
        <x:is>
          <x:t xml:space="preserve">Headphones</x:t>
        </x:is>
      </x:c>
      <x:c r="F980" s="4" t="inlineStr">
        <x:is>
          <x:t xml:space="preserve">Audio</x:t>
        </x:is>
      </x:c>
      <x:c r="G980" s="4" t="inlineStr">
        <x:is>
          <x:t xml:space="preserve">Seattle</x:t>
        </x:is>
      </x:c>
      <x:c r="H980" s="18" t="n">
        <x:v>1</x:v>
      </x:c>
      <x:c r="I980" s="19" t="n">
        <x:v>132.54</x:v>
      </x:c>
      <x:c r="J980" s="20" t="n">
        <x:v>0</x:v>
      </x:c>
      <x:c r="K980" s="4" t="inlineStr">
        <x:is>
          <x:t xml:space="preserve">Credit Card</x:t>
        </x:is>
      </x:c>
      <x:c r="L980" s="19" t="n">
        <x:v>132.54</x:v>
      </x:c>
      <x:c r="M980" s="19" t="n">
        <x:v>0</x:v>
      </x:c>
      <x:c r="N980" s="19" t="n">
        <x:v>132.54</x:v>
      </x:c>
      <x:c r="O980" s="4" t="n">
        <x:f>YEAR(C980)</x:f>
        <x:v>2025</x:v>
      </x:c>
      <x:c r="P980" s="4" t="str">
        <x:f>TEXT(C980,"yyyy-mm")</x:f>
        <x:v>2025-01</x:v>
      </x:c>
      <x:c r="Q980" s="4" t="str">
        <x:f>TEXT(C980,"mmmm")</x:f>
        <x:v>January</x:v>
      </x:c>
    </x:row>
    <x:row r="981" ht="20" customHeight="1">
      <x:c r="A981" s="4" t="inlineStr">
        <x:is>
          <x:t xml:space="preserve">LINE-00990</x:t>
        </x:is>
      </x:c>
      <x:c r="B981" s="4" t="inlineStr">
        <x:is>
          <x:t xml:space="preserve">ORD-2025-0619</x:t>
        </x:is>
      </x:c>
      <x:c r="C981" s="17" t="n">
        <x:v>45685</x:v>
      </x:c>
      <x:c r="D981" s="4" t="inlineStr">
        <x:is>
          <x:t xml:space="preserve">CUS-0035</x:t>
        </x:is>
      </x:c>
      <x:c r="E981" s="4" t="inlineStr">
        <x:is>
          <x:t xml:space="preserve">USB Flash Drive</x:t>
        </x:is>
      </x:c>
      <x:c r="F981" s="4" t="inlineStr">
        <x:is>
          <x:t xml:space="preserve">Storage</x:t>
        </x:is>
      </x:c>
      <x:c r="G981" s="4" t="inlineStr">
        <x:is>
          <x:t xml:space="preserve">Seattle</x:t>
        </x:is>
      </x:c>
      <x:c r="H981" s="18" t="n">
        <x:v>1</x:v>
      </x:c>
      <x:c r="I981" s="19" t="n">
        <x:v>31.21</x:v>
      </x:c>
      <x:c r="J981" s="20" t="n">
        <x:v>0.1</x:v>
      </x:c>
      <x:c r="K981" s="4" t="inlineStr">
        <x:is>
          <x:t xml:space="preserve">Credit Card</x:t>
        </x:is>
      </x:c>
      <x:c r="L981" s="19" t="n">
        <x:v>31.21</x:v>
      </x:c>
      <x:c r="M981" s="19" t="n">
        <x:v>3.12</x:v>
      </x:c>
      <x:c r="N981" s="19" t="n">
        <x:v>28.09</x:v>
      </x:c>
      <x:c r="O981" s="4" t="n">
        <x:f>YEAR(C981)</x:f>
        <x:v>2025</x:v>
      </x:c>
      <x:c r="P981" s="4" t="str">
        <x:f>TEXT(C981,"yyyy-mm")</x:f>
        <x:v>2025-01</x:v>
      </x:c>
      <x:c r="Q981" s="4" t="str">
        <x:f>TEXT(C981,"mmmm")</x:f>
        <x:v>January</x:v>
      </x:c>
    </x:row>
    <x:row r="982" ht="20" customHeight="1">
      <x:c r="A982" s="4" t="inlineStr">
        <x:is>
          <x:t xml:space="preserve">LINE-00991</x:t>
        </x:is>
      </x:c>
      <x:c r="B982" s="4" t="inlineStr">
        <x:is>
          <x:t xml:space="preserve">ORD-2025-0619</x:t>
        </x:is>
      </x:c>
      <x:c r="C982" s="17" t="n">
        <x:v>45685</x:v>
      </x:c>
      <x:c r="D982" s="4" t="inlineStr">
        <x:is>
          <x:t xml:space="preserve">CUS-0035</x:t>
        </x:is>
      </x:c>
      <x:c r="E982" s="4" t="inlineStr">
        <x:is>
          <x:t xml:space="preserve">Webcam</x:t>
        </x:is>
      </x:c>
      <x:c r="F982" s="4" t="inlineStr">
        <x:is>
          <x:t xml:space="preserve">Accessories</x:t>
        </x:is>
      </x:c>
      <x:c r="G982" s="4" t="inlineStr">
        <x:is>
          <x:t xml:space="preserve">Seattle</x:t>
        </x:is>
      </x:c>
      <x:c r="H982" s="18" t="n">
        <x:v>3</x:v>
      </x:c>
      <x:c r="I982" s="19" t="n">
        <x:v>85.70999999999999</x:v>
      </x:c>
      <x:c r="J982" s="20" t="n">
        <x:v>0.05</x:v>
      </x:c>
      <x:c r="K982" s="4" t="inlineStr">
        <x:is>
          <x:t xml:space="preserve">Credit Card</x:t>
        </x:is>
      </x:c>
      <x:c r="L982" s="19" t="n">
        <x:v>257.13</x:v>
      </x:c>
      <x:c r="M982" s="19" t="n">
        <x:v>12.86</x:v>
      </x:c>
      <x:c r="N982" s="19" t="n">
        <x:v>244.27</x:v>
      </x:c>
      <x:c r="O982" s="4" t="n">
        <x:f>YEAR(C982)</x:f>
        <x:v>2025</x:v>
      </x:c>
      <x:c r="P982" s="4" t="str">
        <x:f>TEXT(C982,"yyyy-mm")</x:f>
        <x:v>2025-01</x:v>
      </x:c>
      <x:c r="Q982" s="4" t="str">
        <x:f>TEXT(C982,"mmmm")</x:f>
        <x:v>January</x:v>
      </x:c>
    </x:row>
    <x:row r="983" ht="20" customHeight="1">
      <x:c r="A983" s="4" t="inlineStr">
        <x:is>
          <x:t xml:space="preserve">LINE-00992</x:t>
        </x:is>
      </x:c>
      <x:c r="B983" s="4" t="inlineStr">
        <x:is>
          <x:t xml:space="preserve">ORD-2025-0620</x:t>
        </x:is>
      </x:c>
      <x:c r="C983" s="17" t="n">
        <x:v>45909</x:v>
      </x:c>
      <x:c r="D983" s="4" t="inlineStr">
        <x:is>
          <x:t xml:space="preserve">CUS-0259</x:t>
        </x:is>
      </x:c>
      <x:c r="E983" s="4" t="inlineStr">
        <x:is>
          <x:t xml:space="preserve">External SSD</x:t>
        </x:is>
      </x:c>
      <x:c r="F983" s="4" t="inlineStr">
        <x:is>
          <x:t xml:space="preserve">Storage</x:t>
        </x:is>
      </x:c>
      <x:c r="G983" s="4" t="inlineStr">
        <x:is>
          <x:t xml:space="preserve">Austin</x:t>
        </x:is>
      </x:c>
      <x:c r="H983" s="18" t="n">
        <x:v>1</x:v>
      </x:c>
      <x:c r="I983" s="19" t="n">
        <x:v>156.34</x:v>
      </x:c>
      <x:c r="J983" s="20" t="n">
        <x:v>0.2</x:v>
      </x:c>
      <x:c r="K983" s="4" t="inlineStr">
        <x:is>
          <x:t xml:space="preserve">PayPal</x:t>
        </x:is>
      </x:c>
      <x:c r="L983" s="19" t="n">
        <x:v>156.34</x:v>
      </x:c>
      <x:c r="M983" s="19" t="n">
        <x:v>31.27</x:v>
      </x:c>
      <x:c r="N983" s="19" t="n">
        <x:v>125.07</x:v>
      </x:c>
      <x:c r="O983" s="4" t="n">
        <x:f>YEAR(C983)</x:f>
        <x:v>2025</x:v>
      </x:c>
      <x:c r="P983" s="4" t="str">
        <x:f>TEXT(C983,"yyyy-mm")</x:f>
        <x:v>2025-09</x:v>
      </x:c>
      <x:c r="Q983" s="4" t="str">
        <x:f>TEXT(C983,"mmmm")</x:f>
        <x:v>September</x:v>
      </x:c>
    </x:row>
    <x:row r="984" ht="20" customHeight="1">
      <x:c r="A984" s="4" t="inlineStr">
        <x:is>
          <x:t xml:space="preserve">LINE-00993</x:t>
        </x:is>
      </x:c>
      <x:c r="B984" s="4" t="inlineStr">
        <x:is>
          <x:t xml:space="preserve">ORD-2025-0620</x:t>
        </x:is>
      </x:c>
      <x:c r="C984" s="17" t="n">
        <x:v>45909</x:v>
      </x:c>
      <x:c r="D984" s="4" t="inlineStr">
        <x:is>
          <x:t xml:space="preserve">CUS-0259</x:t>
        </x:is>
      </x:c>
      <x:c r="E984" s="4" t="inlineStr">
        <x:is>
          <x:t xml:space="preserve">Desk Lamp</x:t>
        </x:is>
      </x:c>
      <x:c r="F984" s="4" t="inlineStr">
        <x:is>
          <x:t xml:space="preserve">Furniture</x:t>
        </x:is>
      </x:c>
      <x:c r="G984" s="4" t="inlineStr">
        <x:is>
          <x:t xml:space="preserve">Austin</x:t>
        </x:is>
      </x:c>
      <x:c r="H984" s="18" t="n">
        <x:v>4</x:v>
      </x:c>
      <x:c r="I984" s="19" t="n">
        <x:v>51.65</x:v>
      </x:c>
      <x:c r="J984" s="20" t="n">
        <x:v>0.05</x:v>
      </x:c>
      <x:c r="K984" s="4" t="inlineStr">
        <x:is>
          <x:t xml:space="preserve">PayPal</x:t>
        </x:is>
      </x:c>
      <x:c r="L984" s="19" t="n">
        <x:v>206.6</x:v>
      </x:c>
      <x:c r="M984" s="19" t="n">
        <x:v>10.33</x:v>
      </x:c>
      <x:c r="N984" s="19" t="n">
        <x:v>196.27</x:v>
      </x:c>
      <x:c r="O984" s="4" t="n">
        <x:f>YEAR(C984)</x:f>
        <x:v>2025</x:v>
      </x:c>
      <x:c r="P984" s="4" t="str">
        <x:f>TEXT(C984,"yyyy-mm")</x:f>
        <x:v>2025-09</x:v>
      </x:c>
      <x:c r="Q984" s="4" t="str">
        <x:f>TEXT(C984,"mmmm")</x:f>
        <x:v>September</x:v>
      </x:c>
    </x:row>
    <x:row r="985" ht="20" customHeight="1">
      <x:c r="A985" s="4" t="inlineStr">
        <x:is>
          <x:t xml:space="preserve">LINE-00994</x:t>
        </x:is>
      </x:c>
      <x:c r="B985" s="4" t="inlineStr">
        <x:is>
          <x:t xml:space="preserve">ORD-2025-0621</x:t>
        </x:is>
      </x:c>
      <x:c r="C985" s="17" t="n">
        <x:v>45850</x:v>
      </x:c>
      <x:c r="D985" s="4" t="inlineStr">
        <x:is>
          <x:t xml:space="preserve">CUS-0227</x:t>
        </x:is>
      </x:c>
      <x:c r="E985" s="4" t="inlineStr">
        <x:is>
          <x:t xml:space="preserve">External SSD</x:t>
        </x:is>
      </x:c>
      <x:c r="F985" s="4" t="inlineStr">
        <x:is>
          <x:t xml:space="preserve">Storage</x:t>
        </x:is>
      </x:c>
      <x:c r="G985" s="4" t="inlineStr">
        <x:is>
          <x:t xml:space="preserve">Seattle</x:t>
        </x:is>
      </x:c>
      <x:c r="H985" s="18" t="n">
        <x:v>2</x:v>
      </x:c>
      <x:c r="I985" s="19" t="n">
        <x:v>156.71</x:v>
      </x:c>
      <x:c r="J985" s="20" t="n">
        <x:v>0.15</x:v>
      </x:c>
      <x:c r="K985" s="4" t="inlineStr">
        <x:is>
          <x:t xml:space="preserve">Credit Card</x:t>
        </x:is>
      </x:c>
      <x:c r="L985" s="19" t="n">
        <x:v>313.42</x:v>
      </x:c>
      <x:c r="M985" s="19" t="n">
        <x:v>47.01</x:v>
      </x:c>
      <x:c r="N985" s="19" t="n">
        <x:v>266.41</x:v>
      </x:c>
      <x:c r="O985" s="4" t="n">
        <x:f>YEAR(C985)</x:f>
        <x:v>2025</x:v>
      </x:c>
      <x:c r="P985" s="4" t="str">
        <x:f>TEXT(C985,"yyyy-mm")</x:f>
        <x:v>2025-07</x:v>
      </x:c>
      <x:c r="Q985" s="4" t="str">
        <x:f>TEXT(C985,"mmmm")</x:f>
        <x:v>July</x:v>
      </x:c>
    </x:row>
    <x:row r="986" ht="20" customHeight="1">
      <x:c r="A986" s="4" t="inlineStr">
        <x:is>
          <x:t xml:space="preserve">LINE-00995</x:t>
        </x:is>
      </x:c>
      <x:c r="B986" s="4" t="inlineStr">
        <x:is>
          <x:t xml:space="preserve">ORD-2025-0622</x:t>
        </x:is>
      </x:c>
      <x:c r="C986" s="17" t="n">
        <x:v>45742</x:v>
      </x:c>
      <x:c r="D986" s="4" t="inlineStr">
        <x:is>
          <x:t xml:space="preserve">CUS-0252</x:t>
        </x:is>
      </x:c>
      <x:c r="E986" s="4" t="inlineStr">
        <x:is>
          <x:t xml:space="preserve">Headphones</x:t>
        </x:is>
      </x:c>
      <x:c r="F986" s="4" t="inlineStr">
        <x:is>
          <x:t xml:space="preserve">Audio</x:t>
        </x:is>
      </x:c>
      <x:c r="G986" s="4" t="inlineStr">
        <x:is>
          <x:t xml:space="preserve">Seattle</x:t>
        </x:is>
      </x:c>
      <x:c r="H986" s="18" t="n">
        <x:v>2</x:v>
      </x:c>
      <x:c r="I986" s="19" t="n">
        <x:v>121.88</x:v>
      </x:c>
      <x:c r="J986" s="20" t="n">
        <x:v>0.05</x:v>
      </x:c>
      <x:c r="K986" s="4" t="inlineStr">
        <x:is>
          <x:t xml:space="preserve">Debit Card</x:t>
        </x:is>
      </x:c>
      <x:c r="L986" s="19" t="n">
        <x:v>243.76</x:v>
      </x:c>
      <x:c r="M986" s="19" t="n">
        <x:v>12.19</x:v>
      </x:c>
      <x:c r="N986" s="19" t="n">
        <x:v>231.57</x:v>
      </x:c>
      <x:c r="O986" s="4" t="n">
        <x:f>YEAR(C986)</x:f>
        <x:v>2025</x:v>
      </x:c>
      <x:c r="P986" s="4" t="str">
        <x:f>TEXT(C986,"yyyy-mm")</x:f>
        <x:v>2025-03</x:v>
      </x:c>
      <x:c r="Q986" s="4" t="str">
        <x:f>TEXT(C986,"mmmm")</x:f>
        <x:v>March</x:v>
      </x:c>
    </x:row>
    <x:row r="987" ht="20" customHeight="1">
      <x:c r="A987" s="4" t="inlineStr">
        <x:is>
          <x:t xml:space="preserve">LINE-00996</x:t>
        </x:is>
      </x:c>
      <x:c r="B987" s="4" t="inlineStr">
        <x:is>
          <x:t xml:space="preserve">ORD-2025-0623</x:t>
        </x:is>
      </x:c>
      <x:c r="C987" s="17" t="n">
        <x:v>45995</x:v>
      </x:c>
      <x:c r="D987" s="4" t="inlineStr">
        <x:is>
          <x:t xml:space="preserve">CUS-0284</x:t>
        </x:is>
      </x:c>
      <x:c r="E987" s="4" t="inlineStr">
        <x:is>
          <x:t xml:space="preserve">Keyboard</x:t>
        </x:is>
      </x:c>
      <x:c r="F987" s="4" t="inlineStr">
        <x:is>
          <x:t xml:space="preserve">Accessories</x:t>
        </x:is>
      </x:c>
      <x:c r="G987" s="4" t="inlineStr">
        <x:is>
          <x:t xml:space="preserve">San Francisco</x:t>
        </x:is>
      </x:c>
      <x:c r="H987" s="18" t="n">
        <x:v>2</x:v>
      </x:c>
      <x:c r="I987" s="19" t="n">
        <x:v>73.7</x:v>
      </x:c>
      <x:c r="J987" s="20" t="n">
        <x:v>0.05</x:v>
      </x:c>
      <x:c r="K987" s="4" t="inlineStr">
        <x:is>
          <x:t xml:space="preserve">Bank Transfer</x:t>
        </x:is>
      </x:c>
      <x:c r="L987" s="19" t="n">
        <x:v>147.4</x:v>
      </x:c>
      <x:c r="M987" s="19" t="n">
        <x:v>7.37</x:v>
      </x:c>
      <x:c r="N987" s="19" t="n">
        <x:v>140.03</x:v>
      </x:c>
      <x:c r="O987" s="4" t="n">
        <x:f>YEAR(C987)</x:f>
        <x:v>2025</x:v>
      </x:c>
      <x:c r="P987" s="4" t="str">
        <x:f>TEXT(C987,"yyyy-mm")</x:f>
        <x:v>2025-12</x:v>
      </x:c>
      <x:c r="Q987" s="4" t="str">
        <x:f>TEXT(C987,"mmmm")</x:f>
        <x:v>December</x:v>
      </x:c>
    </x:row>
    <x:row r="988" ht="20" customHeight="1">
      <x:c r="A988" s="4" t="inlineStr">
        <x:is>
          <x:t xml:space="preserve">LINE-00997</x:t>
        </x:is>
      </x:c>
      <x:c r="B988" s="4" t="inlineStr">
        <x:is>
          <x:t xml:space="preserve">ORD-2025-0624</x:t>
        </x:is>
      </x:c>
      <x:c r="C988" s="17" t="n">
        <x:v>45851</x:v>
      </x:c>
      <x:c r="D988" s="4" t="inlineStr">
        <x:is>
          <x:t xml:space="preserve">CUS-0316</x:t>
        </x:is>
      </x:c>
      <x:c r="E988" s="4" t="inlineStr">
        <x:is>
          <x:t xml:space="preserve">USB-C Hub</x:t>
        </x:is>
      </x:c>
      <x:c r="F988" s="4" t="inlineStr">
        <x:is>
          <x:t xml:space="preserve">Accessories</x:t>
        </x:is>
      </x:c>
      <x:c r="G988" s="4" t="inlineStr">
        <x:is>
          <x:t xml:space="preserve">San Francisco</x:t>
        </x:is>
      </x:c>
      <x:c r="H988" s="18" t="n">
        <x:v>1</x:v>
      </x:c>
      <x:c r="I988" s="19" t="n">
        <x:v>65.94</x:v>
      </x:c>
      <x:c r="J988" s="20" t="n">
        <x:v>0</x:v>
      </x:c>
      <x:c r="K988" s="4" t="inlineStr">
        <x:is>
          <x:t xml:space="preserve">PayPal</x:t>
        </x:is>
      </x:c>
      <x:c r="L988" s="19" t="n">
        <x:v>65.94</x:v>
      </x:c>
      <x:c r="M988" s="19" t="n">
        <x:v>0</x:v>
      </x:c>
      <x:c r="N988" s="19" t="n">
        <x:v>65.94</x:v>
      </x:c>
      <x:c r="O988" s="4" t="n">
        <x:f>YEAR(C988)</x:f>
        <x:v>2025</x:v>
      </x:c>
      <x:c r="P988" s="4" t="str">
        <x:f>TEXT(C988,"yyyy-mm")</x:f>
        <x:v>2025-07</x:v>
      </x:c>
      <x:c r="Q988" s="4" t="str">
        <x:f>TEXT(C988,"mmmm")</x:f>
        <x:v>July</x:v>
      </x:c>
    </x:row>
    <x:row r="989" ht="20" customHeight="1">
      <x:c r="A989" s="4" t="inlineStr">
        <x:is>
          <x:t xml:space="preserve">LINE-00998</x:t>
        </x:is>
      </x:c>
      <x:c r="B989" s="4" t="inlineStr">
        <x:is>
          <x:t xml:space="preserve">ORD-2025-0624</x:t>
        </x:is>
      </x:c>
      <x:c r="C989" s="17" t="n">
        <x:v>45851</x:v>
      </x:c>
      <x:c r="D989" s="4" t="inlineStr">
        <x:is>
          <x:t xml:space="preserve">CUS-0316</x:t>
        </x:is>
      </x:c>
      <x:c r="E989" s="4" t="inlineStr">
        <x:is>
          <x:t xml:space="preserve">Webcam</x:t>
        </x:is>
      </x:c>
      <x:c r="F989" s="4" t="inlineStr">
        <x:is>
          <x:t xml:space="preserve">Accessories</x:t>
        </x:is>
      </x:c>
      <x:c r="G989" s="4" t="inlineStr">
        <x:is>
          <x:t xml:space="preserve">San Francisco</x:t>
        </x:is>
      </x:c>
      <x:c r="H989" s="18" t="n">
        <x:v>1</x:v>
      </x:c>
      <x:c r="I989" s="19" t="n">
        <x:v>94.45999999999999</x:v>
      </x:c>
      <x:c r="J989" s="20" t="n">
        <x:v>0.05</x:v>
      </x:c>
      <x:c r="K989" s="4" t="inlineStr">
        <x:is>
          <x:t xml:space="preserve">PayPal</x:t>
        </x:is>
      </x:c>
      <x:c r="L989" s="19" t="n">
        <x:v>94.45999999999999</x:v>
      </x:c>
      <x:c r="M989" s="19" t="n">
        <x:v>4.72</x:v>
      </x:c>
      <x:c r="N989" s="19" t="n">
        <x:v>89.73999999999999</x:v>
      </x:c>
      <x:c r="O989" s="4" t="n">
        <x:f>YEAR(C989)</x:f>
        <x:v>2025</x:v>
      </x:c>
      <x:c r="P989" s="4" t="str">
        <x:f>TEXT(C989,"yyyy-mm")</x:f>
        <x:v>2025-07</x:v>
      </x:c>
      <x:c r="Q989" s="4" t="str">
        <x:f>TEXT(C989,"mmmm")</x:f>
        <x:v>July</x:v>
      </x:c>
    </x:row>
    <x:row r="990" ht="20" customHeight="1">
      <x:c r="A990" s="4" t="inlineStr">
        <x:is>
          <x:t xml:space="preserve">LINE-00999</x:t>
        </x:is>
      </x:c>
      <x:c r="B990" s="4" t="inlineStr">
        <x:is>
          <x:t xml:space="preserve">ORD-2025-0625</x:t>
        </x:is>
      </x:c>
      <x:c r="C990" s="17" t="n">
        <x:v>45978</x:v>
      </x:c>
      <x:c r="D990" s="4" t="inlineStr">
        <x:is>
          <x:t xml:space="preserve">CUS-0175</x:t>
        </x:is>
      </x:c>
      <x:c r="E990" s="4" t="inlineStr">
        <x:is>
          <x:t xml:space="preserve">Webcam</x:t>
        </x:is>
      </x:c>
      <x:c r="F990" s="4" t="inlineStr">
        <x:is>
          <x:t xml:space="preserve">Accessories</x:t>
        </x:is>
      </x:c>
      <x:c r="G990" s="4" t="inlineStr">
        <x:is>
          <x:t xml:space="preserve">Seattle</x:t>
        </x:is>
      </x:c>
      <x:c r="H990" s="18" t="n">
        <x:v>2</x:v>
      </x:c>
      <x:c r="I990" s="19" t="n">
        <x:v>83.61</x:v>
      </x:c>
      <x:c r="J990" s="20" t="n">
        <x:v>0</x:v>
      </x:c>
      <x:c r="K990" s="4" t="inlineStr">
        <x:is>
          <x:t xml:space="preserve">Credit Card</x:t>
        </x:is>
      </x:c>
      <x:c r="L990" s="19" t="n">
        <x:v>167.22</x:v>
      </x:c>
      <x:c r="M990" s="19" t="n">
        <x:v>0</x:v>
      </x:c>
      <x:c r="N990" s="19" t="n">
        <x:v>167.22</x:v>
      </x:c>
      <x:c r="O990" s="4" t="n">
        <x:f>YEAR(C990)</x:f>
        <x:v>2025</x:v>
      </x:c>
      <x:c r="P990" s="4" t="str">
        <x:f>TEXT(C990,"yyyy-mm")</x:f>
        <x:v>2025-11</x:v>
      </x:c>
      <x:c r="Q990" s="4" t="str">
        <x:f>TEXT(C990,"mmmm")</x:f>
        <x:v>November</x:v>
      </x:c>
    </x:row>
    <x:row r="991" ht="20" customHeight="1">
      <x:c r="A991" s="4" t="inlineStr">
        <x:is>
          <x:t xml:space="preserve">LINE-01000</x:t>
        </x:is>
      </x:c>
      <x:c r="B991" s="4" t="inlineStr">
        <x:is>
          <x:t xml:space="preserve">ORD-2025-0626</x:t>
        </x:is>
      </x:c>
      <x:c r="C991" s="17" t="n">
        <x:v>45778</x:v>
      </x:c>
      <x:c r="D991" s="4" t="inlineStr">
        <x:is>
          <x:t xml:space="preserve">CUS-0332</x:t>
        </x:is>
      </x:c>
      <x:c r="E991" s="4" t="inlineStr">
        <x:is>
          <x:t xml:space="preserve">Monitor</x:t>
        </x:is>
      </x:c>
      <x:c r="F991" s="4" t="inlineStr">
        <x:is>
          <x:t xml:space="preserve">Computers</x:t>
        </x:is>
      </x:c>
      <x:c r="G991" s="4" t="inlineStr">
        <x:is>
          <x:t xml:space="preserve">Austin</x:t>
        </x:is>
      </x:c>
      <x:c r="H991" s="18" t="n">
        <x:v>1</x:v>
      </x:c>
      <x:c r="I991" s="19" t="n">
        <x:v>258.48</x:v>
      </x:c>
      <x:c r="J991" s="20" t="n">
        <x:v>0</x:v>
      </x:c>
      <x:c r="K991" s="4" t="inlineStr">
        <x:is>
          <x:t xml:space="preserve">Credit Card</x:t>
        </x:is>
      </x:c>
      <x:c r="L991" s="19" t="n">
        <x:v>258.48</x:v>
      </x:c>
      <x:c r="M991" s="19" t="n">
        <x:v>0</x:v>
      </x:c>
      <x:c r="N991" s="19" t="n">
        <x:v>258.48</x:v>
      </x:c>
      <x:c r="O991" s="4" t="n">
        <x:f>YEAR(C991)</x:f>
        <x:v>2025</x:v>
      </x:c>
      <x:c r="P991" s="4" t="str">
        <x:f>TEXT(C991,"yyyy-mm")</x:f>
        <x:v>2025-05</x:v>
      </x:c>
      <x:c r="Q991" s="4" t="str">
        <x:f>TEXT(C991,"mmmm")</x:f>
        <x:v>May</x:v>
      </x:c>
    </x:row>
    <x:row r="992" ht="20" customHeight="1">
      <x:c r="A992" s="4" t="inlineStr">
        <x:is>
          <x:t xml:space="preserve">LINE-01001</x:t>
        </x:is>
      </x:c>
      <x:c r="B992" s="4" t="inlineStr">
        <x:is>
          <x:t xml:space="preserve">ORD-2025-0626</x:t>
        </x:is>
      </x:c>
      <x:c r="C992" s="17" t="n">
        <x:v>45778</x:v>
      </x:c>
      <x:c r="D992" s="4" t="inlineStr">
        <x:is>
          <x:t xml:space="preserve">CUS-0332</x:t>
        </x:is>
      </x:c>
      <x:c r="E992" s="4" t="inlineStr">
        <x:is>
          <x:t xml:space="preserve">USB-C Hub</x:t>
        </x:is>
      </x:c>
      <x:c r="F992" s="4" t="inlineStr">
        <x:is>
          <x:t xml:space="preserve">Accessories</x:t>
        </x:is>
      </x:c>
      <x:c r="G992" s="4" t="inlineStr">
        <x:is>
          <x:t xml:space="preserve">Austin</x:t>
        </x:is>
      </x:c>
      <x:c r="H992" s="18" t="n">
        <x:v>2</x:v>
      </x:c>
      <x:c r="I992" s="19" t="n">
        <x:v>68.78</x:v>
      </x:c>
      <x:c r="J992" s="20" t="n">
        <x:v>0.05</x:v>
      </x:c>
      <x:c r="K992" s="4" t="inlineStr">
        <x:is>
          <x:t xml:space="preserve">Credit Card</x:t>
        </x:is>
      </x:c>
      <x:c r="L992" s="19" t="n">
        <x:v>137.56</x:v>
      </x:c>
      <x:c r="M992" s="19" t="n">
        <x:v>6.88</x:v>
      </x:c>
      <x:c r="N992" s="19" t="n">
        <x:v>130.68</x:v>
      </x:c>
      <x:c r="O992" s="4" t="n">
        <x:f>YEAR(C992)</x:f>
        <x:v>2025</x:v>
      </x:c>
      <x:c r="P992" s="4" t="str">
        <x:f>TEXT(C992,"yyyy-mm")</x:f>
        <x:v>2025-05</x:v>
      </x:c>
      <x:c r="Q992" s="4" t="str">
        <x:f>TEXT(C992,"mmmm")</x:f>
        <x:v>May</x:v>
      </x:c>
    </x:row>
    <x:row r="993" ht="20" customHeight="1">
      <x:c r="A993" s="4" t="inlineStr">
        <x:is>
          <x:t xml:space="preserve">LINE-01002</x:t>
        </x:is>
      </x:c>
      <x:c r="B993" s="4" t="inlineStr">
        <x:is>
          <x:t xml:space="preserve">ORD-2025-0626</x:t>
        </x:is>
      </x:c>
      <x:c r="C993" s="17" t="n">
        <x:v>45778</x:v>
      </x:c>
      <x:c r="D993" s="4" t="inlineStr">
        <x:is>
          <x:t xml:space="preserve">CUS-0332</x:t>
        </x:is>
      </x:c>
      <x:c r="E993" s="4" t="inlineStr">
        <x:is>
          <x:t xml:space="preserve">Desk Lamp</x:t>
        </x:is>
      </x:c>
      <x:c r="F993" s="4" t="inlineStr">
        <x:is>
          <x:t xml:space="preserve">Furniture</x:t>
        </x:is>
      </x:c>
      <x:c r="G993" s="4" t="inlineStr">
        <x:is>
          <x:t xml:space="preserve">Austin</x:t>
        </x:is>
      </x:c>
      <x:c r="H993" s="18" t="n">
        <x:v>4</x:v>
      </x:c>
      <x:c r="I993" s="19" t="n">
        <x:v>52.95</x:v>
      </x:c>
      <x:c r="J993" s="20" t="n">
        <x:v>0.05</x:v>
      </x:c>
      <x:c r="K993" s="4" t="inlineStr">
        <x:is>
          <x:t xml:space="preserve">Credit Card</x:t>
        </x:is>
      </x:c>
      <x:c r="L993" s="19" t="n">
        <x:v>211.8</x:v>
      </x:c>
      <x:c r="M993" s="19" t="n">
        <x:v>10.59</x:v>
      </x:c>
      <x:c r="N993" s="19" t="n">
        <x:v>201.21</x:v>
      </x:c>
      <x:c r="O993" s="4" t="n">
        <x:f>YEAR(C993)</x:f>
        <x:v>2025</x:v>
      </x:c>
      <x:c r="P993" s="4" t="str">
        <x:f>TEXT(C993,"yyyy-mm")</x:f>
        <x:v>2025-05</x:v>
      </x:c>
      <x:c r="Q993" s="4" t="str">
        <x:f>TEXT(C993,"mmmm")</x:f>
        <x:v>May</x:v>
      </x:c>
    </x:row>
    <x:row r="994" ht="20" customHeight="1">
      <x:c r="A994" s="4" t="inlineStr">
        <x:is>
          <x:t xml:space="preserve">LINE-01003</x:t>
        </x:is>
      </x:c>
      <x:c r="B994" s="4" t="inlineStr">
        <x:is>
          <x:t xml:space="preserve">ORD-2025-0627</x:t>
        </x:is>
      </x:c>
      <x:c r="C994" s="17" t="n">
        <x:v>45959</x:v>
      </x:c>
      <x:c r="D994" s="4" t="inlineStr">
        <x:is>
          <x:t xml:space="preserve">CUS-0012</x:t>
        </x:is>
      </x:c>
      <x:c r="E994" s="4" t="inlineStr">
        <x:is>
          <x:t xml:space="preserve">Webcam</x:t>
        </x:is>
      </x:c>
      <x:c r="F994" s="4" t="inlineStr">
        <x:is>
          <x:t xml:space="preserve">Accessories</x:t>
        </x:is>
      </x:c>
      <x:c r="G994" s="4" t="inlineStr">
        <x:is>
          <x:t xml:space="preserve">Austin</x:t>
        </x:is>
      </x:c>
      <x:c r="H994" s="18" t="n">
        <x:v>1</x:v>
      </x:c>
      <x:c r="I994" s="19" t="n">
        <x:v>89.83</x:v>
      </x:c>
      <x:c r="J994" s="20" t="n">
        <x:v>0.05</x:v>
      </x:c>
      <x:c r="K994" s="4" t="inlineStr">
        <x:is>
          <x:t xml:space="preserve">Bank Transfer</x:t>
        </x:is>
      </x:c>
      <x:c r="L994" s="19" t="n">
        <x:v>89.83</x:v>
      </x:c>
      <x:c r="M994" s="19" t="n">
        <x:v>4.49</x:v>
      </x:c>
      <x:c r="N994" s="19" t="n">
        <x:v>85.34</x:v>
      </x:c>
      <x:c r="O994" s="4" t="n">
        <x:f>YEAR(C994)</x:f>
        <x:v>2025</x:v>
      </x:c>
      <x:c r="P994" s="4" t="str">
        <x:f>TEXT(C994,"yyyy-mm")</x:f>
        <x:v>2025-10</x:v>
      </x:c>
      <x:c r="Q994" s="4" t="str">
        <x:f>TEXT(C994,"mmmm")</x:f>
        <x:v>October</x:v>
      </x:c>
    </x:row>
    <x:row r="995" ht="20" customHeight="1">
      <x:c r="A995" s="4" t="inlineStr">
        <x:is>
          <x:t xml:space="preserve">LINE-01004</x:t>
        </x:is>
      </x:c>
      <x:c r="B995" s="4" t="inlineStr">
        <x:is>
          <x:t xml:space="preserve">ORD-2025-0627</x:t>
        </x:is>
      </x:c>
      <x:c r="C995" s="17" t="n">
        <x:v>45959</x:v>
      </x:c>
      <x:c r="D995" s="4" t="inlineStr">
        <x:is>
          <x:t xml:space="preserve">CUS-0012</x:t>
        </x:is>
      </x:c>
      <x:c r="E995" s="4" t="inlineStr">
        <x:is>
          <x:t xml:space="preserve">USB Flash Drive</x:t>
        </x:is>
      </x:c>
      <x:c r="F995" s="4" t="inlineStr">
        <x:is>
          <x:t xml:space="preserve">Storage</x:t>
        </x:is>
      </x:c>
      <x:c r="G995" s="4" t="inlineStr">
        <x:is>
          <x:t xml:space="preserve">Austin</x:t>
        </x:is>
      </x:c>
      <x:c r="H995" s="18" t="n">
        <x:v>1</x:v>
      </x:c>
      <x:c r="I995" s="19" t="n">
        <x:v>29.98</x:v>
      </x:c>
      <x:c r="J995" s="20" t="n">
        <x:v>0.1</x:v>
      </x:c>
      <x:c r="K995" s="4" t="inlineStr">
        <x:is>
          <x:t xml:space="preserve">Bank Transfer</x:t>
        </x:is>
      </x:c>
      <x:c r="L995" s="19" t="n">
        <x:v>29.98</x:v>
      </x:c>
      <x:c r="M995" s="19" t="n">
        <x:v>3</x:v>
      </x:c>
      <x:c r="N995" s="19" t="n">
        <x:v>26.98</x:v>
      </x:c>
      <x:c r="O995" s="4" t="n">
        <x:f>YEAR(C995)</x:f>
        <x:v>2025</x:v>
      </x:c>
      <x:c r="P995" s="4" t="str">
        <x:f>TEXT(C995,"yyyy-mm")</x:f>
        <x:v>2025-10</x:v>
      </x:c>
      <x:c r="Q995" s="4" t="str">
        <x:f>TEXT(C995,"mmmm")</x:f>
        <x:v>October</x:v>
      </x:c>
    </x:row>
    <x:row r="996" ht="20" customHeight="1">
      <x:c r="A996" s="4" t="inlineStr">
        <x:is>
          <x:t xml:space="preserve">LINE-01005</x:t>
        </x:is>
      </x:c>
      <x:c r="B996" s="4" t="inlineStr">
        <x:is>
          <x:t xml:space="preserve">ORD-2025-0628</x:t>
        </x:is>
      </x:c>
      <x:c r="C996" s="17" t="n">
        <x:v>45999</x:v>
      </x:c>
      <x:c r="D996" s="4" t="inlineStr">
        <x:is>
          <x:t xml:space="preserve">CUS-0174</x:t>
        </x:is>
      </x:c>
      <x:c r="E996" s="4" t="inlineStr">
        <x:is>
          <x:t xml:space="preserve">Headphones</x:t>
        </x:is>
      </x:c>
      <x:c r="F996" s="4" t="inlineStr">
        <x:is>
          <x:t xml:space="preserve">Audio</x:t>
        </x:is>
      </x:c>
      <x:c r="G996" s="4" t="inlineStr">
        <x:is>
          <x:t xml:space="preserve">Chicago</x:t>
        </x:is>
      </x:c>
      <x:c r="H996" s="18" t="n">
        <x:v>1</x:v>
      </x:c>
      <x:c r="I996" s="19" t="n">
        <x:v>132.82</x:v>
      </x:c>
      <x:c r="J996" s="20" t="n">
        <x:v>0.2</x:v>
      </x:c>
      <x:c r="K996" s="4" t="inlineStr">
        <x:is>
          <x:t xml:space="preserve">PayPal</x:t>
        </x:is>
      </x:c>
      <x:c r="L996" s="19" t="n">
        <x:v>132.82</x:v>
      </x:c>
      <x:c r="M996" s="19" t="n">
        <x:v>26.56</x:v>
      </x:c>
      <x:c r="N996" s="19" t="n">
        <x:v>106.26</x:v>
      </x:c>
      <x:c r="O996" s="4" t="n">
        <x:f>YEAR(C996)</x:f>
        <x:v>2025</x:v>
      </x:c>
      <x:c r="P996" s="4" t="str">
        <x:f>TEXT(C996,"yyyy-mm")</x:f>
        <x:v>2025-12</x:v>
      </x:c>
      <x:c r="Q996" s="4" t="str">
        <x:f>TEXT(C996,"mmmm")</x:f>
        <x:v>December</x:v>
      </x:c>
    </x:row>
    <x:row r="997" ht="20" customHeight="1">
      <x:c r="A997" s="4" t="inlineStr">
        <x:is>
          <x:t xml:space="preserve">LINE-01006</x:t>
        </x:is>
      </x:c>
      <x:c r="B997" s="4" t="inlineStr">
        <x:is>
          <x:t xml:space="preserve">ORD-2025-0629</x:t>
        </x:is>
      </x:c>
      <x:c r="C997" s="17" t="n">
        <x:v>45696</x:v>
      </x:c>
      <x:c r="D997" s="4" t="inlineStr">
        <x:is>
          <x:t xml:space="preserve">CUS-0275</x:t>
        </x:is>
      </x:c>
      <x:c r="E997" s="4" t="inlineStr">
        <x:is>
          <x:t xml:space="preserve">USB-C Hub</x:t>
        </x:is>
      </x:c>
      <x:c r="F997" s="4" t="inlineStr">
        <x:is>
          <x:t xml:space="preserve">Accessories</x:t>
        </x:is>
      </x:c>
      <x:c r="G997" s="4" t="inlineStr">
        <x:is>
          <x:t xml:space="preserve">Chicago</x:t>
        </x:is>
      </x:c>
      <x:c r="H997" s="18" t="n">
        <x:v>5</x:v>
      </x:c>
      <x:c r="I997" s="19" t="n">
        <x:v>63.98</x:v>
      </x:c>
      <x:c r="J997" s="20" t="n">
        <x:v>0</x:v>
      </x:c>
      <x:c r="K997" s="4" t="inlineStr">
        <x:is>
          <x:t xml:space="preserve">PayPal</x:t>
        </x:is>
      </x:c>
      <x:c r="L997" s="19" t="n">
        <x:v>319.9</x:v>
      </x:c>
      <x:c r="M997" s="19" t="n">
        <x:v>0</x:v>
      </x:c>
      <x:c r="N997" s="19" t="n">
        <x:v>319.9</x:v>
      </x:c>
      <x:c r="O997" s="4" t="n">
        <x:f>YEAR(C997)</x:f>
        <x:v>2025</x:v>
      </x:c>
      <x:c r="P997" s="4" t="str">
        <x:f>TEXT(C997,"yyyy-mm")</x:f>
        <x:v>2025-02</x:v>
      </x:c>
      <x:c r="Q997" s="4" t="str">
        <x:f>TEXT(C997,"mmmm")</x:f>
        <x:v>February</x:v>
      </x:c>
    </x:row>
    <x:row r="998" ht="20" customHeight="1">
      <x:c r="A998" s="4" t="inlineStr">
        <x:is>
          <x:t xml:space="preserve">LINE-01007</x:t>
        </x:is>
      </x:c>
      <x:c r="B998" s="4" t="inlineStr">
        <x:is>
          <x:t xml:space="preserve">ORD-2025-0630</x:t>
        </x:is>
      </x:c>
      <x:c r="C998" s="17" t="n">
        <x:v>45705</x:v>
      </x:c>
      <x:c r="D998" s="4" t="inlineStr">
        <x:is>
          <x:t xml:space="preserve">CUS-0297</x:t>
        </x:is>
      </x:c>
      <x:c r="E998" s="4" t="inlineStr">
        <x:is>
          <x:t xml:space="preserve">USB Flash Drive</x:t>
        </x:is>
      </x:c>
      <x:c r="F998" s="4" t="inlineStr">
        <x:is>
          <x:t xml:space="preserve">Storage</x:t>
        </x:is>
      </x:c>
      <x:c r="G998" s="4" t="inlineStr">
        <x:is>
          <x:t xml:space="preserve">New York</x:t>
        </x:is>
      </x:c>
      <x:c r="H998" s="18" t="n">
        <x:v>3</x:v>
      </x:c>
      <x:c r="I998" s="19" t="n">
        <x:v>29.88</x:v>
      </x:c>
      <x:c r="J998" s="20" t="n">
        <x:v>0</x:v>
      </x:c>
      <x:c r="K998" s="4" t="inlineStr">
        <x:is>
          <x:t xml:space="preserve">PayPal</x:t>
        </x:is>
      </x:c>
      <x:c r="L998" s="19" t="n">
        <x:v>89.64</x:v>
      </x:c>
      <x:c r="M998" s="19" t="n">
        <x:v>0</x:v>
      </x:c>
      <x:c r="N998" s="19" t="n">
        <x:v>89.64</x:v>
      </x:c>
      <x:c r="O998" s="4" t="n">
        <x:f>YEAR(C998)</x:f>
        <x:v>2025</x:v>
      </x:c>
      <x:c r="P998" s="4" t="str">
        <x:f>TEXT(C998,"yyyy-mm")</x:f>
        <x:v>2025-02</x:v>
      </x:c>
      <x:c r="Q998" s="4" t="str">
        <x:f>TEXT(C998,"mmmm")</x:f>
        <x:v>February</x:v>
      </x:c>
    </x:row>
    <x:row r="999" ht="20" customHeight="1">
      <x:c r="A999" s="4" t="inlineStr">
        <x:is>
          <x:t xml:space="preserve">LINE-01008</x:t>
        </x:is>
      </x:c>
      <x:c r="B999" s="4" t="inlineStr">
        <x:is>
          <x:t xml:space="preserve">ORD-2025-0631</x:t>
        </x:is>
      </x:c>
      <x:c r="C999" s="17" t="n">
        <x:v>45697</x:v>
      </x:c>
      <x:c r="D999" s="4" t="inlineStr">
        <x:is>
          <x:t xml:space="preserve">CUS-0334</x:t>
        </x:is>
      </x:c>
      <x:c r="E999" s="4" t="inlineStr">
        <x:is>
          <x:t xml:space="preserve">External SSD</x:t>
        </x:is>
      </x:c>
      <x:c r="F999" s="4" t="inlineStr">
        <x:is>
          <x:t xml:space="preserve">Storage</x:t>
        </x:is>
      </x:c>
      <x:c r="G999" s="4" t="inlineStr">
        <x:is>
          <x:t xml:space="preserve">Austin</x:t>
        </x:is>
      </x:c>
      <x:c r="H999" s="18" t="n">
        <x:v>1</x:v>
      </x:c>
      <x:c r="I999" s="19" t="n">
        <x:v>147.94</x:v>
      </x:c>
      <x:c r="J999" s="20" t="n">
        <x:v>0</x:v>
      </x:c>
      <x:c r="K999" s="4" t="inlineStr">
        <x:is>
          <x:t xml:space="preserve">PayPal</x:t>
        </x:is>
      </x:c>
      <x:c r="L999" s="19" t="n">
        <x:v>147.94</x:v>
      </x:c>
      <x:c r="M999" s="19" t="n">
        <x:v>0</x:v>
      </x:c>
      <x:c r="N999" s="19" t="n">
        <x:v>147.94</x:v>
      </x:c>
      <x:c r="O999" s="4" t="n">
        <x:f>YEAR(C999)</x:f>
        <x:v>2025</x:v>
      </x:c>
      <x:c r="P999" s="4" t="str">
        <x:f>TEXT(C999,"yyyy-mm")</x:f>
        <x:v>2025-02</x:v>
      </x:c>
      <x:c r="Q999" s="4" t="str">
        <x:f>TEXT(C999,"mmmm")</x:f>
        <x:v>February</x:v>
      </x:c>
    </x:row>
    <x:row r="1000" ht="20" customHeight="1">
      <x:c r="A1000" s="4" t="inlineStr">
        <x:is>
          <x:t xml:space="preserve">LINE-01009</x:t>
        </x:is>
      </x:c>
      <x:c r="B1000" s="4" t="inlineStr">
        <x:is>
          <x:t xml:space="preserve">ORD-2025-0632</x:t>
        </x:is>
      </x:c>
      <x:c r="C1000" s="17" t="n">
        <x:v>45921</x:v>
      </x:c>
      <x:c r="D1000" s="4" t="inlineStr">
        <x:is>
          <x:t xml:space="preserve">CUS-0233</x:t>
        </x:is>
      </x:c>
      <x:c r="E1000" s="4" t="inlineStr">
        <x:is>
          <x:t xml:space="preserve">Office Chair</x:t>
        </x:is>
      </x:c>
      <x:c r="F1000" s="4" t="inlineStr">
        <x:is>
          <x:t xml:space="preserve">Furniture</x:t>
        </x:is>
      </x:c>
      <x:c r="G1000" s="4" t="inlineStr">
        <x:is>
          <x:t xml:space="preserve">San Francisco</x:t>
        </x:is>
      </x:c>
      <x:c r="H1000" s="18" t="n">
        <x:v>2</x:v>
      </x:c>
      <x:c r="I1000" s="19" t="n">
        <x:v>228.98</x:v>
      </x:c>
      <x:c r="J1000" s="20" t="n">
        <x:v>0.2</x:v>
      </x:c>
      <x:c r="K1000" s="4" t="inlineStr">
        <x:is>
          <x:t xml:space="preserve">Debit Card</x:t>
        </x:is>
      </x:c>
      <x:c r="L1000" s="19" t="n">
        <x:v>457.96</x:v>
      </x:c>
      <x:c r="M1000" s="19" t="n">
        <x:v>91.59</x:v>
      </x:c>
      <x:c r="N1000" s="19" t="n">
        <x:v>366.37</x:v>
      </x:c>
      <x:c r="O1000" s="4" t="n">
        <x:f>YEAR(C1000)</x:f>
        <x:v>2025</x:v>
      </x:c>
      <x:c r="P1000" s="4" t="str">
        <x:f>TEXT(C1000,"yyyy-mm")</x:f>
        <x:v>2025-09</x:v>
      </x:c>
      <x:c r="Q1000" s="4" t="str">
        <x:f>TEXT(C1000,"mmmm")</x:f>
        <x:v>September</x:v>
      </x:c>
    </x:row>
    <x:row r="1001" ht="20" customHeight="1">
      <x:c r="A1001" s="4" t="inlineStr">
        <x:is>
          <x:t xml:space="preserve">LINE-01010</x:t>
        </x:is>
      </x:c>
      <x:c r="B1001" s="4" t="inlineStr">
        <x:is>
          <x:t xml:space="preserve">ORD-2025-0632</x:t>
        </x:is>
      </x:c>
      <x:c r="C1001" s="17" t="n">
        <x:v>45921</x:v>
      </x:c>
      <x:c r="D1001" s="4" t="inlineStr">
        <x:is>
          <x:t xml:space="preserve">CUS-0233</x:t>
        </x:is>
      </x:c>
      <x:c r="E1001" s="4" t="inlineStr">
        <x:is>
          <x:t xml:space="preserve">External SSD</x:t>
        </x:is>
      </x:c>
      <x:c r="F1001" s="4" t="inlineStr">
        <x:is>
          <x:t xml:space="preserve">Storage</x:t>
        </x:is>
      </x:c>
      <x:c r="G1001" s="4" t="inlineStr">
        <x:is>
          <x:t xml:space="preserve">San Francisco</x:t>
        </x:is>
      </x:c>
      <x:c r="H1001" s="18" t="n">
        <x:v>3</x:v>
      </x:c>
      <x:c r="I1001" s="19" t="n">
        <x:v>149.22</x:v>
      </x:c>
      <x:c r="J1001" s="20" t="n">
        <x:v>0.15</x:v>
      </x:c>
      <x:c r="K1001" s="4" t="inlineStr">
        <x:is>
          <x:t xml:space="preserve">Debit Card</x:t>
        </x:is>
      </x:c>
      <x:c r="L1001" s="19" t="n">
        <x:v>447.66</x:v>
      </x:c>
      <x:c r="M1001" s="19" t="n">
        <x:v>67.15000000000001</x:v>
      </x:c>
      <x:c r="N1001" s="19" t="n">
        <x:v>380.51</x:v>
      </x:c>
      <x:c r="O1001" s="4" t="n">
        <x:f>YEAR(C1001)</x:f>
        <x:v>2025</x:v>
      </x:c>
      <x:c r="P1001" s="4" t="str">
        <x:f>TEXT(C1001,"yyyy-mm")</x:f>
        <x:v>2025-09</x:v>
      </x:c>
      <x:c r="Q1001" s="4" t="str">
        <x:f>TEXT(C1001,"mmmm")</x:f>
        <x:v>September</x:v>
      </x:c>
    </x:row>
    <x:row r="1002" ht="20" customHeight="1">
      <x:c r="A1002" s="4" t="inlineStr">
        <x:is>
          <x:t xml:space="preserve">LINE-01011</x:t>
        </x:is>
      </x:c>
      <x:c r="B1002" s="4" t="inlineStr">
        <x:is>
          <x:t xml:space="preserve">ORD-2025-0632</x:t>
        </x:is>
      </x:c>
      <x:c r="C1002" s="17" t="n">
        <x:v>45921</x:v>
      </x:c>
      <x:c r="D1002" s="4" t="inlineStr">
        <x:is>
          <x:t xml:space="preserve">CUS-0233</x:t>
        </x:is>
      </x:c>
      <x:c r="E1002" s="4" t="inlineStr">
        <x:is>
          <x:t xml:space="preserve">Keyboard</x:t>
        </x:is>
      </x:c>
      <x:c r="F1002" s="4" t="inlineStr">
        <x:is>
          <x:t xml:space="preserve">Accessories</x:t>
        </x:is>
      </x:c>
      <x:c r="G1002" s="4" t="inlineStr">
        <x:is>
          <x:t xml:space="preserve">San Francisco</x:t>
        </x:is>
      </x:c>
      <x:c r="H1002" s="18" t="n">
        <x:v>2</x:v>
      </x:c>
      <x:c r="I1002" s="19" t="n">
        <x:v>76.37</x:v>
      </x:c>
      <x:c r="J1002" s="20" t="n">
        <x:v>0.1</x:v>
      </x:c>
      <x:c r="K1002" s="4" t="inlineStr">
        <x:is>
          <x:t xml:space="preserve">Debit Card</x:t>
        </x:is>
      </x:c>
      <x:c r="L1002" s="19" t="n">
        <x:v>152.74</x:v>
      </x:c>
      <x:c r="M1002" s="19" t="n">
        <x:v>15.27</x:v>
      </x:c>
      <x:c r="N1002" s="19" t="n">
        <x:v>137.47</x:v>
      </x:c>
      <x:c r="O1002" s="4" t="n">
        <x:f>YEAR(C1002)</x:f>
        <x:v>2025</x:v>
      </x:c>
      <x:c r="P1002" s="4" t="str">
        <x:f>TEXT(C1002,"yyyy-mm")</x:f>
        <x:v>2025-09</x:v>
      </x:c>
      <x:c r="Q1002" s="4" t="str">
        <x:f>TEXT(C1002,"mmmm")</x:f>
        <x:v>September</x:v>
      </x:c>
    </x:row>
    <x:row r="1003" ht="20" customHeight="1">
      <x:c r="A1003" s="4" t="inlineStr">
        <x:is>
          <x:t xml:space="preserve">LINE-01012</x:t>
        </x:is>
      </x:c>
      <x:c r="B1003" s="4" t="inlineStr">
        <x:is>
          <x:t xml:space="preserve">ORD-2025-0633</x:t>
        </x:is>
      </x:c>
      <x:c r="C1003" s="17" t="n">
        <x:v>45880</x:v>
      </x:c>
      <x:c r="D1003" s="4" t="inlineStr">
        <x:is>
          <x:t xml:space="preserve">CUS-0290</x:t>
        </x:is>
      </x:c>
      <x:c r="E1003" s="4" t="inlineStr">
        <x:is>
          <x:t xml:space="preserve">Webcam</x:t>
        </x:is>
      </x:c>
      <x:c r="F1003" s="4" t="inlineStr">
        <x:is>
          <x:t xml:space="preserve">Accessories</x:t>
        </x:is>
      </x:c>
      <x:c r="G1003" s="4" t="inlineStr">
        <x:is>
          <x:t xml:space="preserve">San Francisco</x:t>
        </x:is>
      </x:c>
      <x:c r="H1003" s="18" t="n">
        <x:v>1</x:v>
      </x:c>
      <x:c r="I1003" s="19" t="n">
        <x:v>84.97</x:v>
      </x:c>
      <x:c r="J1003" s="20" t="n">
        <x:v>0.05</x:v>
      </x:c>
      <x:c r="K1003" s="4" t="inlineStr">
        <x:is>
          <x:t xml:space="preserve">Credit Card</x:t>
        </x:is>
      </x:c>
      <x:c r="L1003" s="19" t="n">
        <x:v>84.97</x:v>
      </x:c>
      <x:c r="M1003" s="19" t="n">
        <x:v>4.25</x:v>
      </x:c>
      <x:c r="N1003" s="19" t="n">
        <x:v>80.72</x:v>
      </x:c>
      <x:c r="O1003" s="4" t="n">
        <x:f>YEAR(C1003)</x:f>
        <x:v>2025</x:v>
      </x:c>
      <x:c r="P1003" s="4" t="str">
        <x:f>TEXT(C1003,"yyyy-mm")</x:f>
        <x:v>2025-08</x:v>
      </x:c>
      <x:c r="Q1003" s="4" t="str">
        <x:f>TEXT(C1003,"mmmm")</x:f>
        <x:v>August</x:v>
      </x:c>
    </x:row>
    <x:row r="1004" ht="20" customHeight="1">
      <x:c r="A1004" s="4" t="inlineStr">
        <x:is>
          <x:t xml:space="preserve">LINE-01013</x:t>
        </x:is>
      </x:c>
      <x:c r="B1004" s="4" t="inlineStr">
        <x:is>
          <x:t xml:space="preserve">ORD-2025-0633</x:t>
        </x:is>
      </x:c>
      <x:c r="C1004" s="17" t="n">
        <x:v>45880</x:v>
      </x:c>
      <x:c r="D1004" s="4" t="inlineStr">
        <x:is>
          <x:t xml:space="preserve">CUS-0290</x:t>
        </x:is>
      </x:c>
      <x:c r="E1004" s="4" t="inlineStr">
        <x:is>
          <x:t xml:space="preserve">Bluetooth Speaker</x:t>
        </x:is>
      </x:c>
      <x:c r="F1004" s="4" t="inlineStr">
        <x:is>
          <x:t xml:space="preserve">Audio</x:t>
        </x:is>
      </x:c>
      <x:c r="G1004" s="4" t="inlineStr">
        <x:is>
          <x:t xml:space="preserve">San Francisco</x:t>
        </x:is>
      </x:c>
      <x:c r="H1004" s="18" t="n">
        <x:v>1</x:v>
      </x:c>
      <x:c r="I1004" s="19" t="n">
        <x:v>108.86</x:v>
      </x:c>
      <x:c r="J1004" s="20" t="n">
        <x:v>0</x:v>
      </x:c>
      <x:c r="K1004" s="4" t="inlineStr">
        <x:is>
          <x:t xml:space="preserve">Credit Card</x:t>
        </x:is>
      </x:c>
      <x:c r="L1004" s="19" t="n">
        <x:v>108.86</x:v>
      </x:c>
      <x:c r="M1004" s="19" t="n">
        <x:v>0</x:v>
      </x:c>
      <x:c r="N1004" s="19" t="n">
        <x:v>108.86</x:v>
      </x:c>
      <x:c r="O1004" s="4" t="n">
        <x:f>YEAR(C1004)</x:f>
        <x:v>2025</x:v>
      </x:c>
      <x:c r="P1004" s="4" t="str">
        <x:f>TEXT(C1004,"yyyy-mm")</x:f>
        <x:v>2025-08</x:v>
      </x:c>
      <x:c r="Q1004" s="4" t="str">
        <x:f>TEXT(C1004,"mmmm")</x:f>
        <x:v>August</x:v>
      </x:c>
    </x:row>
    <x:row r="1005" ht="20" customHeight="1">
      <x:c r="A1005" s="4" t="inlineStr">
        <x:is>
          <x:t xml:space="preserve">LINE-01014</x:t>
        </x:is>
      </x:c>
      <x:c r="B1005" s="4" t="inlineStr">
        <x:is>
          <x:t xml:space="preserve">ORD-2025-0634</x:t>
        </x:is>
      </x:c>
      <x:c r="C1005" s="17" t="n">
        <x:v>45690</x:v>
      </x:c>
      <x:c r="D1005" s="4" t="inlineStr">
        <x:is>
          <x:t xml:space="preserve">CUS-0325</x:t>
        </x:is>
      </x:c>
      <x:c r="E1005" s="4" t="inlineStr">
        <x:is>
          <x:t xml:space="preserve">USB-C Hub</x:t>
        </x:is>
      </x:c>
      <x:c r="F1005" s="4" t="inlineStr">
        <x:is>
          <x:t xml:space="preserve">Accessories</x:t>
        </x:is>
      </x:c>
      <x:c r="G1005" s="4" t="inlineStr">
        <x:is>
          <x:t xml:space="preserve">Chicago</x:t>
        </x:is>
      </x:c>
      <x:c r="H1005" s="18" t="n">
        <x:v>2</x:v>
      </x:c>
      <x:c r="I1005" s="19" t="n">
        <x:v>62.47</x:v>
      </x:c>
      <x:c r="J1005" s="20" t="n">
        <x:v>0.05</x:v>
      </x:c>
      <x:c r="K1005" s="4" t="inlineStr">
        <x:is>
          <x:t xml:space="preserve">Bank Transfer</x:t>
        </x:is>
      </x:c>
      <x:c r="L1005" s="19" t="n">
        <x:v>124.94</x:v>
      </x:c>
      <x:c r="M1005" s="19" t="n">
        <x:v>6.25</x:v>
      </x:c>
      <x:c r="N1005" s="19" t="n">
        <x:v>118.69</x:v>
      </x:c>
      <x:c r="O1005" s="4" t="n">
        <x:f>YEAR(C1005)</x:f>
        <x:v>2025</x:v>
      </x:c>
      <x:c r="P1005" s="4" t="str">
        <x:f>TEXT(C1005,"yyyy-mm")</x:f>
        <x:v>2025-02</x:v>
      </x:c>
      <x:c r="Q1005" s="4" t="str">
        <x:f>TEXT(C1005,"mmmm")</x:f>
        <x:v>February</x:v>
      </x:c>
    </x:row>
    <x:row r="1006" ht="20" customHeight="1">
      <x:c r="A1006" s="4" t="inlineStr">
        <x:is>
          <x:t xml:space="preserve">LINE-01015</x:t>
        </x:is>
      </x:c>
      <x:c r="B1006" s="4" t="inlineStr">
        <x:is>
          <x:t xml:space="preserve">ORD-2025-0635</x:t>
        </x:is>
      </x:c>
      <x:c r="C1006" s="17" t="n">
        <x:v>45865</x:v>
      </x:c>
      <x:c r="D1006" s="4" t="inlineStr">
        <x:is>
          <x:t xml:space="preserve">CUS-0123</x:t>
        </x:is>
      </x:c>
      <x:c r="E1006" s="4" t="inlineStr">
        <x:is>
          <x:t xml:space="preserve">Wireless Mouse</x:t>
        </x:is>
      </x:c>
      <x:c r="F1006" s="4" t="inlineStr">
        <x:is>
          <x:t xml:space="preserve">Accessories</x:t>
        </x:is>
      </x:c>
      <x:c r="G1006" s="4" t="inlineStr">
        <x:is>
          <x:t xml:space="preserve">New York</x:t>
        </x:is>
      </x:c>
      <x:c r="H1006" s="18" t="n">
        <x:v>3</x:v>
      </x:c>
      <x:c r="I1006" s="19" t="n">
        <x:v>43.64</x:v>
      </x:c>
      <x:c r="J1006" s="20" t="n">
        <x:v>0.05</x:v>
      </x:c>
      <x:c r="K1006" s="4" t="inlineStr">
        <x:is>
          <x:t xml:space="preserve">Debit Card</x:t>
        </x:is>
      </x:c>
      <x:c r="L1006" s="19" t="n">
        <x:v>130.92</x:v>
      </x:c>
      <x:c r="M1006" s="19" t="n">
        <x:v>6.55</x:v>
      </x:c>
      <x:c r="N1006" s="19" t="n">
        <x:v>124.37</x:v>
      </x:c>
      <x:c r="O1006" s="4" t="n">
        <x:f>YEAR(C1006)</x:f>
        <x:v>2025</x:v>
      </x:c>
      <x:c r="P1006" s="4" t="str">
        <x:f>TEXT(C1006,"yyyy-mm")</x:f>
        <x:v>2025-07</x:v>
      </x:c>
      <x:c r="Q1006" s="4" t="str">
        <x:f>TEXT(C1006,"mmmm")</x:f>
        <x:v>July</x:v>
      </x:c>
    </x:row>
    <x:row r="1007" ht="20" customHeight="1">
      <x:c r="A1007" s="4" t="inlineStr">
        <x:is>
          <x:t xml:space="preserve">LINE-01016</x:t>
        </x:is>
      </x:c>
      <x:c r="B1007" s="4" t="inlineStr">
        <x:is>
          <x:t xml:space="preserve">ORD-2025-0636</x:t>
        </x:is>
      </x:c>
      <x:c r="C1007" s="17" t="n">
        <x:v>45881</x:v>
      </x:c>
      <x:c r="D1007" s="4" t="inlineStr">
        <x:is>
          <x:t xml:space="preserve">CUS-0217</x:t>
        </x:is>
      </x:c>
      <x:c r="E1007" s="4" t="inlineStr">
        <x:is>
          <x:t xml:space="preserve">USB-C Hub</x:t>
        </x:is>
      </x:c>
      <x:c r="F1007" s="4" t="inlineStr">
        <x:is>
          <x:t xml:space="preserve">Accessories</x:t>
        </x:is>
      </x:c>
      <x:c r="G1007" s="4" t="inlineStr">
        <x:is>
          <x:t xml:space="preserve">San Francisco</x:t>
        </x:is>
      </x:c>
      <x:c r="H1007" s="18" t="n">
        <x:v>1</x:v>
      </x:c>
      <x:c r="I1007" s="19" t="n">
        <x:v>62.49</x:v>
      </x:c>
      <x:c r="J1007" s="20" t="n">
        <x:v>0.1</x:v>
      </x:c>
      <x:c r="K1007" s="4" t="inlineStr">
        <x:is>
          <x:t xml:space="preserve">Credit Card</x:t>
        </x:is>
      </x:c>
      <x:c r="L1007" s="19" t="n">
        <x:v>62.49</x:v>
      </x:c>
      <x:c r="M1007" s="19" t="n">
        <x:v>6.25</x:v>
      </x:c>
      <x:c r="N1007" s="19" t="n">
        <x:v>56.24</x:v>
      </x:c>
      <x:c r="O1007" s="4" t="n">
        <x:f>YEAR(C1007)</x:f>
        <x:v>2025</x:v>
      </x:c>
      <x:c r="P1007" s="4" t="str">
        <x:f>TEXT(C1007,"yyyy-mm")</x:f>
        <x:v>2025-08</x:v>
      </x:c>
      <x:c r="Q1007" s="4" t="str">
        <x:f>TEXT(C1007,"mmmm")</x:f>
        <x:v>August</x:v>
      </x:c>
    </x:row>
    <x:row r="1008" ht="20" customHeight="1">
      <x:c r="A1008" s="4" t="inlineStr">
        <x:is>
          <x:t xml:space="preserve">LINE-01017</x:t>
        </x:is>
      </x:c>
      <x:c r="B1008" s="4" t="inlineStr">
        <x:is>
          <x:t xml:space="preserve">ORD-2025-0637</x:t>
        </x:is>
      </x:c>
      <x:c r="C1008" s="17" t="n">
        <x:v>45995</x:v>
      </x:c>
      <x:c r="D1008" s="4" t="inlineStr">
        <x:is>
          <x:t xml:space="preserve">CUS-0282</x:t>
        </x:is>
      </x:c>
      <x:c r="E1008" s="4" t="inlineStr">
        <x:is>
          <x:t xml:space="preserve">Bluetooth Speaker</x:t>
        </x:is>
      </x:c>
      <x:c r="F1008" s="4" t="inlineStr">
        <x:is>
          <x:t xml:space="preserve">Audio</x:t>
        </x:is>
      </x:c>
      <x:c r="G1008" s="4" t="inlineStr">
        <x:is>
          <x:t xml:space="preserve">Chicago</x:t>
        </x:is>
      </x:c>
      <x:c r="H1008" s="18" t="n">
        <x:v>3</x:v>
      </x:c>
      <x:c r="I1008" s="19" t="n">
        <x:v>102.68</x:v>
      </x:c>
      <x:c r="J1008" s="20" t="n">
        <x:v>0.05</x:v>
      </x:c>
      <x:c r="K1008" s="4" t="inlineStr">
        <x:is>
          <x:t xml:space="preserve">Credit Card</x:t>
        </x:is>
      </x:c>
      <x:c r="L1008" s="19" t="n">
        <x:v>308.04</x:v>
      </x:c>
      <x:c r="M1008" s="19" t="n">
        <x:v>15.4</x:v>
      </x:c>
      <x:c r="N1008" s="19" t="n">
        <x:v>292.64</x:v>
      </x:c>
      <x:c r="O1008" s="4" t="n">
        <x:f>YEAR(C1008)</x:f>
        <x:v>2025</x:v>
      </x:c>
      <x:c r="P1008" s="4" t="str">
        <x:f>TEXT(C1008,"yyyy-mm")</x:f>
        <x:v>2025-12</x:v>
      </x:c>
      <x:c r="Q1008" s="4" t="str">
        <x:f>TEXT(C1008,"mmmm")</x:f>
        <x:v>December</x:v>
      </x:c>
    </x:row>
    <x:row r="1009" ht="20" customHeight="1">
      <x:c r="A1009" s="4" t="inlineStr">
        <x:is>
          <x:t xml:space="preserve">LINE-01018</x:t>
        </x:is>
      </x:c>
      <x:c r="B1009" s="4" t="inlineStr">
        <x:is>
          <x:t xml:space="preserve">ORD-2025-0637</x:t>
        </x:is>
      </x:c>
      <x:c r="C1009" s="17" t="n">
        <x:v>45995</x:v>
      </x:c>
      <x:c r="D1009" s="4" t="inlineStr">
        <x:is>
          <x:t xml:space="preserve">CUS-0282</x:t>
        </x:is>
      </x:c>
      <x:c r="E1009" s="4" t="inlineStr">
        <x:is>
          <x:t xml:space="preserve">Laptop</x:t>
        </x:is>
      </x:c>
      <x:c r="F1009" s="4" t="inlineStr">
        <x:is>
          <x:t xml:space="preserve">Computers</x:t>
        </x:is>
      </x:c>
      <x:c r="G1009" s="4" t="inlineStr">
        <x:is>
          <x:t xml:space="preserve">Chicago</x:t>
        </x:is>
      </x:c>
      <x:c r="H1009" s="18" t="n">
        <x:v>4</x:v>
      </x:c>
      <x:c r="I1009" s="19" t="n">
        <x:v>1010.89</x:v>
      </x:c>
      <x:c r="J1009" s="20" t="n">
        <x:v>0</x:v>
      </x:c>
      <x:c r="K1009" s="4" t="inlineStr">
        <x:is>
          <x:t xml:space="preserve">Credit Card</x:t>
        </x:is>
      </x:c>
      <x:c r="L1009" s="19" t="n">
        <x:v>4043.56</x:v>
      </x:c>
      <x:c r="M1009" s="19" t="n">
        <x:v>0</x:v>
      </x:c>
      <x:c r="N1009" s="19" t="n">
        <x:v>4043.56</x:v>
      </x:c>
      <x:c r="O1009" s="4" t="n">
        <x:f>YEAR(C1009)</x:f>
        <x:v>2025</x:v>
      </x:c>
      <x:c r="P1009" s="4" t="str">
        <x:f>TEXT(C1009,"yyyy-mm")</x:f>
        <x:v>2025-12</x:v>
      </x:c>
      <x:c r="Q1009" s="4" t="str">
        <x:f>TEXT(C1009,"mmmm")</x:f>
        <x:v>December</x:v>
      </x:c>
    </x:row>
    <x:row r="1010" ht="20" customHeight="1">
      <x:c r="A1010" s="4" t="inlineStr">
        <x:is>
          <x:t xml:space="preserve">LINE-01019</x:t>
        </x:is>
      </x:c>
      <x:c r="B1010" s="4" t="inlineStr">
        <x:is>
          <x:t xml:space="preserve">ORD-2025-0637</x:t>
        </x:is>
      </x:c>
      <x:c r="C1010" s="17" t="n">
        <x:v>45995</x:v>
      </x:c>
      <x:c r="D1010" s="4" t="inlineStr">
        <x:is>
          <x:t xml:space="preserve">CUS-0282</x:t>
        </x:is>
      </x:c>
      <x:c r="E1010" s="4" t="inlineStr">
        <x:is>
          <x:t xml:space="preserve">Office Chair</x:t>
        </x:is>
      </x:c>
      <x:c r="F1010" s="4" t="inlineStr">
        <x:is>
          <x:t xml:space="preserve">Furniture</x:t>
        </x:is>
      </x:c>
      <x:c r="G1010" s="4" t="inlineStr">
        <x:is>
          <x:t xml:space="preserve">Chicago</x:t>
        </x:is>
      </x:c>
      <x:c r="H1010" s="18" t="n">
        <x:v>1</x:v>
      </x:c>
      <x:c r="I1010" s="19" t="n">
        <x:v>246.05</x:v>
      </x:c>
      <x:c r="J1010" s="20" t="n">
        <x:v>0</x:v>
      </x:c>
      <x:c r="K1010" s="4" t="inlineStr">
        <x:is>
          <x:t xml:space="preserve">Credit Card</x:t>
        </x:is>
      </x:c>
      <x:c r="L1010" s="19" t="n">
        <x:v>246.05</x:v>
      </x:c>
      <x:c r="M1010" s="19" t="n">
        <x:v>0</x:v>
      </x:c>
      <x:c r="N1010" s="19" t="n">
        <x:v>246.05</x:v>
      </x:c>
      <x:c r="O1010" s="4" t="n">
        <x:f>YEAR(C1010)</x:f>
        <x:v>2025</x:v>
      </x:c>
      <x:c r="P1010" s="4" t="str">
        <x:f>TEXT(C1010,"yyyy-mm")</x:f>
        <x:v>2025-12</x:v>
      </x:c>
      <x:c r="Q1010" s="4" t="str">
        <x:f>TEXT(C1010,"mmmm")</x:f>
        <x:v>December</x:v>
      </x:c>
    </x:row>
    <x:row r="1011" ht="20" customHeight="1">
      <x:c r="A1011" s="4" t="inlineStr">
        <x:is>
          <x:t xml:space="preserve">LINE-01020</x:t>
        </x:is>
      </x:c>
      <x:c r="B1011" s="4" t="inlineStr">
        <x:is>
          <x:t xml:space="preserve">ORD-2025-0638</x:t>
        </x:is>
      </x:c>
      <x:c r="C1011" s="17" t="n">
        <x:v>45729</x:v>
      </x:c>
      <x:c r="D1011" s="4" t="inlineStr">
        <x:is>
          <x:t xml:space="preserve">CUS-0121</x:t>
        </x:is>
      </x:c>
      <x:c r="E1011" s="4" t="inlineStr">
        <x:is>
          <x:t xml:space="preserve">USB Flash Drive</x:t>
        </x:is>
      </x:c>
      <x:c r="F1011" s="4" t="inlineStr">
        <x:is>
          <x:t xml:space="preserve">Storage</x:t>
        </x:is>
      </x:c>
      <x:c r="G1011" s="4" t="inlineStr">
        <x:is>
          <x:t xml:space="preserve">New York</x:t>
        </x:is>
      </x:c>
      <x:c r="H1011" s="18" t="n">
        <x:v>1</x:v>
      </x:c>
      <x:c r="I1011" s="19" t="n">
        <x:v>31.85</x:v>
      </x:c>
      <x:c r="J1011" s="20" t="n">
        <x:v>0</x:v>
      </x:c>
      <x:c r="K1011" s="4" t="inlineStr">
        <x:is>
          <x:t xml:space="preserve">Credit Card</x:t>
        </x:is>
      </x:c>
      <x:c r="L1011" s="19" t="n">
        <x:v>31.85</x:v>
      </x:c>
      <x:c r="M1011" s="19" t="n">
        <x:v>0</x:v>
      </x:c>
      <x:c r="N1011" s="19" t="n">
        <x:v>31.85</x:v>
      </x:c>
      <x:c r="O1011" s="4" t="n">
        <x:f>YEAR(C1011)</x:f>
        <x:v>2025</x:v>
      </x:c>
      <x:c r="P1011" s="4" t="str">
        <x:f>TEXT(C1011,"yyyy-mm")</x:f>
        <x:v>2025-03</x:v>
      </x:c>
      <x:c r="Q1011" s="4" t="str">
        <x:f>TEXT(C1011,"mmmm")</x:f>
        <x:v>March</x:v>
      </x:c>
    </x:row>
    <x:row r="1012" ht="20" customHeight="1">
      <x:c r="A1012" s="4" t="inlineStr">
        <x:is>
          <x:t xml:space="preserve">LINE-01021</x:t>
        </x:is>
      </x:c>
      <x:c r="B1012" s="4" t="inlineStr">
        <x:is>
          <x:t xml:space="preserve">ORD-2025-0638</x:t>
        </x:is>
      </x:c>
      <x:c r="C1012" s="17" t="n">
        <x:v>45729</x:v>
      </x:c>
      <x:c r="D1012" s="4" t="inlineStr">
        <x:is>
          <x:t xml:space="preserve">CUS-0121</x:t>
        </x:is>
      </x:c>
      <x:c r="E1012" s="4" t="inlineStr">
        <x:is>
          <x:t xml:space="preserve">External SSD</x:t>
        </x:is>
      </x:c>
      <x:c r="F1012" s="4" t="inlineStr">
        <x:is>
          <x:t xml:space="preserve">Storage</x:t>
        </x:is>
      </x:c>
      <x:c r="G1012" s="4" t="inlineStr">
        <x:is>
          <x:t xml:space="preserve">New York</x:t>
        </x:is>
      </x:c>
      <x:c r="H1012" s="18" t="n">
        <x:v>1</x:v>
      </x:c>
      <x:c r="I1012" s="19" t="n">
        <x:v>157.36</x:v>
      </x:c>
      <x:c r="J1012" s="20" t="n">
        <x:v>0</x:v>
      </x:c>
      <x:c r="K1012" s="4" t="inlineStr">
        <x:is>
          <x:t xml:space="preserve">Credit Card</x:t>
        </x:is>
      </x:c>
      <x:c r="L1012" s="19" t="n">
        <x:v>157.36</x:v>
      </x:c>
      <x:c r="M1012" s="19" t="n">
        <x:v>0</x:v>
      </x:c>
      <x:c r="N1012" s="19" t="n">
        <x:v>157.36</x:v>
      </x:c>
      <x:c r="O1012" s="4" t="n">
        <x:f>YEAR(C1012)</x:f>
        <x:v>2025</x:v>
      </x:c>
      <x:c r="P1012" s="4" t="str">
        <x:f>TEXT(C1012,"yyyy-mm")</x:f>
        <x:v>2025-03</x:v>
      </x:c>
      <x:c r="Q1012" s="4" t="str">
        <x:f>TEXT(C1012,"mmmm")</x:f>
        <x:v>March</x:v>
      </x:c>
    </x:row>
    <x:row r="1013" ht="20" customHeight="1">
      <x:c r="A1013" s="4" t="inlineStr">
        <x:is>
          <x:t xml:space="preserve">LINE-01022</x:t>
        </x:is>
      </x:c>
      <x:c r="B1013" s="4" t="inlineStr">
        <x:is>
          <x:t xml:space="preserve">ORD-2025-0639</x:t>
        </x:is>
      </x:c>
      <x:c r="C1013" s="17" t="n">
        <x:v>45957</x:v>
      </x:c>
      <x:c r="D1013" s="4" t="inlineStr">
        <x:is>
          <x:t xml:space="preserve">CUS-0200</x:t>
        </x:is>
      </x:c>
      <x:c r="E1013" s="4" t="inlineStr">
        <x:is>
          <x:t xml:space="preserve">Wireless Mouse</x:t>
        </x:is>
      </x:c>
      <x:c r="F1013" s="4" t="inlineStr">
        <x:is>
          <x:t xml:space="preserve">Accessories</x:t>
        </x:is>
      </x:c>
      <x:c r="G1013" s="4" t="inlineStr">
        <x:is>
          <x:t xml:space="preserve">San Francisco</x:t>
        </x:is>
      </x:c>
      <x:c r="H1013" s="18" t="n">
        <x:v>1</x:v>
      </x:c>
      <x:c r="I1013" s="19" t="n">
        <x:v>48.38</x:v>
      </x:c>
      <x:c r="J1013" s="20" t="n">
        <x:v>0</x:v>
      </x:c>
      <x:c r="K1013" s="4" t="inlineStr">
        <x:is>
          <x:t xml:space="preserve">Debit Card</x:t>
        </x:is>
      </x:c>
      <x:c r="L1013" s="19" t="n">
        <x:v>48.38</x:v>
      </x:c>
      <x:c r="M1013" s="19" t="n">
        <x:v>0</x:v>
      </x:c>
      <x:c r="N1013" s="19" t="n">
        <x:v>48.38</x:v>
      </x:c>
      <x:c r="O1013" s="4" t="n">
        <x:f>YEAR(C1013)</x:f>
        <x:v>2025</x:v>
      </x:c>
      <x:c r="P1013" s="4" t="str">
        <x:f>TEXT(C1013,"yyyy-mm")</x:f>
        <x:v>2025-10</x:v>
      </x:c>
      <x:c r="Q1013" s="4" t="str">
        <x:f>TEXT(C1013,"mmmm")</x:f>
        <x:v>October</x:v>
      </x:c>
    </x:row>
    <x:row r="1014" ht="20" customHeight="1">
      <x:c r="A1014" s="4" t="inlineStr">
        <x:is>
          <x:t xml:space="preserve">LINE-01023</x:t>
        </x:is>
      </x:c>
      <x:c r="B1014" s="4" t="inlineStr">
        <x:is>
          <x:t xml:space="preserve">ORD-2025-0639</x:t>
        </x:is>
      </x:c>
      <x:c r="C1014" s="17" t="n">
        <x:v>45957</x:v>
      </x:c>
      <x:c r="D1014" s="4" t="inlineStr">
        <x:is>
          <x:t xml:space="preserve">CUS-0200</x:t>
        </x:is>
      </x:c>
      <x:c r="E1014" s="4" t="inlineStr">
        <x:is>
          <x:t xml:space="preserve">Keyboard</x:t>
        </x:is>
      </x:c>
      <x:c r="F1014" s="4" t="inlineStr">
        <x:is>
          <x:t xml:space="preserve">Accessories</x:t>
        </x:is>
      </x:c>
      <x:c r="G1014" s="4" t="inlineStr">
        <x:is>
          <x:t xml:space="preserve">San Francisco</x:t>
        </x:is>
      </x:c>
      <x:c r="H1014" s="18" t="n">
        <x:v>1</x:v>
      </x:c>
      <x:c r="I1014" s="19" t="n">
        <x:v>76.06999999999999</x:v>
      </x:c>
      <x:c r="J1014" s="20" t="n">
        <x:v>0.05</x:v>
      </x:c>
      <x:c r="K1014" s="4" t="inlineStr">
        <x:is>
          <x:t xml:space="preserve">Debit Card</x:t>
        </x:is>
      </x:c>
      <x:c r="L1014" s="19" t="n">
        <x:v>76.06999999999999</x:v>
      </x:c>
      <x:c r="M1014" s="19" t="n">
        <x:v>3.8</x:v>
      </x:c>
      <x:c r="N1014" s="19" t="n">
        <x:v>72.27</x:v>
      </x:c>
      <x:c r="O1014" s="4" t="n">
        <x:f>YEAR(C1014)</x:f>
        <x:v>2025</x:v>
      </x:c>
      <x:c r="P1014" s="4" t="str">
        <x:f>TEXT(C1014,"yyyy-mm")</x:f>
        <x:v>2025-10</x:v>
      </x:c>
      <x:c r="Q1014" s="4" t="str">
        <x:f>TEXT(C1014,"mmmm")</x:f>
        <x:v>October</x:v>
      </x:c>
    </x:row>
    <x:row r="1015" ht="20" customHeight="1">
      <x:c r="A1015" s="4" t="inlineStr">
        <x:is>
          <x:t xml:space="preserve">LINE-01024</x:t>
        </x:is>
      </x:c>
      <x:c r="B1015" s="4" t="inlineStr">
        <x:is>
          <x:t xml:space="preserve">ORD-2025-0639</x:t>
        </x:is>
      </x:c>
      <x:c r="C1015" s="17" t="n">
        <x:v>45957</x:v>
      </x:c>
      <x:c r="D1015" s="4" t="inlineStr">
        <x:is>
          <x:t xml:space="preserve">CUS-0200</x:t>
        </x:is>
      </x:c>
      <x:c r="E1015" s="4" t="inlineStr">
        <x:is>
          <x:t xml:space="preserve">Monitor</x:t>
        </x:is>
      </x:c>
      <x:c r="F1015" s="4" t="inlineStr">
        <x:is>
          <x:t xml:space="preserve">Computers</x:t>
        </x:is>
      </x:c>
      <x:c r="G1015" s="4" t="inlineStr">
        <x:is>
          <x:t xml:space="preserve">San Francisco</x:t>
        </x:is>
      </x:c>
      <x:c r="H1015" s="18" t="n">
        <x:v>1</x:v>
      </x:c>
      <x:c r="I1015" s="19" t="n">
        <x:v>300.1</x:v>
      </x:c>
      <x:c r="J1015" s="20" t="n">
        <x:v>0</x:v>
      </x:c>
      <x:c r="K1015" s="4" t="inlineStr">
        <x:is>
          <x:t xml:space="preserve">Debit Card</x:t>
        </x:is>
      </x:c>
      <x:c r="L1015" s="19" t="n">
        <x:v>300.1</x:v>
      </x:c>
      <x:c r="M1015" s="19" t="n">
        <x:v>0</x:v>
      </x:c>
      <x:c r="N1015" s="19" t="n">
        <x:v>300.1</x:v>
      </x:c>
      <x:c r="O1015" s="4" t="n">
        <x:f>YEAR(C1015)</x:f>
        <x:v>2025</x:v>
      </x:c>
      <x:c r="P1015" s="4" t="str">
        <x:f>TEXT(C1015,"yyyy-mm")</x:f>
        <x:v>2025-10</x:v>
      </x:c>
      <x:c r="Q1015" s="4" t="str">
        <x:f>TEXT(C1015,"mmmm")</x:f>
        <x:v>October</x:v>
      </x:c>
    </x:row>
    <x:row r="1016" ht="20" customHeight="1">
      <x:c r="A1016" s="4" t="inlineStr">
        <x:is>
          <x:t xml:space="preserve">LINE-01026</x:t>
        </x:is>
      </x:c>
      <x:c r="B1016" s="4" t="inlineStr">
        <x:is>
          <x:t xml:space="preserve">ORD-2025-0640</x:t>
        </x:is>
      </x:c>
      <x:c r="C1016" s="17" t="n">
        <x:v>45874</x:v>
      </x:c>
      <x:c r="D1016" s="4" t="inlineStr">
        <x:is>
          <x:t xml:space="preserve">CUS-0244</x:t>
        </x:is>
      </x:c>
      <x:c r="E1016" s="4" t="inlineStr">
        <x:is>
          <x:t xml:space="preserve">Webcam</x:t>
        </x:is>
      </x:c>
      <x:c r="F1016" s="4" t="inlineStr">
        <x:is>
          <x:t xml:space="preserve">Accessories</x:t>
        </x:is>
      </x:c>
      <x:c r="G1016" s="4" t="inlineStr">
        <x:is>
          <x:t xml:space="preserve">San Francisco</x:t>
        </x:is>
      </x:c>
      <x:c r="H1016" s="18" t="n">
        <x:v>5</x:v>
      </x:c>
      <x:c r="I1016" s="19" t="n">
        <x:v>91.52</x:v>
      </x:c>
      <x:c r="J1016" s="20" t="n">
        <x:v>0.1</x:v>
      </x:c>
      <x:c r="K1016" s="4" t="inlineStr">
        <x:is>
          <x:t xml:space="preserve">Debit Card</x:t>
        </x:is>
      </x:c>
      <x:c r="L1016" s="19" t="n">
        <x:v>457.6</x:v>
      </x:c>
      <x:c r="M1016" s="19" t="n">
        <x:v>45.76</x:v>
      </x:c>
      <x:c r="N1016" s="19" t="n">
        <x:v>411.84</x:v>
      </x:c>
      <x:c r="O1016" s="4" t="n">
        <x:f>YEAR(C1016)</x:f>
        <x:v>2025</x:v>
      </x:c>
      <x:c r="P1016" s="4" t="str">
        <x:f>TEXT(C1016,"yyyy-mm")</x:f>
        <x:v>2025-08</x:v>
      </x:c>
      <x:c r="Q1016" s="4" t="str">
        <x:f>TEXT(C1016,"mmmm")</x:f>
        <x:v>August</x:v>
      </x:c>
    </x:row>
    <x:row r="1017" ht="20" customHeight="1">
      <x:c r="A1017" s="4" t="inlineStr">
        <x:is>
          <x:t xml:space="preserve">LINE-01027</x:t>
        </x:is>
      </x:c>
      <x:c r="B1017" s="4" t="inlineStr">
        <x:is>
          <x:t xml:space="preserve">ORD-2025-0640</x:t>
        </x:is>
      </x:c>
      <x:c r="C1017" s="17" t="n">
        <x:v>45874</x:v>
      </x:c>
      <x:c r="D1017" s="4" t="inlineStr">
        <x:is>
          <x:t xml:space="preserve">CUS-0244</x:t>
        </x:is>
      </x:c>
      <x:c r="E1017" s="4" t="inlineStr">
        <x:is>
          <x:t xml:space="preserve">Bluetooth Speaker</x:t>
        </x:is>
      </x:c>
      <x:c r="F1017" s="4" t="inlineStr">
        <x:is>
          <x:t xml:space="preserve">Audio</x:t>
        </x:is>
      </x:c>
      <x:c r="G1017" s="4" t="inlineStr">
        <x:is>
          <x:t xml:space="preserve">San Francisco</x:t>
        </x:is>
      </x:c>
      <x:c r="H1017" s="18" t="n">
        <x:v>2</x:v>
      </x:c>
      <x:c r="I1017" s="19" t="n">
        <x:v>117.76</x:v>
      </x:c>
      <x:c r="J1017" s="20" t="n">
        <x:v>0.05</x:v>
      </x:c>
      <x:c r="K1017" s="4" t="inlineStr">
        <x:is>
          <x:t xml:space="preserve">Debit Card</x:t>
        </x:is>
      </x:c>
      <x:c r="L1017" s="19" t="n">
        <x:v>235.52</x:v>
      </x:c>
      <x:c r="M1017" s="19" t="n">
        <x:v>11.78</x:v>
      </x:c>
      <x:c r="N1017" s="19" t="n">
        <x:v>223.74</x:v>
      </x:c>
      <x:c r="O1017" s="4" t="n">
        <x:f>YEAR(C1017)</x:f>
        <x:v>2025</x:v>
      </x:c>
      <x:c r="P1017" s="4" t="str">
        <x:f>TEXT(C1017,"yyyy-mm")</x:f>
        <x:v>2025-08</x:v>
      </x:c>
      <x:c r="Q1017" s="4" t="str">
        <x:f>TEXT(C1017,"mmmm")</x:f>
        <x:v>August</x:v>
      </x:c>
    </x:row>
    <x:row r="1018" ht="20" customHeight="1">
      <x:c r="A1018" s="4" t="inlineStr">
        <x:is>
          <x:t xml:space="preserve">LINE-01028</x:t>
        </x:is>
      </x:c>
      <x:c r="B1018" s="4" t="inlineStr">
        <x:is>
          <x:t xml:space="preserve">ORD-2025-0641</x:t>
        </x:is>
      </x:c>
      <x:c r="C1018" s="17" t="n">
        <x:v>46001</x:v>
      </x:c>
      <x:c r="D1018" s="4" t="inlineStr">
        <x:is>
          <x:t xml:space="preserve">CUS-0123</x:t>
        </x:is>
      </x:c>
      <x:c r="E1018" s="4" t="inlineStr">
        <x:is>
          <x:t xml:space="preserve">Desk Lamp</x:t>
        </x:is>
      </x:c>
      <x:c r="F1018" s="4" t="inlineStr">
        <x:is>
          <x:t xml:space="preserve">Furniture</x:t>
        </x:is>
      </x:c>
      <x:c r="G1018" s="4" t="inlineStr">
        <x:is>
          <x:t xml:space="preserve">Austin</x:t>
        </x:is>
      </x:c>
      <x:c r="H1018" s="18" t="n">
        <x:v>1</x:v>
      </x:c>
      <x:c r="I1018" s="19" t="n">
        <x:v>57.75</x:v>
      </x:c>
      <x:c r="J1018" s="20" t="n">
        <x:v>0</x:v>
      </x:c>
      <x:c r="K1018" s="4" t="inlineStr">
        <x:is>
          <x:t xml:space="preserve">Bank Transfer</x:t>
        </x:is>
      </x:c>
      <x:c r="L1018" s="19" t="n">
        <x:v>57.75</x:v>
      </x:c>
      <x:c r="M1018" s="19" t="n">
        <x:v>0</x:v>
      </x:c>
      <x:c r="N1018" s="19" t="n">
        <x:v>57.75</x:v>
      </x:c>
      <x:c r="O1018" s="4" t="n">
        <x:f>YEAR(C1018)</x:f>
        <x:v>2025</x:v>
      </x:c>
      <x:c r="P1018" s="4" t="str">
        <x:f>TEXT(C1018,"yyyy-mm")</x:f>
        <x:v>2025-12</x:v>
      </x:c>
      <x:c r="Q1018" s="4" t="str">
        <x:f>TEXT(C1018,"mmmm")</x:f>
        <x:v>December</x:v>
      </x:c>
    </x:row>
    <x:row r="1019" ht="20" customHeight="1">
      <x:c r="A1019" s="4" t="inlineStr">
        <x:is>
          <x:t xml:space="preserve">LINE-01029</x:t>
        </x:is>
      </x:c>
      <x:c r="B1019" s="4" t="inlineStr">
        <x:is>
          <x:t xml:space="preserve">ORD-2025-0642</x:t>
        </x:is>
      </x:c>
      <x:c r="C1019" s="17" t="n">
        <x:v>45779</x:v>
      </x:c>
      <x:c r="D1019" s="4" t="inlineStr">
        <x:is>
          <x:t xml:space="preserve">CUS-0227</x:t>
        </x:is>
      </x:c>
      <x:c r="E1019" s="4" t="inlineStr">
        <x:is>
          <x:t xml:space="preserve">Headphones</x:t>
        </x:is>
      </x:c>
      <x:c r="F1019" s="4" t="inlineStr">
        <x:is>
          <x:t xml:space="preserve">Audio</x:t>
        </x:is>
      </x:c>
      <x:c r="G1019" s="4" t="inlineStr">
        <x:is>
          <x:t xml:space="preserve">Seattle</x:t>
        </x:is>
      </x:c>
      <x:c r="H1019" s="18" t="n">
        <x:v>1</x:v>
      </x:c>
      <x:c r="I1019" s="19" t="n">
        <x:v>136.71</x:v>
      </x:c>
      <x:c r="J1019" s="20" t="n">
        <x:v>0</x:v>
      </x:c>
      <x:c r="K1019" s="4" t="inlineStr">
        <x:is>
          <x:t xml:space="preserve">Credit Card</x:t>
        </x:is>
      </x:c>
      <x:c r="L1019" s="19" t="n">
        <x:v>136.71</x:v>
      </x:c>
      <x:c r="M1019" s="19" t="n">
        <x:v>0</x:v>
      </x:c>
      <x:c r="N1019" s="19" t="n">
        <x:v>136.71</x:v>
      </x:c>
      <x:c r="O1019" s="4" t="n">
        <x:f>YEAR(C1019)</x:f>
        <x:v>2025</x:v>
      </x:c>
      <x:c r="P1019" s="4" t="str">
        <x:f>TEXT(C1019,"yyyy-mm")</x:f>
        <x:v>2025-05</x:v>
      </x:c>
      <x:c r="Q1019" s="4" t="str">
        <x:f>TEXT(C1019,"mmmm")</x:f>
        <x:v>May</x:v>
      </x:c>
    </x:row>
    <x:row r="1020" ht="20" customHeight="1">
      <x:c r="A1020" s="4" t="inlineStr">
        <x:is>
          <x:t xml:space="preserve">LINE-01030</x:t>
        </x:is>
      </x:c>
      <x:c r="B1020" s="4" t="inlineStr">
        <x:is>
          <x:t xml:space="preserve">ORD-2025-0642</x:t>
        </x:is>
      </x:c>
      <x:c r="C1020" s="17" t="n">
        <x:v>45779</x:v>
      </x:c>
      <x:c r="D1020" s="4" t="inlineStr">
        <x:is>
          <x:t xml:space="preserve">CUS-0227</x:t>
        </x:is>
      </x:c>
      <x:c r="E1020" s="4" t="inlineStr">
        <x:is>
          <x:t xml:space="preserve">USB-C Hub</x:t>
        </x:is>
      </x:c>
      <x:c r="F1020" s="4" t="inlineStr">
        <x:is>
          <x:t xml:space="preserve">Accessories</x:t>
        </x:is>
      </x:c>
      <x:c r="G1020" s="4" t="inlineStr">
        <x:is>
          <x:t xml:space="preserve">Seattle</x:t>
        </x:is>
      </x:c>
      <x:c r="H1020" s="18" t="n">
        <x:v>1</x:v>
      </x:c>
      <x:c r="I1020" s="19" t="n">
        <x:v>69.06</x:v>
      </x:c>
      <x:c r="J1020" s="20" t="n">
        <x:v>0.15</x:v>
      </x:c>
      <x:c r="K1020" s="4" t="inlineStr">
        <x:is>
          <x:t xml:space="preserve">Credit Card</x:t>
        </x:is>
      </x:c>
      <x:c r="L1020" s="19" t="n">
        <x:v>69.06</x:v>
      </x:c>
      <x:c r="M1020" s="19" t="n">
        <x:v>10.36</x:v>
      </x:c>
      <x:c r="N1020" s="19" t="n">
        <x:v>58.7</x:v>
      </x:c>
      <x:c r="O1020" s="4" t="n">
        <x:f>YEAR(C1020)</x:f>
        <x:v>2025</x:v>
      </x:c>
      <x:c r="P1020" s="4" t="str">
        <x:f>TEXT(C1020,"yyyy-mm")</x:f>
        <x:v>2025-05</x:v>
      </x:c>
      <x:c r="Q1020" s="4" t="str">
        <x:f>TEXT(C1020,"mmmm")</x:f>
        <x:v>May</x:v>
      </x:c>
    </x:row>
    <x:row r="1021" ht="20" customHeight="1">
      <x:c r="A1021" s="4" t="inlineStr">
        <x:is>
          <x:t xml:space="preserve">LINE-01031</x:t>
        </x:is>
      </x:c>
      <x:c r="B1021" s="4" t="inlineStr">
        <x:is>
          <x:t xml:space="preserve">ORD-2025-0642</x:t>
        </x:is>
      </x:c>
      <x:c r="C1021" s="17" t="n">
        <x:v>45779</x:v>
      </x:c>
      <x:c r="D1021" s="4" t="inlineStr">
        <x:is>
          <x:t xml:space="preserve">CUS-0227</x:t>
        </x:is>
      </x:c>
      <x:c r="E1021" s="4" t="inlineStr">
        <x:is>
          <x:t xml:space="preserve">Office Chair</x:t>
        </x:is>
      </x:c>
      <x:c r="F1021" s="4" t="inlineStr">
        <x:is>
          <x:t xml:space="preserve">Furniture</x:t>
        </x:is>
      </x:c>
      <x:c r="G1021" s="4" t="inlineStr">
        <x:is>
          <x:t xml:space="preserve">Seattle</x:t>
        </x:is>
      </x:c>
      <x:c r="H1021" s="18" t="n">
        <x:v>2</x:v>
      </x:c>
      <x:c r="I1021" s="19" t="n">
        <x:v>254.57</x:v>
      </x:c>
      <x:c r="J1021" s="20" t="n">
        <x:v>0.1</x:v>
      </x:c>
      <x:c r="K1021" s="4" t="inlineStr">
        <x:is>
          <x:t xml:space="preserve">Credit Card</x:t>
        </x:is>
      </x:c>
      <x:c r="L1021" s="19" t="n">
        <x:v>509.14</x:v>
      </x:c>
      <x:c r="M1021" s="19" t="n">
        <x:v>50.91</x:v>
      </x:c>
      <x:c r="N1021" s="19" t="n">
        <x:v>458.23</x:v>
      </x:c>
      <x:c r="O1021" s="4" t="n">
        <x:f>YEAR(C1021)</x:f>
        <x:v>2025</x:v>
      </x:c>
      <x:c r="P1021" s="4" t="str">
        <x:f>TEXT(C1021,"yyyy-mm")</x:f>
        <x:v>2025-05</x:v>
      </x:c>
      <x:c r="Q1021" s="4" t="str">
        <x:f>TEXT(C1021,"mmmm")</x:f>
        <x:v>May</x:v>
      </x:c>
    </x:row>
    <x:row r="1022" ht="20" customHeight="1">
      <x:c r="A1022" s="4" t="inlineStr">
        <x:is>
          <x:t xml:space="preserve">LINE-01032</x:t>
        </x:is>
      </x:c>
      <x:c r="B1022" s="4" t="inlineStr">
        <x:is>
          <x:t xml:space="preserve">ORD-2025-0643</x:t>
        </x:is>
      </x:c>
      <x:c r="C1022" s="17" t="n">
        <x:v>45866</x:v>
      </x:c>
      <x:c r="D1022" s="4" t="inlineStr">
        <x:is>
          <x:t xml:space="preserve">CUS-0018</x:t>
        </x:is>
      </x:c>
      <x:c r="E1022" s="4" t="inlineStr">
        <x:is>
          <x:t xml:space="preserve">Bluetooth Speaker</x:t>
        </x:is>
      </x:c>
      <x:c r="F1022" s="4" t="inlineStr">
        <x:is>
          <x:t xml:space="preserve">Audio</x:t>
        </x:is>
      </x:c>
      <x:c r="G1022" s="4" t="inlineStr">
        <x:is>
          <x:t xml:space="preserve">Austin</x:t>
        </x:is>
      </x:c>
      <x:c r="H1022" s="18" t="n">
        <x:v>3</x:v>
      </x:c>
      <x:c r="I1022" s="19" t="n">
        <x:v>117.51</x:v>
      </x:c>
      <x:c r="J1022" s="20" t="n">
        <x:v>0</x:v>
      </x:c>
      <x:c r="K1022" s="4" t="inlineStr">
        <x:is>
          <x:t xml:space="preserve">Credit Card</x:t>
        </x:is>
      </x:c>
      <x:c r="L1022" s="19" t="n">
        <x:v>352.53</x:v>
      </x:c>
      <x:c r="M1022" s="19" t="n">
        <x:v>0</x:v>
      </x:c>
      <x:c r="N1022" s="19" t="n">
        <x:v>352.53</x:v>
      </x:c>
      <x:c r="O1022" s="4" t="n">
        <x:f>YEAR(C1022)</x:f>
        <x:v>2025</x:v>
      </x:c>
      <x:c r="P1022" s="4" t="str">
        <x:f>TEXT(C1022,"yyyy-mm")</x:f>
        <x:v>2025-07</x:v>
      </x:c>
      <x:c r="Q1022" s="4" t="str">
        <x:f>TEXT(C1022,"mmmm")</x:f>
        <x:v>July</x:v>
      </x:c>
    </x:row>
    <x:row r="1023" ht="20" customHeight="1">
      <x:c r="A1023" s="4" t="inlineStr">
        <x:is>
          <x:t xml:space="preserve">LINE-01033</x:t>
        </x:is>
      </x:c>
      <x:c r="B1023" s="4" t="inlineStr">
        <x:is>
          <x:t xml:space="preserve">ORD-2025-0643</x:t>
        </x:is>
      </x:c>
      <x:c r="C1023" s="17" t="n">
        <x:v>45866</x:v>
      </x:c>
      <x:c r="D1023" s="4" t="inlineStr">
        <x:is>
          <x:t xml:space="preserve">CUS-0018</x:t>
        </x:is>
      </x:c>
      <x:c r="E1023" s="4" t="inlineStr">
        <x:is>
          <x:t xml:space="preserve">Desk Lamp</x:t>
        </x:is>
      </x:c>
      <x:c r="F1023" s="4" t="inlineStr">
        <x:is>
          <x:t xml:space="preserve">Furniture</x:t>
        </x:is>
      </x:c>
      <x:c r="G1023" s="4" t="inlineStr">
        <x:is>
          <x:t xml:space="preserve">Austin</x:t>
        </x:is>
      </x:c>
      <x:c r="H1023" s="18" t="n">
        <x:v>2</x:v>
      </x:c>
      <x:c r="I1023" s="19" t="n">
        <x:v>58.68</x:v>
      </x:c>
      <x:c r="J1023" s="20" t="n">
        <x:v>0</x:v>
      </x:c>
      <x:c r="K1023" s="4" t="inlineStr">
        <x:is>
          <x:t xml:space="preserve">Credit Card</x:t>
        </x:is>
      </x:c>
      <x:c r="L1023" s="19" t="n">
        <x:v>117.36</x:v>
      </x:c>
      <x:c r="M1023" s="19" t="n">
        <x:v>0</x:v>
      </x:c>
      <x:c r="N1023" s="19" t="n">
        <x:v>117.36</x:v>
      </x:c>
      <x:c r="O1023" s="4" t="n">
        <x:f>YEAR(C1023)</x:f>
        <x:v>2025</x:v>
      </x:c>
      <x:c r="P1023" s="4" t="str">
        <x:f>TEXT(C1023,"yyyy-mm")</x:f>
        <x:v>2025-07</x:v>
      </x:c>
      <x:c r="Q1023" s="4" t="str">
        <x:f>TEXT(C1023,"mmmm")</x:f>
        <x:v>July</x:v>
      </x:c>
    </x:row>
    <x:row r="1024" ht="20" customHeight="1">
      <x:c r="A1024" s="4" t="inlineStr">
        <x:is>
          <x:t xml:space="preserve">LINE-01034</x:t>
        </x:is>
      </x:c>
      <x:c r="B1024" s="4" t="inlineStr">
        <x:is>
          <x:t xml:space="preserve">ORD-2025-0644</x:t>
        </x:is>
      </x:c>
      <x:c r="C1024" s="17" t="n">
        <x:v>45740</x:v>
      </x:c>
      <x:c r="D1024" s="4" t="inlineStr">
        <x:is>
          <x:t xml:space="preserve">CUS-0134</x:t>
        </x:is>
      </x:c>
      <x:c r="E1024" s="4" t="inlineStr">
        <x:is>
          <x:t xml:space="preserve">USB Flash Drive</x:t>
        </x:is>
      </x:c>
      <x:c r="F1024" s="4" t="inlineStr">
        <x:is>
          <x:t xml:space="preserve">Storage</x:t>
        </x:is>
      </x:c>
      <x:c r="G1024" s="4" t="inlineStr">
        <x:is>
          <x:t xml:space="preserve">Boston</x:t>
        </x:is>
      </x:c>
      <x:c r="H1024" s="18" t="n">
        <x:v>3</x:v>
      </x:c>
      <x:c r="I1024" s="19" t="n">
        <x:v>30.23</x:v>
      </x:c>
      <x:c r="J1024" s="20" t="n">
        <x:v>0</x:v>
      </x:c>
      <x:c r="K1024" s="4" t="inlineStr">
        <x:is>
          <x:t xml:space="preserve">Credit Card</x:t>
        </x:is>
      </x:c>
      <x:c r="L1024" s="19" t="n">
        <x:v>90.69</x:v>
      </x:c>
      <x:c r="M1024" s="19" t="n">
        <x:v>0</x:v>
      </x:c>
      <x:c r="N1024" s="19" t="n">
        <x:v>90.69</x:v>
      </x:c>
      <x:c r="O1024" s="4" t="n">
        <x:f>YEAR(C1024)</x:f>
        <x:v>2025</x:v>
      </x:c>
      <x:c r="P1024" s="4" t="str">
        <x:f>TEXT(C1024,"yyyy-mm")</x:f>
        <x:v>2025-03</x:v>
      </x:c>
      <x:c r="Q1024" s="4" t="str">
        <x:f>TEXT(C1024,"mmmm")</x:f>
        <x:v>March</x:v>
      </x:c>
    </x:row>
    <x:row r="1025" ht="20" customHeight="1">
      <x:c r="A1025" s="4" t="inlineStr">
        <x:is>
          <x:t xml:space="preserve">LINE-01035</x:t>
        </x:is>
      </x:c>
      <x:c r="B1025" s="4" t="inlineStr">
        <x:is>
          <x:t xml:space="preserve">ORD-2025-0645</x:t>
        </x:is>
      </x:c>
      <x:c r="C1025" s="17" t="n">
        <x:v>46013</x:v>
      </x:c>
      <x:c r="D1025" s="4" t="inlineStr">
        <x:is>
          <x:t xml:space="preserve">CUS-0015</x:t>
        </x:is>
      </x:c>
      <x:c r="E1025" s="4" t="inlineStr">
        <x:is>
          <x:t xml:space="preserve">Office Chair</x:t>
        </x:is>
      </x:c>
      <x:c r="F1025" s="4" t="inlineStr">
        <x:is>
          <x:t xml:space="preserve">Furniture</x:t>
        </x:is>
      </x:c>
      <x:c r="G1025" s="4" t="inlineStr">
        <x:is>
          <x:t xml:space="preserve">New York</x:t>
        </x:is>
      </x:c>
      <x:c r="H1025" s="18" t="n">
        <x:v>1</x:v>
      </x:c>
      <x:c r="I1025" s="19" t="n">
        <x:v>228.48</x:v>
      </x:c>
      <x:c r="J1025" s="20" t="n">
        <x:v>0</x:v>
      </x:c>
      <x:c r="K1025" s="4" t="inlineStr">
        <x:is>
          <x:t xml:space="preserve">Debit Card</x:t>
        </x:is>
      </x:c>
      <x:c r="L1025" s="19" t="n">
        <x:v>228.48</x:v>
      </x:c>
      <x:c r="M1025" s="19" t="n">
        <x:v>0</x:v>
      </x:c>
      <x:c r="N1025" s="19" t="n">
        <x:v>228.48</x:v>
      </x:c>
      <x:c r="O1025" s="4" t="n">
        <x:f>YEAR(C1025)</x:f>
        <x:v>2025</x:v>
      </x:c>
      <x:c r="P1025" s="4" t="str">
        <x:f>TEXT(C1025,"yyyy-mm")</x:f>
        <x:v>2025-12</x:v>
      </x:c>
      <x:c r="Q1025" s="4" t="str">
        <x:f>TEXT(C1025,"mmmm")</x:f>
        <x:v>December</x:v>
      </x:c>
    </x:row>
    <x:row r="1026" ht="20" customHeight="1">
      <x:c r="A1026" s="4" t="inlineStr">
        <x:is>
          <x:t xml:space="preserve">LINE-01036</x:t>
        </x:is>
      </x:c>
      <x:c r="B1026" s="4" t="inlineStr">
        <x:is>
          <x:t xml:space="preserve">ORD-2025-0645</x:t>
        </x:is>
      </x:c>
      <x:c r="C1026" s="17" t="n">
        <x:v>46013</x:v>
      </x:c>
      <x:c r="D1026" s="4" t="inlineStr">
        <x:is>
          <x:t xml:space="preserve">CUS-0015</x:t>
        </x:is>
      </x:c>
      <x:c r="E1026" s="4" t="inlineStr">
        <x:is>
          <x:t xml:space="preserve">Keyboard</x:t>
        </x:is>
      </x:c>
      <x:c r="F1026" s="4" t="inlineStr">
        <x:is>
          <x:t xml:space="preserve">Accessories</x:t>
        </x:is>
      </x:c>
      <x:c r="G1026" s="4" t="inlineStr">
        <x:is>
          <x:t xml:space="preserve">New York</x:t>
        </x:is>
      </x:c>
      <x:c r="H1026" s="18" t="n">
        <x:v>2</x:v>
      </x:c>
      <x:c r="I1026" s="19" t="n">
        <x:v>70.33</x:v>
      </x:c>
      <x:c r="J1026" s="20" t="n">
        <x:v>0</x:v>
      </x:c>
      <x:c r="K1026" s="4" t="inlineStr">
        <x:is>
          <x:t xml:space="preserve">Debit Card</x:t>
        </x:is>
      </x:c>
      <x:c r="L1026" s="19" t="n">
        <x:v>140.66</x:v>
      </x:c>
      <x:c r="M1026" s="19" t="n">
        <x:v>0</x:v>
      </x:c>
      <x:c r="N1026" s="19" t="n">
        <x:v>140.66</x:v>
      </x:c>
      <x:c r="O1026" s="4" t="n">
        <x:f>YEAR(C1026)</x:f>
        <x:v>2025</x:v>
      </x:c>
      <x:c r="P1026" s="4" t="str">
        <x:f>TEXT(C1026,"yyyy-mm")</x:f>
        <x:v>2025-12</x:v>
      </x:c>
      <x:c r="Q1026" s="4" t="str">
        <x:f>TEXT(C1026,"mmmm")</x:f>
        <x:v>December</x:v>
      </x:c>
    </x:row>
    <x:row r="1027" ht="20" customHeight="1">
      <x:c r="A1027" s="4" t="inlineStr">
        <x:is>
          <x:t xml:space="preserve">LINE-01037</x:t>
        </x:is>
      </x:c>
      <x:c r="B1027" s="4" t="inlineStr">
        <x:is>
          <x:t xml:space="preserve">ORD-2025-0646</x:t>
        </x:is>
      </x:c>
      <x:c r="C1027" s="17" t="n">
        <x:v>45990</x:v>
      </x:c>
      <x:c r="D1027" s="4" t="inlineStr">
        <x:is>
          <x:t xml:space="preserve">CUS-0067</x:t>
        </x:is>
      </x:c>
      <x:c r="E1027" s="4" t="inlineStr">
        <x:is>
          <x:t xml:space="preserve">Webcam</x:t>
        </x:is>
      </x:c>
      <x:c r="F1027" s="4" t="inlineStr">
        <x:is>
          <x:t xml:space="preserve">Accessories</x:t>
        </x:is>
      </x:c>
      <x:c r="G1027" s="4" t="inlineStr">
        <x:is>
          <x:t xml:space="preserve">Boston</x:t>
        </x:is>
      </x:c>
      <x:c r="H1027" s="18" t="n">
        <x:v>2</x:v>
      </x:c>
      <x:c r="I1027" s="19" t="n">
        <x:v>93.39</x:v>
      </x:c>
      <x:c r="J1027" s="20" t="n">
        <x:v>0</x:v>
      </x:c>
      <x:c r="K1027" s="4" t="inlineStr">
        <x:is>
          <x:t xml:space="preserve">Bank Transfer</x:t>
        </x:is>
      </x:c>
      <x:c r="L1027" s="19" t="n">
        <x:v>186.78</x:v>
      </x:c>
      <x:c r="M1027" s="19" t="n">
        <x:v>0</x:v>
      </x:c>
      <x:c r="N1027" s="19" t="n">
        <x:v>186.78</x:v>
      </x:c>
      <x:c r="O1027" s="4" t="n">
        <x:f>YEAR(C1027)</x:f>
        <x:v>2025</x:v>
      </x:c>
      <x:c r="P1027" s="4" t="str">
        <x:f>TEXT(C1027,"yyyy-mm")</x:f>
        <x:v>2025-11</x:v>
      </x:c>
      <x:c r="Q1027" s="4" t="str">
        <x:f>TEXT(C1027,"mmmm")</x:f>
        <x:v>November</x:v>
      </x:c>
    </x:row>
    <x:row r="1028" ht="20" customHeight="1">
      <x:c r="A1028" s="4" t="inlineStr">
        <x:is>
          <x:t xml:space="preserve">LINE-01038</x:t>
        </x:is>
      </x:c>
      <x:c r="B1028" s="4" t="inlineStr">
        <x:is>
          <x:t xml:space="preserve">ORD-2025-0646</x:t>
        </x:is>
      </x:c>
      <x:c r="C1028" s="17" t="n">
        <x:v>45990</x:v>
      </x:c>
      <x:c r="D1028" s="4" t="inlineStr">
        <x:is>
          <x:t xml:space="preserve">CUS-0067</x:t>
        </x:is>
      </x:c>
      <x:c r="E1028" s="4" t="inlineStr">
        <x:is>
          <x:t xml:space="preserve">Bluetooth Speaker</x:t>
        </x:is>
      </x:c>
      <x:c r="F1028" s="4" t="inlineStr">
        <x:is>
          <x:t xml:space="preserve">Audio</x:t>
        </x:is>
      </x:c>
      <x:c r="G1028" s="4" t="inlineStr">
        <x:is>
          <x:t xml:space="preserve">Boston</x:t>
        </x:is>
      </x:c>
      <x:c r="H1028" s="18" t="n">
        <x:v>3</x:v>
      </x:c>
      <x:c r="I1028" s="19" t="n">
        <x:v>115.75</x:v>
      </x:c>
      <x:c r="J1028" s="20" t="n">
        <x:v>0.1</x:v>
      </x:c>
      <x:c r="K1028" s="4" t="inlineStr">
        <x:is>
          <x:t xml:space="preserve">Bank Transfer</x:t>
        </x:is>
      </x:c>
      <x:c r="L1028" s="19" t="n">
        <x:v>347.25</x:v>
      </x:c>
      <x:c r="M1028" s="19" t="n">
        <x:v>34.72</x:v>
      </x:c>
      <x:c r="N1028" s="19" t="n">
        <x:v>312.53</x:v>
      </x:c>
      <x:c r="O1028" s="4" t="n">
        <x:f>YEAR(C1028)</x:f>
        <x:v>2025</x:v>
      </x:c>
      <x:c r="P1028" s="4" t="str">
        <x:f>TEXT(C1028,"yyyy-mm")</x:f>
        <x:v>2025-11</x:v>
      </x:c>
      <x:c r="Q1028" s="4" t="str">
        <x:f>TEXT(C1028,"mmmm")</x:f>
        <x:v>November</x:v>
      </x:c>
    </x:row>
    <x:row r="1029" ht="20" customHeight="1">
      <x:c r="A1029" s="4" t="inlineStr">
        <x:is>
          <x:t xml:space="preserve">LINE-01039</x:t>
        </x:is>
      </x:c>
      <x:c r="B1029" s="4" t="inlineStr">
        <x:is>
          <x:t xml:space="preserve">ORD-2025-0647</x:t>
        </x:is>
      </x:c>
      <x:c r="C1029" s="17" t="n">
        <x:v>45759</x:v>
      </x:c>
      <x:c r="D1029" s="4" t="inlineStr">
        <x:is>
          <x:t xml:space="preserve">CUS-0044</x:t>
        </x:is>
      </x:c>
      <x:c r="E1029" s="4" t="inlineStr">
        <x:is>
          <x:t xml:space="preserve">Headphones</x:t>
        </x:is>
      </x:c>
      <x:c r="F1029" s="4" t="inlineStr">
        <x:is>
          <x:t xml:space="preserve">Audio</x:t>
        </x:is>
      </x:c>
      <x:c r="G1029" s="4" t="inlineStr">
        <x:is>
          <x:t xml:space="preserve">Seattle</x:t>
        </x:is>
      </x:c>
      <x:c r="H1029" s="18" t="n">
        <x:v>4</x:v>
      </x:c>
      <x:c r="I1029" s="19" t="n">
        <x:v>137.99</x:v>
      </x:c>
      <x:c r="J1029" s="20" t="n">
        <x:v>0</x:v>
      </x:c>
      <x:c r="K1029" s="4" t="inlineStr">
        <x:is>
          <x:t xml:space="preserve">PayPal</x:t>
        </x:is>
      </x:c>
      <x:c r="L1029" s="19" t="n">
        <x:v>551.96</x:v>
      </x:c>
      <x:c r="M1029" s="19" t="n">
        <x:v>0</x:v>
      </x:c>
      <x:c r="N1029" s="19" t="n">
        <x:v>551.96</x:v>
      </x:c>
      <x:c r="O1029" s="4" t="n">
        <x:f>YEAR(C1029)</x:f>
        <x:v>2025</x:v>
      </x:c>
      <x:c r="P1029" s="4" t="str">
        <x:f>TEXT(C1029,"yyyy-mm")</x:f>
        <x:v>2025-04</x:v>
      </x:c>
      <x:c r="Q1029" s="4" t="str">
        <x:f>TEXT(C1029,"mmmm")</x:f>
        <x:v>April</x:v>
      </x:c>
    </x:row>
    <x:row r="1030" ht="20" customHeight="1">
      <x:c r="A1030" s="4" t="inlineStr">
        <x:is>
          <x:t xml:space="preserve">LINE-01040</x:t>
        </x:is>
      </x:c>
      <x:c r="B1030" s="4" t="inlineStr">
        <x:is>
          <x:t xml:space="preserve">ORD-2025-0648</x:t>
        </x:is>
      </x:c>
      <x:c r="C1030" s="17" t="n">
        <x:v>45669</x:v>
      </x:c>
      <x:c r="D1030" s="4" t="inlineStr">
        <x:is>
          <x:t xml:space="preserve">CUS-0286</x:t>
        </x:is>
      </x:c>
      <x:c r="E1030" s="4" t="inlineStr">
        <x:is>
          <x:t xml:space="preserve">Bluetooth Speaker</x:t>
        </x:is>
      </x:c>
      <x:c r="F1030" s="4" t="inlineStr">
        <x:is>
          <x:t xml:space="preserve">Audio</x:t>
        </x:is>
      </x:c>
      <x:c r="G1030" s="4" t="inlineStr">
        <x:is>
          <x:t xml:space="preserve">San Francisco</x:t>
        </x:is>
      </x:c>
      <x:c r="H1030" s="18" t="n">
        <x:v>3</x:v>
      </x:c>
      <x:c r="I1030" s="19" t="n">
        <x:v>104.17</x:v>
      </x:c>
      <x:c r="J1030" s="20" t="n">
        <x:v>0</x:v>
      </x:c>
      <x:c r="K1030" s="4" t="inlineStr">
        <x:is>
          <x:t xml:space="preserve">Debit Card</x:t>
        </x:is>
      </x:c>
      <x:c r="L1030" s="19" t="n">
        <x:v>312.51</x:v>
      </x:c>
      <x:c r="M1030" s="19" t="n">
        <x:v>0</x:v>
      </x:c>
      <x:c r="N1030" s="19" t="n">
        <x:v>312.51</x:v>
      </x:c>
      <x:c r="O1030" s="4" t="n">
        <x:f>YEAR(C1030)</x:f>
        <x:v>2025</x:v>
      </x:c>
      <x:c r="P1030" s="4" t="str">
        <x:f>TEXT(C1030,"yyyy-mm")</x:f>
        <x:v>2025-01</x:v>
      </x:c>
      <x:c r="Q1030" s="4" t="str">
        <x:f>TEXT(C1030,"mmmm")</x:f>
        <x:v>January</x:v>
      </x:c>
    </x:row>
    <x:row r="1031" ht="20" customHeight="1">
      <x:c r="A1031" s="4" t="inlineStr">
        <x:is>
          <x:t xml:space="preserve">LINE-01041</x:t>
        </x:is>
      </x:c>
      <x:c r="B1031" s="4" t="inlineStr">
        <x:is>
          <x:t xml:space="preserve">ORD-2025-0648</x:t>
        </x:is>
      </x:c>
      <x:c r="C1031" s="17" t="n">
        <x:v>45669</x:v>
      </x:c>
      <x:c r="D1031" s="4" t="inlineStr">
        <x:is>
          <x:t xml:space="preserve">CUS-0286</x:t>
        </x:is>
      </x:c>
      <x:c r="E1031" s="4" t="inlineStr">
        <x:is>
          <x:t xml:space="preserve">Wireless Mouse</x:t>
        </x:is>
      </x:c>
      <x:c r="F1031" s="4" t="inlineStr">
        <x:is>
          <x:t xml:space="preserve">Accessories</x:t>
        </x:is>
      </x:c>
      <x:c r="G1031" s="4" t="inlineStr">
        <x:is>
          <x:t xml:space="preserve">San Francisco</x:t>
        </x:is>
      </x:c>
      <x:c r="H1031" s="18" t="n">
        <x:v>2</x:v>
      </x:c>
      <x:c r="I1031" s="19" t="n">
        <x:v>43.27</x:v>
      </x:c>
      <x:c r="J1031" s="20" t="n">
        <x:v>0</x:v>
      </x:c>
      <x:c r="K1031" s="4" t="inlineStr">
        <x:is>
          <x:t xml:space="preserve">Debit Card</x:t>
        </x:is>
      </x:c>
      <x:c r="L1031" s="19" t="n">
        <x:v>86.54000000000001</x:v>
      </x:c>
      <x:c r="M1031" s="19" t="n">
        <x:v>0</x:v>
      </x:c>
      <x:c r="N1031" s="19" t="n">
        <x:v>86.54000000000001</x:v>
      </x:c>
      <x:c r="O1031" s="4" t="n">
        <x:f>YEAR(C1031)</x:f>
        <x:v>2025</x:v>
      </x:c>
      <x:c r="P1031" s="4" t="str">
        <x:f>TEXT(C1031,"yyyy-mm")</x:f>
        <x:v>2025-01</x:v>
      </x:c>
      <x:c r="Q1031" s="4" t="str">
        <x:f>TEXT(C1031,"mmmm")</x:f>
        <x:v>January</x:v>
      </x:c>
    </x:row>
    <x:row r="1032" ht="20" customHeight="1">
      <x:c r="A1032" s="4" t="inlineStr">
        <x:is>
          <x:t xml:space="preserve">LINE-01042</x:t>
        </x:is>
      </x:c>
      <x:c r="B1032" s="4" t="inlineStr">
        <x:is>
          <x:t xml:space="preserve">ORD-2025-0648</x:t>
        </x:is>
      </x:c>
      <x:c r="C1032" s="17" t="n">
        <x:v>45669</x:v>
      </x:c>
      <x:c r="D1032" s="4" t="inlineStr">
        <x:is>
          <x:t xml:space="preserve">CUS-0286</x:t>
        </x:is>
      </x:c>
      <x:c r="E1032" s="4" t="inlineStr">
        <x:is>
          <x:t xml:space="preserve">USB-C Hub</x:t>
        </x:is>
      </x:c>
      <x:c r="F1032" s="4" t="inlineStr">
        <x:is>
          <x:t xml:space="preserve">Accessories</x:t>
        </x:is>
      </x:c>
      <x:c r="G1032" s="4" t="inlineStr">
        <x:is>
          <x:t xml:space="preserve">San Francisco</x:t>
        </x:is>
      </x:c>
      <x:c r="H1032" s="18" t="n">
        <x:v>1</x:v>
      </x:c>
      <x:c r="I1032" s="19" t="n">
        <x:v>69.65000000000001</x:v>
      </x:c>
      <x:c r="J1032" s="20" t="n">
        <x:v>0</x:v>
      </x:c>
      <x:c r="K1032" s="4" t="inlineStr">
        <x:is>
          <x:t xml:space="preserve">Debit Card</x:t>
        </x:is>
      </x:c>
      <x:c r="L1032" s="19" t="n">
        <x:v>69.65000000000001</x:v>
      </x:c>
      <x:c r="M1032" s="19" t="n">
        <x:v>0</x:v>
      </x:c>
      <x:c r="N1032" s="19" t="n">
        <x:v>69.65000000000001</x:v>
      </x:c>
      <x:c r="O1032" s="4" t="n">
        <x:f>YEAR(C1032)</x:f>
        <x:v>2025</x:v>
      </x:c>
      <x:c r="P1032" s="4" t="str">
        <x:f>TEXT(C1032,"yyyy-mm")</x:f>
        <x:v>2025-01</x:v>
      </x:c>
      <x:c r="Q1032" s="4" t="str">
        <x:f>TEXT(C1032,"mmmm")</x:f>
        <x:v>January</x:v>
      </x:c>
    </x:row>
    <x:row r="1033" ht="20" customHeight="1">
      <x:c r="A1033" s="4" t="inlineStr">
        <x:is>
          <x:t xml:space="preserve">LINE-01043</x:t>
        </x:is>
      </x:c>
      <x:c r="B1033" s="4" t="inlineStr">
        <x:is>
          <x:t xml:space="preserve">ORD-2025-0649</x:t>
        </x:is>
      </x:c>
      <x:c r="C1033" s="17" t="n">
        <x:v>45927</x:v>
      </x:c>
      <x:c r="D1033" s="4" t="inlineStr">
        <x:is>
          <x:t xml:space="preserve">CUS-0223</x:t>
        </x:is>
      </x:c>
      <x:c r="E1033" s="4" t="inlineStr">
        <x:is>
          <x:t xml:space="preserve">Desk Lamp</x:t>
        </x:is>
      </x:c>
      <x:c r="F1033" s="4" t="inlineStr">
        <x:is>
          <x:t xml:space="preserve">Furniture</x:t>
        </x:is>
      </x:c>
      <x:c r="G1033" s="4" t="inlineStr">
        <x:is>
          <x:t xml:space="preserve">Seattle</x:t>
        </x:is>
      </x:c>
      <x:c r="H1033" s="18" t="n">
        <x:v>1</x:v>
      </x:c>
      <x:c r="I1033" s="19" t="n">
        <x:v>58.93</x:v>
      </x:c>
      <x:c r="J1033" s="20" t="n">
        <x:v>0.1</x:v>
      </x:c>
      <x:c r="K1033" s="4" t="inlineStr">
        <x:is>
          <x:t xml:space="preserve">Bank Transfer</x:t>
        </x:is>
      </x:c>
      <x:c r="L1033" s="19" t="n">
        <x:v>58.93</x:v>
      </x:c>
      <x:c r="M1033" s="19" t="n">
        <x:v>5.89</x:v>
      </x:c>
      <x:c r="N1033" s="19" t="n">
        <x:v>53.04</x:v>
      </x:c>
      <x:c r="O1033" s="4" t="n">
        <x:f>YEAR(C1033)</x:f>
        <x:v>2025</x:v>
      </x:c>
      <x:c r="P1033" s="4" t="str">
        <x:f>TEXT(C1033,"yyyy-mm")</x:f>
        <x:v>2025-09</x:v>
      </x:c>
      <x:c r="Q1033" s="4" t="str">
        <x:f>TEXT(C1033,"mmmm")</x:f>
        <x:v>September</x:v>
      </x:c>
    </x:row>
    <x:row r="1034" ht="20" customHeight="1">
      <x:c r="A1034" s="4" t="inlineStr">
        <x:is>
          <x:t xml:space="preserve">LINE-01044</x:t>
        </x:is>
      </x:c>
      <x:c r="B1034" s="4" t="inlineStr">
        <x:is>
          <x:t xml:space="preserve">ORD-2025-0650</x:t>
        </x:is>
      </x:c>
      <x:c r="C1034" s="17" t="n">
        <x:v>45794</x:v>
      </x:c>
      <x:c r="D1034" s="4" t="inlineStr">
        <x:is>
          <x:t xml:space="preserve">CUS-0148</x:t>
        </x:is>
      </x:c>
      <x:c r="E1034" s="4" t="inlineStr">
        <x:is>
          <x:t xml:space="preserve">Headphones</x:t>
        </x:is>
      </x:c>
      <x:c r="F1034" s="4" t="inlineStr">
        <x:is>
          <x:t xml:space="preserve">Audio</x:t>
        </x:is>
      </x:c>
      <x:c r="G1034" s="4" t="inlineStr">
        <x:is>
          <x:t xml:space="preserve">San Francisco</x:t>
        </x:is>
      </x:c>
      <x:c r="H1034" s="18" t="n">
        <x:v>3</x:v>
      </x:c>
      <x:c r="I1034" s="19" t="n">
        <x:v>132.08</x:v>
      </x:c>
      <x:c r="J1034" s="20" t="n">
        <x:v>0.2</x:v>
      </x:c>
      <x:c r="K1034" s="4" t="inlineStr">
        <x:is>
          <x:t xml:space="preserve">Unknown</x:t>
        </x:is>
      </x:c>
      <x:c r="L1034" s="19" t="n">
        <x:v>396.24</x:v>
      </x:c>
      <x:c r="M1034" s="19" t="n">
        <x:v>79.25</x:v>
      </x:c>
      <x:c r="N1034" s="19" t="n">
        <x:v>316.99</x:v>
      </x:c>
      <x:c r="O1034" s="4" t="n">
        <x:f>YEAR(C1034)</x:f>
        <x:v>2025</x:v>
      </x:c>
      <x:c r="P1034" s="4" t="str">
        <x:f>TEXT(C1034,"yyyy-mm")</x:f>
        <x:v>2025-05</x:v>
      </x:c>
      <x:c r="Q1034" s="4" t="str">
        <x:f>TEXT(C1034,"mmmm")</x:f>
        <x:v>May</x:v>
      </x:c>
    </x:row>
    <x:row r="1035" ht="20" customHeight="1">
      <x:c r="A1035" s="4" t="inlineStr">
        <x:is>
          <x:t xml:space="preserve">LINE-01045</x:t>
        </x:is>
      </x:c>
      <x:c r="B1035" s="4" t="inlineStr">
        <x:is>
          <x:t xml:space="preserve">ORD-2025-0651</x:t>
        </x:is>
      </x:c>
      <x:c r="C1035" s="17" t="n">
        <x:v>45802</x:v>
      </x:c>
      <x:c r="D1035" s="4" t="inlineStr">
        <x:is>
          <x:t xml:space="preserve">CUS-0347</x:t>
        </x:is>
      </x:c>
      <x:c r="E1035" s="4" t="inlineStr">
        <x:is>
          <x:t xml:space="preserve">Keyboard</x:t>
        </x:is>
      </x:c>
      <x:c r="F1035" s="4" t="inlineStr">
        <x:is>
          <x:t xml:space="preserve">Accessories</x:t>
        </x:is>
      </x:c>
      <x:c r="G1035" s="4" t="inlineStr">
        <x:is>
          <x:t xml:space="preserve">Chicago</x:t>
        </x:is>
      </x:c>
      <x:c r="H1035" s="18" t="n">
        <x:v>1</x:v>
      </x:c>
      <x:c r="I1035" s="19" t="n">
        <x:v>80.70999999999999</x:v>
      </x:c>
      <x:c r="J1035" s="20" t="n">
        <x:v>0</x:v>
      </x:c>
      <x:c r="K1035" s="4" t="inlineStr">
        <x:is>
          <x:t xml:space="preserve">Bank Transfer</x:t>
        </x:is>
      </x:c>
      <x:c r="L1035" s="19" t="n">
        <x:v>80.70999999999999</x:v>
      </x:c>
      <x:c r="M1035" s="19" t="n">
        <x:v>0</x:v>
      </x:c>
      <x:c r="N1035" s="19" t="n">
        <x:v>80.70999999999999</x:v>
      </x:c>
      <x:c r="O1035" s="4" t="n">
        <x:f>YEAR(C1035)</x:f>
        <x:v>2025</x:v>
      </x:c>
      <x:c r="P1035" s="4" t="str">
        <x:f>TEXT(C1035,"yyyy-mm")</x:f>
        <x:v>2025-05</x:v>
      </x:c>
      <x:c r="Q1035" s="4" t="str">
        <x:f>TEXT(C1035,"mmmm")</x:f>
        <x:v>May</x:v>
      </x:c>
    </x:row>
    <x:row r="1036" ht="20" customHeight="1">
      <x:c r="A1036" s="4" t="inlineStr">
        <x:is>
          <x:t xml:space="preserve">LINE-01046</x:t>
        </x:is>
      </x:c>
      <x:c r="B1036" s="4" t="inlineStr">
        <x:is>
          <x:t xml:space="preserve">ORD-2025-0652</x:t>
        </x:is>
      </x:c>
      <x:c r="C1036" s="17" t="n">
        <x:v>45888</x:v>
      </x:c>
      <x:c r="D1036" s="4" t="inlineStr">
        <x:is>
          <x:t xml:space="preserve">CUS-0128</x:t>
        </x:is>
      </x:c>
      <x:c r="E1036" s="4" t="inlineStr">
        <x:is>
          <x:t xml:space="preserve">Bluetooth Speaker</x:t>
        </x:is>
      </x:c>
      <x:c r="F1036" s="4" t="inlineStr">
        <x:is>
          <x:t xml:space="preserve">Audio</x:t>
        </x:is>
      </x:c>
      <x:c r="G1036" s="4" t="inlineStr">
        <x:is>
          <x:t xml:space="preserve">Austin</x:t>
        </x:is>
      </x:c>
      <x:c r="H1036" s="18" t="n">
        <x:v>1</x:v>
      </x:c>
      <x:c r="I1036" s="19" t="n">
        <x:v>106.89</x:v>
      </x:c>
      <x:c r="J1036" s="20" t="n">
        <x:v>0.05</x:v>
      </x:c>
      <x:c r="K1036" s="4" t="inlineStr">
        <x:is>
          <x:t xml:space="preserve">Bank Transfer</x:t>
        </x:is>
      </x:c>
      <x:c r="L1036" s="19" t="n">
        <x:v>106.89</x:v>
      </x:c>
      <x:c r="M1036" s="19" t="n">
        <x:v>5.34</x:v>
      </x:c>
      <x:c r="N1036" s="19" t="n">
        <x:v>101.55</x:v>
      </x:c>
      <x:c r="O1036" s="4" t="n">
        <x:f>YEAR(C1036)</x:f>
        <x:v>2025</x:v>
      </x:c>
      <x:c r="P1036" s="4" t="str">
        <x:f>TEXT(C1036,"yyyy-mm")</x:f>
        <x:v>2025-08</x:v>
      </x:c>
      <x:c r="Q1036" s="4" t="str">
        <x:f>TEXT(C1036,"mmmm")</x:f>
        <x:v>August</x:v>
      </x:c>
    </x:row>
    <x:row r="1037" ht="20" customHeight="1">
      <x:c r="A1037" s="4" t="inlineStr">
        <x:is>
          <x:t xml:space="preserve">LINE-01047</x:t>
        </x:is>
      </x:c>
      <x:c r="B1037" s="4" t="inlineStr">
        <x:is>
          <x:t xml:space="preserve">ORD-2025-0653</x:t>
        </x:is>
      </x:c>
      <x:c r="C1037" s="17" t="n">
        <x:v>46009</x:v>
      </x:c>
      <x:c r="D1037" s="4" t="inlineStr">
        <x:is>
          <x:t xml:space="preserve">CUS-0109</x:t>
        </x:is>
      </x:c>
      <x:c r="E1037" s="4" t="inlineStr">
        <x:is>
          <x:t xml:space="preserve">Desk Lamp</x:t>
        </x:is>
      </x:c>
      <x:c r="F1037" s="4" t="inlineStr">
        <x:is>
          <x:t xml:space="preserve">Furniture</x:t>
        </x:is>
      </x:c>
      <x:c r="G1037" s="4" t="inlineStr">
        <x:is>
          <x:t xml:space="preserve">San Francisco</x:t>
        </x:is>
      </x:c>
      <x:c r="H1037" s="18" t="n">
        <x:v>1</x:v>
      </x:c>
      <x:c r="I1037" s="19" t="n">
        <x:v>51.44</x:v>
      </x:c>
      <x:c r="J1037" s="20" t="n">
        <x:v>0</x:v>
      </x:c>
      <x:c r="K1037" s="4" t="inlineStr">
        <x:is>
          <x:t xml:space="preserve">Bank Transfer</x:t>
        </x:is>
      </x:c>
      <x:c r="L1037" s="19" t="n">
        <x:v>51.44</x:v>
      </x:c>
      <x:c r="M1037" s="19" t="n">
        <x:v>0</x:v>
      </x:c>
      <x:c r="N1037" s="19" t="n">
        <x:v>51.44</x:v>
      </x:c>
      <x:c r="O1037" s="4" t="n">
        <x:f>YEAR(C1037)</x:f>
        <x:v>2025</x:v>
      </x:c>
      <x:c r="P1037" s="4" t="str">
        <x:f>TEXT(C1037,"yyyy-mm")</x:f>
        <x:v>2025-12</x:v>
      </x:c>
      <x:c r="Q1037" s="4" t="str">
        <x:f>TEXT(C1037,"mmmm")</x:f>
        <x:v>December</x:v>
      </x:c>
    </x:row>
    <x:row r="1038" ht="20" customHeight="1">
      <x:c r="A1038" s="4" t="inlineStr">
        <x:is>
          <x:t xml:space="preserve">LINE-01048</x:t>
        </x:is>
      </x:c>
      <x:c r="B1038" s="4" t="inlineStr">
        <x:is>
          <x:t xml:space="preserve">ORD-2025-0653</x:t>
        </x:is>
      </x:c>
      <x:c r="C1038" s="17" t="n">
        <x:v>46009</x:v>
      </x:c>
      <x:c r="D1038" s="4" t="inlineStr">
        <x:is>
          <x:t xml:space="preserve">CUS-0109</x:t>
        </x:is>
      </x:c>
      <x:c r="E1038" s="4" t="inlineStr">
        <x:is>
          <x:t xml:space="preserve">USB Flash Drive</x:t>
        </x:is>
      </x:c>
      <x:c r="F1038" s="4" t="inlineStr">
        <x:is>
          <x:t xml:space="preserve">Storage</x:t>
        </x:is>
      </x:c>
      <x:c r="G1038" s="4" t="inlineStr">
        <x:is>
          <x:t xml:space="preserve">San Francisco</x:t>
        </x:is>
      </x:c>
      <x:c r="H1038" s="18" t="n">
        <x:v>1</x:v>
      </x:c>
      <x:c r="I1038" s="19" t="n">
        <x:v>28.73</x:v>
      </x:c>
      <x:c r="J1038" s="20" t="n">
        <x:v>0.15</x:v>
      </x:c>
      <x:c r="K1038" s="4" t="inlineStr">
        <x:is>
          <x:t xml:space="preserve">Bank Transfer</x:t>
        </x:is>
      </x:c>
      <x:c r="L1038" s="19" t="n">
        <x:v>28.73</x:v>
      </x:c>
      <x:c r="M1038" s="19" t="n">
        <x:v>4.31</x:v>
      </x:c>
      <x:c r="N1038" s="19" t="n">
        <x:v>24.42</x:v>
      </x:c>
      <x:c r="O1038" s="4" t="n">
        <x:f>YEAR(C1038)</x:f>
        <x:v>2025</x:v>
      </x:c>
      <x:c r="P1038" s="4" t="str">
        <x:f>TEXT(C1038,"yyyy-mm")</x:f>
        <x:v>2025-12</x:v>
      </x:c>
      <x:c r="Q1038" s="4" t="str">
        <x:f>TEXT(C1038,"mmmm")</x:f>
        <x:v>December</x:v>
      </x:c>
    </x:row>
    <x:row r="1039" ht="20" customHeight="1">
      <x:c r="A1039" s="4" t="inlineStr">
        <x:is>
          <x:t xml:space="preserve">LINE-01049</x:t>
        </x:is>
      </x:c>
      <x:c r="B1039" s="4" t="inlineStr">
        <x:is>
          <x:t xml:space="preserve">ORD-2025-0654</x:t>
        </x:is>
      </x:c>
      <x:c r="C1039" s="17" t="n">
        <x:v>45968</x:v>
      </x:c>
      <x:c r="D1039" s="4" t="inlineStr">
        <x:is>
          <x:t xml:space="preserve">CUS-0344</x:t>
        </x:is>
      </x:c>
      <x:c r="E1039" s="4" t="inlineStr">
        <x:is>
          <x:t xml:space="preserve">External SSD</x:t>
        </x:is>
      </x:c>
      <x:c r="F1039" s="4" t="inlineStr">
        <x:is>
          <x:t xml:space="preserve">Storage</x:t>
        </x:is>
      </x:c>
      <x:c r="G1039" s="4" t="inlineStr">
        <x:is>
          <x:t xml:space="preserve">Boston</x:t>
        </x:is>
      </x:c>
      <x:c r="H1039" s="18" t="n">
        <x:v>2</x:v>
      </x:c>
      <x:c r="I1039" s="19" t="n">
        <x:v>145.26</x:v>
      </x:c>
      <x:c r="J1039" s="20" t="n">
        <x:v>0</x:v>
      </x:c>
      <x:c r="K1039" s="4" t="inlineStr">
        <x:is>
          <x:t xml:space="preserve">Credit Card</x:t>
        </x:is>
      </x:c>
      <x:c r="L1039" s="19" t="n">
        <x:v>290.52</x:v>
      </x:c>
      <x:c r="M1039" s="19" t="n">
        <x:v>0</x:v>
      </x:c>
      <x:c r="N1039" s="19" t="n">
        <x:v>290.52</x:v>
      </x:c>
      <x:c r="O1039" s="4" t="n">
        <x:f>YEAR(C1039)</x:f>
        <x:v>2025</x:v>
      </x:c>
      <x:c r="P1039" s="4" t="str">
        <x:f>TEXT(C1039,"yyyy-mm")</x:f>
        <x:v>2025-11</x:v>
      </x:c>
      <x:c r="Q1039" s="4" t="str">
        <x:f>TEXT(C1039,"mmmm")</x:f>
        <x:v>November</x:v>
      </x:c>
    </x:row>
    <x:row r="1040" ht="20" customHeight="1">
      <x:c r="A1040" s="4" t="inlineStr">
        <x:is>
          <x:t xml:space="preserve">LINE-01050</x:t>
        </x:is>
      </x:c>
      <x:c r="B1040" s="4" t="inlineStr">
        <x:is>
          <x:t xml:space="preserve">ORD-2025-0655</x:t>
        </x:is>
      </x:c>
      <x:c r="C1040" s="17" t="n">
        <x:v>45847</x:v>
      </x:c>
      <x:c r="D1040" s="4" t="inlineStr">
        <x:is>
          <x:t xml:space="preserve">CUS-0068</x:t>
        </x:is>
      </x:c>
      <x:c r="E1040" s="4" t="inlineStr">
        <x:is>
          <x:t xml:space="preserve">USB-C Hub</x:t>
        </x:is>
      </x:c>
      <x:c r="F1040" s="4" t="inlineStr">
        <x:is>
          <x:t xml:space="preserve">Accessories</x:t>
        </x:is>
      </x:c>
      <x:c r="G1040" s="4" t="inlineStr">
        <x:is>
          <x:t xml:space="preserve">Boston</x:t>
        </x:is>
      </x:c>
      <x:c r="H1040" s="18" t="n">
        <x:v>2</x:v>
      </x:c>
      <x:c r="I1040" s="19" t="n">
        <x:v>69.48</x:v>
      </x:c>
      <x:c r="J1040" s="20" t="n">
        <x:v>0.15</x:v>
      </x:c>
      <x:c r="K1040" s="4" t="inlineStr">
        <x:is>
          <x:t xml:space="preserve">Credit Card</x:t>
        </x:is>
      </x:c>
      <x:c r="L1040" s="19" t="n">
        <x:v>138.96</x:v>
      </x:c>
      <x:c r="M1040" s="19" t="n">
        <x:v>20.84</x:v>
      </x:c>
      <x:c r="N1040" s="19" t="n">
        <x:v>118.12</x:v>
      </x:c>
      <x:c r="O1040" s="4" t="n">
        <x:f>YEAR(C1040)</x:f>
        <x:v>2025</x:v>
      </x:c>
      <x:c r="P1040" s="4" t="str">
        <x:f>TEXT(C1040,"yyyy-mm")</x:f>
        <x:v>2025-07</x:v>
      </x:c>
      <x:c r="Q1040" s="4" t="str">
        <x:f>TEXT(C1040,"mmmm")</x:f>
        <x:v>July</x:v>
      </x:c>
    </x:row>
    <x:row r="1041" ht="20" customHeight="1">
      <x:c r="A1041" s="4" t="inlineStr">
        <x:is>
          <x:t xml:space="preserve">LINE-01051</x:t>
        </x:is>
      </x:c>
      <x:c r="B1041" s="4" t="inlineStr">
        <x:is>
          <x:t xml:space="preserve">ORD-2025-0655</x:t>
        </x:is>
      </x:c>
      <x:c r="C1041" s="17" t="n">
        <x:v>45847</x:v>
      </x:c>
      <x:c r="D1041" s="4" t="inlineStr">
        <x:is>
          <x:t xml:space="preserve">CUS-0068</x:t>
        </x:is>
      </x:c>
      <x:c r="E1041" s="4" t="inlineStr">
        <x:is>
          <x:t xml:space="preserve">Keyboard</x:t>
        </x:is>
      </x:c>
      <x:c r="F1041" s="4" t="inlineStr">
        <x:is>
          <x:t xml:space="preserve">Accessories</x:t>
        </x:is>
      </x:c>
      <x:c r="G1041" s="4" t="inlineStr">
        <x:is>
          <x:t xml:space="preserve">Boston</x:t>
        </x:is>
      </x:c>
      <x:c r="H1041" s="18" t="n">
        <x:v>1</x:v>
      </x:c>
      <x:c r="I1041" s="19" t="n">
        <x:v>72.81</x:v>
      </x:c>
      <x:c r="J1041" s="20" t="n">
        <x:v>0.05</x:v>
      </x:c>
      <x:c r="K1041" s="4" t="inlineStr">
        <x:is>
          <x:t xml:space="preserve">Credit Card</x:t>
        </x:is>
      </x:c>
      <x:c r="L1041" s="19" t="n">
        <x:v>72.81</x:v>
      </x:c>
      <x:c r="M1041" s="19" t="n">
        <x:v>3.64</x:v>
      </x:c>
      <x:c r="N1041" s="19" t="n">
        <x:v>69.17</x:v>
      </x:c>
      <x:c r="O1041" s="4" t="n">
        <x:f>YEAR(C1041)</x:f>
        <x:v>2025</x:v>
      </x:c>
      <x:c r="P1041" s="4" t="str">
        <x:f>TEXT(C1041,"yyyy-mm")</x:f>
        <x:v>2025-07</x:v>
      </x:c>
      <x:c r="Q1041" s="4" t="str">
        <x:f>TEXT(C1041,"mmmm")</x:f>
        <x:v>July</x:v>
      </x:c>
    </x:row>
    <x:row r="1042" ht="20" customHeight="1">
      <x:c r="A1042" s="4" t="inlineStr">
        <x:is>
          <x:t xml:space="preserve">LINE-01052</x:t>
        </x:is>
      </x:c>
      <x:c r="B1042" s="4" t="inlineStr">
        <x:is>
          <x:t xml:space="preserve">ORD-2025-0656</x:t>
        </x:is>
      </x:c>
      <x:c r="C1042" s="17" t="n">
        <x:v>45730</x:v>
      </x:c>
      <x:c r="D1042" s="4" t="inlineStr">
        <x:is>
          <x:t xml:space="preserve">CUS-0134</x:t>
        </x:is>
      </x:c>
      <x:c r="E1042" s="4" t="inlineStr">
        <x:is>
          <x:t xml:space="preserve">Keyboard</x:t>
        </x:is>
      </x:c>
      <x:c r="F1042" s="4" t="inlineStr">
        <x:is>
          <x:t xml:space="preserve">Accessories</x:t>
        </x:is>
      </x:c>
      <x:c r="G1042" s="4" t="inlineStr">
        <x:is>
          <x:t xml:space="preserve">New York</x:t>
        </x:is>
      </x:c>
      <x:c r="H1042" s="18" t="n">
        <x:v>2</x:v>
      </x:c>
      <x:c r="I1042" s="19" t="n">
        <x:v>80.68000000000001</x:v>
      </x:c>
      <x:c r="J1042" s="20" t="n">
        <x:v>0</x:v>
      </x:c>
      <x:c r="K1042" s="4" t="inlineStr">
        <x:is>
          <x:t xml:space="preserve">PayPal</x:t>
        </x:is>
      </x:c>
      <x:c r="L1042" s="19" t="n">
        <x:v>161.36</x:v>
      </x:c>
      <x:c r="M1042" s="19" t="n">
        <x:v>0</x:v>
      </x:c>
      <x:c r="N1042" s="19" t="n">
        <x:v>161.36</x:v>
      </x:c>
      <x:c r="O1042" s="4" t="n">
        <x:f>YEAR(C1042)</x:f>
        <x:v>2025</x:v>
      </x:c>
      <x:c r="P1042" s="4" t="str">
        <x:f>TEXT(C1042,"yyyy-mm")</x:f>
        <x:v>2025-03</x:v>
      </x:c>
      <x:c r="Q1042" s="4" t="str">
        <x:f>TEXT(C1042,"mmmm")</x:f>
        <x:v>March</x:v>
      </x:c>
    </x:row>
    <x:row r="1043" ht="20" customHeight="1">
      <x:c r="A1043" s="4" t="inlineStr">
        <x:is>
          <x:t xml:space="preserve">LINE-01053</x:t>
        </x:is>
      </x:c>
      <x:c r="B1043" s="4" t="inlineStr">
        <x:is>
          <x:t xml:space="preserve">ORD-2025-0657</x:t>
        </x:is>
      </x:c>
      <x:c r="C1043" s="17" t="n">
        <x:v>45842</x:v>
      </x:c>
      <x:c r="D1043" s="4" t="inlineStr">
        <x:is>
          <x:t xml:space="preserve">CUS-0221</x:t>
        </x:is>
      </x:c>
      <x:c r="E1043" s="4" t="inlineStr">
        <x:is>
          <x:t xml:space="preserve">USB-C Hub</x:t>
        </x:is>
      </x:c>
      <x:c r="F1043" s="4" t="inlineStr">
        <x:is>
          <x:t xml:space="preserve">Accessories</x:t>
        </x:is>
      </x:c>
      <x:c r="G1043" s="4" t="inlineStr">
        <x:is>
          <x:t xml:space="preserve">Austin</x:t>
        </x:is>
      </x:c>
      <x:c r="H1043" s="18" t="n">
        <x:v>1</x:v>
      </x:c>
      <x:c r="I1043" s="19" t="n">
        <x:v>69.08</x:v>
      </x:c>
      <x:c r="J1043" s="20" t="n">
        <x:v>0</x:v>
      </x:c>
      <x:c r="K1043" s="4" t="inlineStr">
        <x:is>
          <x:t xml:space="preserve">PayPal</x:t>
        </x:is>
      </x:c>
      <x:c r="L1043" s="19" t="n">
        <x:v>69.08</x:v>
      </x:c>
      <x:c r="M1043" s="19" t="n">
        <x:v>0</x:v>
      </x:c>
      <x:c r="N1043" s="19" t="n">
        <x:v>69.08</x:v>
      </x:c>
      <x:c r="O1043" s="4" t="n">
        <x:f>YEAR(C1043)</x:f>
        <x:v>2025</x:v>
      </x:c>
      <x:c r="P1043" s="4" t="str">
        <x:f>TEXT(C1043,"yyyy-mm")</x:f>
        <x:v>2025-07</x:v>
      </x:c>
      <x:c r="Q1043" s="4" t="str">
        <x:f>TEXT(C1043,"mmmm")</x:f>
        <x:v>July</x:v>
      </x:c>
    </x:row>
    <x:row r="1044" ht="20" customHeight="1">
      <x:c r="A1044" s="4" t="inlineStr">
        <x:is>
          <x:t xml:space="preserve">LINE-01054</x:t>
        </x:is>
      </x:c>
      <x:c r="B1044" s="4" t="inlineStr">
        <x:is>
          <x:t xml:space="preserve">ORD-2025-0657</x:t>
        </x:is>
      </x:c>
      <x:c r="C1044" s="17" t="n">
        <x:v>45842</x:v>
      </x:c>
      <x:c r="D1044" s="4" t="inlineStr">
        <x:is>
          <x:t xml:space="preserve">CUS-0221</x:t>
        </x:is>
      </x:c>
      <x:c r="E1044" s="4" t="inlineStr">
        <x:is>
          <x:t xml:space="preserve">External SSD</x:t>
        </x:is>
      </x:c>
      <x:c r="F1044" s="4" t="inlineStr">
        <x:is>
          <x:t xml:space="preserve">Storage</x:t>
        </x:is>
      </x:c>
      <x:c r="G1044" s="4" t="inlineStr">
        <x:is>
          <x:t xml:space="preserve">Austin</x:t>
        </x:is>
      </x:c>
      <x:c r="H1044" s="18" t="n">
        <x:v>5</x:v>
      </x:c>
      <x:c r="I1044" s="19" t="n">
        <x:v>156.33</x:v>
      </x:c>
      <x:c r="J1044" s="20" t="n">
        <x:v>0</x:v>
      </x:c>
      <x:c r="K1044" s="4" t="inlineStr">
        <x:is>
          <x:t xml:space="preserve">PayPal</x:t>
        </x:is>
      </x:c>
      <x:c r="L1044" s="19" t="n">
        <x:v>781.65</x:v>
      </x:c>
      <x:c r="M1044" s="19" t="n">
        <x:v>0</x:v>
      </x:c>
      <x:c r="N1044" s="19" t="n">
        <x:v>781.65</x:v>
      </x:c>
      <x:c r="O1044" s="4" t="n">
        <x:f>YEAR(C1044)</x:f>
        <x:v>2025</x:v>
      </x:c>
      <x:c r="P1044" s="4" t="str">
        <x:f>TEXT(C1044,"yyyy-mm")</x:f>
        <x:v>2025-07</x:v>
      </x:c>
      <x:c r="Q1044" s="4" t="str">
        <x:f>TEXT(C1044,"mmmm")</x:f>
        <x:v>July</x:v>
      </x:c>
    </x:row>
    <x:row r="1045" ht="20" customHeight="1">
      <x:c r="A1045" s="4" t="inlineStr">
        <x:is>
          <x:t xml:space="preserve">LINE-01055</x:t>
        </x:is>
      </x:c>
      <x:c r="B1045" s="4" t="inlineStr">
        <x:is>
          <x:t xml:space="preserve">ORD-2025-0658</x:t>
        </x:is>
      </x:c>
      <x:c r="C1045" s="17" t="n">
        <x:v>45994</x:v>
      </x:c>
      <x:c r="D1045" s="4" t="inlineStr">
        <x:is>
          <x:t xml:space="preserve">CUS-0326</x:t>
        </x:is>
      </x:c>
      <x:c r="E1045" s="4" t="inlineStr">
        <x:is>
          <x:t xml:space="preserve">Laptop</x:t>
        </x:is>
      </x:c>
      <x:c r="F1045" s="4" t="inlineStr">
        <x:is>
          <x:t xml:space="preserve">Computers</x:t>
        </x:is>
      </x:c>
      <x:c r="G1045" s="4" t="inlineStr">
        <x:is>
          <x:t xml:space="preserve">Seattle</x:t>
        </x:is>
      </x:c>
      <x:c r="H1045" s="18" t="n">
        <x:v>1</x:v>
      </x:c>
      <x:c r="I1045" s="19" t="n">
        <x:v>879.45</x:v>
      </x:c>
      <x:c r="J1045" s="20" t="n">
        <x:v>0</x:v>
      </x:c>
      <x:c r="K1045" s="4" t="inlineStr">
        <x:is>
          <x:t xml:space="preserve">Credit Card</x:t>
        </x:is>
      </x:c>
      <x:c r="L1045" s="19" t="n">
        <x:v>879.45</x:v>
      </x:c>
      <x:c r="M1045" s="19" t="n">
        <x:v>0</x:v>
      </x:c>
      <x:c r="N1045" s="19" t="n">
        <x:v>879.45</x:v>
      </x:c>
      <x:c r="O1045" s="4" t="n">
        <x:f>YEAR(C1045)</x:f>
        <x:v>2025</x:v>
      </x:c>
      <x:c r="P1045" s="4" t="str">
        <x:f>TEXT(C1045,"yyyy-mm")</x:f>
        <x:v>2025-12</x:v>
      </x:c>
      <x:c r="Q1045" s="4" t="str">
        <x:f>TEXT(C1045,"mmmm")</x:f>
        <x:v>December</x:v>
      </x:c>
    </x:row>
    <x:row r="1046" ht="20" customHeight="1">
      <x:c r="A1046" s="4" t="inlineStr">
        <x:is>
          <x:t xml:space="preserve">LINE-01056</x:t>
        </x:is>
      </x:c>
      <x:c r="B1046" s="4" t="inlineStr">
        <x:is>
          <x:t xml:space="preserve">ORD-2025-0659</x:t>
        </x:is>
      </x:c>
      <x:c r="C1046" s="17" t="n">
        <x:v>46019</x:v>
      </x:c>
      <x:c r="D1046" s="4" t="inlineStr">
        <x:is>
          <x:t xml:space="preserve">CUS-0240</x:t>
        </x:is>
      </x:c>
      <x:c r="E1046" s="4" t="inlineStr">
        <x:is>
          <x:t xml:space="preserve">Bluetooth Speaker</x:t>
        </x:is>
      </x:c>
      <x:c r="F1046" s="4" t="inlineStr">
        <x:is>
          <x:t xml:space="preserve">Audio</x:t>
        </x:is>
      </x:c>
      <x:c r="G1046" s="4" t="inlineStr">
        <x:is>
          <x:t xml:space="preserve">Seattle</x:t>
        </x:is>
      </x:c>
      <x:c r="H1046" s="18" t="n">
        <x:v>1</x:v>
      </x:c>
      <x:c r="I1046" s="19" t="n">
        <x:v>113.68</x:v>
      </x:c>
      <x:c r="J1046" s="20" t="n">
        <x:v>0.05</x:v>
      </x:c>
      <x:c r="K1046" s="4" t="inlineStr">
        <x:is>
          <x:t xml:space="preserve">Credit Card</x:t>
        </x:is>
      </x:c>
      <x:c r="L1046" s="19" t="n">
        <x:v>113.68</x:v>
      </x:c>
      <x:c r="M1046" s="19" t="n">
        <x:v>5.68</x:v>
      </x:c>
      <x:c r="N1046" s="19" t="n">
        <x:v>108</x:v>
      </x:c>
      <x:c r="O1046" s="4" t="n">
        <x:f>YEAR(C1046)</x:f>
        <x:v>2025</x:v>
      </x:c>
      <x:c r="P1046" s="4" t="str">
        <x:f>TEXT(C1046,"yyyy-mm")</x:f>
        <x:v>2025-12</x:v>
      </x:c>
      <x:c r="Q1046" s="4" t="str">
        <x:f>TEXT(C1046,"mmmm")</x:f>
        <x:v>December</x:v>
      </x:c>
    </x:row>
    <x:row r="1047" ht="20" customHeight="1">
      <x:c r="A1047" s="4" t="inlineStr">
        <x:is>
          <x:t xml:space="preserve">LINE-01057</x:t>
        </x:is>
      </x:c>
      <x:c r="B1047" s="4" t="inlineStr">
        <x:is>
          <x:t xml:space="preserve">ORD-2025-0659</x:t>
        </x:is>
      </x:c>
      <x:c r="C1047" s="17" t="n">
        <x:v>46019</x:v>
      </x:c>
      <x:c r="D1047" s="4" t="inlineStr">
        <x:is>
          <x:t xml:space="preserve">CUS-0240</x:t>
        </x:is>
      </x:c>
      <x:c r="E1047" s="4" t="inlineStr">
        <x:is>
          <x:t xml:space="preserve">Laptop</x:t>
        </x:is>
      </x:c>
      <x:c r="F1047" s="4" t="inlineStr">
        <x:is>
          <x:t xml:space="preserve">Computers</x:t>
        </x:is>
      </x:c>
      <x:c r="G1047" s="4" t="inlineStr">
        <x:is>
          <x:t xml:space="preserve">Seattle</x:t>
        </x:is>
      </x:c>
      <x:c r="H1047" s="18" t="n">
        <x:v>2</x:v>
      </x:c>
      <x:c r="I1047" s="19" t="n">
        <x:v>1002.57</x:v>
      </x:c>
      <x:c r="J1047" s="20" t="n">
        <x:v>0.1</x:v>
      </x:c>
      <x:c r="K1047" s="4" t="inlineStr">
        <x:is>
          <x:t xml:space="preserve">Credit Card</x:t>
        </x:is>
      </x:c>
      <x:c r="L1047" s="19" t="n">
        <x:v>2005.14</x:v>
      </x:c>
      <x:c r="M1047" s="19" t="n">
        <x:v>200.51</x:v>
      </x:c>
      <x:c r="N1047" s="19" t="n">
        <x:v>1804.63</x:v>
      </x:c>
      <x:c r="O1047" s="4" t="n">
        <x:f>YEAR(C1047)</x:f>
        <x:v>2025</x:v>
      </x:c>
      <x:c r="P1047" s="4" t="str">
        <x:f>TEXT(C1047,"yyyy-mm")</x:f>
        <x:v>2025-12</x:v>
      </x:c>
      <x:c r="Q1047" s="4" t="str">
        <x:f>TEXT(C1047,"mmmm")</x:f>
        <x:v>December</x:v>
      </x:c>
    </x:row>
    <x:row r="1048" ht="20" customHeight="1">
      <x:c r="A1048" s="4" t="inlineStr">
        <x:is>
          <x:t xml:space="preserve">LINE-01058</x:t>
        </x:is>
      </x:c>
      <x:c r="B1048" s="4" t="inlineStr">
        <x:is>
          <x:t xml:space="preserve">ORD-2025-0659</x:t>
        </x:is>
      </x:c>
      <x:c r="C1048" s="17" t="n">
        <x:v>46019</x:v>
      </x:c>
      <x:c r="D1048" s="4" t="inlineStr">
        <x:is>
          <x:t xml:space="preserve">CUS-0240</x:t>
        </x:is>
      </x:c>
      <x:c r="E1048" s="4" t="inlineStr">
        <x:is>
          <x:t xml:space="preserve">Desk Lamp</x:t>
        </x:is>
      </x:c>
      <x:c r="F1048" s="4" t="inlineStr">
        <x:is>
          <x:t xml:space="preserve">Furniture</x:t>
        </x:is>
      </x:c>
      <x:c r="G1048" s="4" t="inlineStr">
        <x:is>
          <x:t xml:space="preserve">Seattle</x:t>
        </x:is>
      </x:c>
      <x:c r="H1048" s="18" t="n">
        <x:v>1</x:v>
      </x:c>
      <x:c r="I1048" s="19" t="n">
        <x:v>51.42</x:v>
      </x:c>
      <x:c r="J1048" s="20" t="n">
        <x:v>0.1</x:v>
      </x:c>
      <x:c r="K1048" s="4" t="inlineStr">
        <x:is>
          <x:t xml:space="preserve">Credit Card</x:t>
        </x:is>
      </x:c>
      <x:c r="L1048" s="19" t="n">
        <x:v>51.42</x:v>
      </x:c>
      <x:c r="M1048" s="19" t="n">
        <x:v>5.14</x:v>
      </x:c>
      <x:c r="N1048" s="19" t="n">
        <x:v>46.28</x:v>
      </x:c>
      <x:c r="O1048" s="4" t="n">
        <x:f>YEAR(C1048)</x:f>
        <x:v>2025</x:v>
      </x:c>
      <x:c r="P1048" s="4" t="str">
        <x:f>TEXT(C1048,"yyyy-mm")</x:f>
        <x:v>2025-12</x:v>
      </x:c>
      <x:c r="Q1048" s="4" t="str">
        <x:f>TEXT(C1048,"mmmm")</x:f>
        <x:v>December</x:v>
      </x:c>
    </x:row>
    <x:row r="1049" ht="20" customHeight="1">
      <x:c r="A1049" s="4" t="inlineStr">
        <x:is>
          <x:t xml:space="preserve">LINE-01059</x:t>
        </x:is>
      </x:c>
      <x:c r="B1049" s="4" t="inlineStr">
        <x:is>
          <x:t xml:space="preserve">ORD-2025-0660</x:t>
        </x:is>
      </x:c>
      <x:c r="C1049" s="17" t="n">
        <x:v>45750</x:v>
      </x:c>
      <x:c r="D1049" s="4" t="inlineStr">
        <x:is>
          <x:t xml:space="preserve">CUS-0087</x:t>
        </x:is>
      </x:c>
      <x:c r="E1049" s="4" t="inlineStr">
        <x:is>
          <x:t xml:space="preserve">Office Chair</x:t>
        </x:is>
      </x:c>
      <x:c r="F1049" s="4" t="inlineStr">
        <x:is>
          <x:t xml:space="preserve">Furniture</x:t>
        </x:is>
      </x:c>
      <x:c r="G1049" s="4" t="inlineStr">
        <x:is>
          <x:t xml:space="preserve">San Francisco</x:t>
        </x:is>
      </x:c>
      <x:c r="H1049" s="18" t="n">
        <x:v>1</x:v>
      </x:c>
      <x:c r="I1049" s="19" t="n">
        <x:v>259.12</x:v>
      </x:c>
      <x:c r="J1049" s="20" t="n">
        <x:v>0</x:v>
      </x:c>
      <x:c r="K1049" s="4" t="inlineStr">
        <x:is>
          <x:t xml:space="preserve">PayPal</x:t>
        </x:is>
      </x:c>
      <x:c r="L1049" s="19" t="n">
        <x:v>259.12</x:v>
      </x:c>
      <x:c r="M1049" s="19" t="n">
        <x:v>0</x:v>
      </x:c>
      <x:c r="N1049" s="19" t="n">
        <x:v>259.12</x:v>
      </x:c>
      <x:c r="O1049" s="4" t="n">
        <x:f>YEAR(C1049)</x:f>
        <x:v>2025</x:v>
      </x:c>
      <x:c r="P1049" s="4" t="str">
        <x:f>TEXT(C1049,"yyyy-mm")</x:f>
        <x:v>2025-04</x:v>
      </x:c>
      <x:c r="Q1049" s="4" t="str">
        <x:f>TEXT(C1049,"mmmm")</x:f>
        <x:v>April</x:v>
      </x:c>
    </x:row>
    <x:row r="1050" ht="20" customHeight="1">
      <x:c r="A1050" s="4" t="inlineStr">
        <x:is>
          <x:t xml:space="preserve">LINE-01060</x:t>
        </x:is>
      </x:c>
      <x:c r="B1050" s="4" t="inlineStr">
        <x:is>
          <x:t xml:space="preserve">ORD-2025-0660</x:t>
        </x:is>
      </x:c>
      <x:c r="C1050" s="17" t="n">
        <x:v>45750</x:v>
      </x:c>
      <x:c r="D1050" s="4" t="inlineStr">
        <x:is>
          <x:t xml:space="preserve">CUS-0087</x:t>
        </x:is>
      </x:c>
      <x:c r="E1050" s="4" t="inlineStr">
        <x:is>
          <x:t xml:space="preserve">USB Flash Drive</x:t>
        </x:is>
      </x:c>
      <x:c r="F1050" s="4" t="inlineStr">
        <x:is>
          <x:t xml:space="preserve">Storage</x:t>
        </x:is>
      </x:c>
      <x:c r="G1050" s="4" t="inlineStr">
        <x:is>
          <x:t xml:space="preserve">San Francisco</x:t>
        </x:is>
      </x:c>
      <x:c r="H1050" s="18" t="n">
        <x:v>3</x:v>
      </x:c>
      <x:c r="I1050" s="19" t="n">
        <x:v>28.47</x:v>
      </x:c>
      <x:c r="J1050" s="20" t="n">
        <x:v>0.15</x:v>
      </x:c>
      <x:c r="K1050" s="4" t="inlineStr">
        <x:is>
          <x:t xml:space="preserve">PayPal</x:t>
        </x:is>
      </x:c>
      <x:c r="L1050" s="19" t="n">
        <x:v>85.41</x:v>
      </x:c>
      <x:c r="M1050" s="19" t="n">
        <x:v>12.81</x:v>
      </x:c>
      <x:c r="N1050" s="19" t="n">
        <x:v>72.59999999999999</x:v>
      </x:c>
      <x:c r="O1050" s="4" t="n">
        <x:f>YEAR(C1050)</x:f>
        <x:v>2025</x:v>
      </x:c>
      <x:c r="P1050" s="4" t="str">
        <x:f>TEXT(C1050,"yyyy-mm")</x:f>
        <x:v>2025-04</x:v>
      </x:c>
      <x:c r="Q1050" s="4" t="str">
        <x:f>TEXT(C1050,"mmmm")</x:f>
        <x:v>April</x:v>
      </x:c>
    </x:row>
    <x:row r="1051" ht="20" customHeight="1">
      <x:c r="A1051" s="4" t="inlineStr">
        <x:is>
          <x:t xml:space="preserve">LINE-01061</x:t>
        </x:is>
      </x:c>
      <x:c r="B1051" s="4" t="inlineStr">
        <x:is>
          <x:t xml:space="preserve">ORD-2025-0661</x:t>
        </x:is>
      </x:c>
      <x:c r="C1051" s="17" t="n">
        <x:v>45784</x:v>
      </x:c>
      <x:c r="D1051" s="4" t="inlineStr">
        <x:is>
          <x:t xml:space="preserve">CUS-0256</x:t>
        </x:is>
      </x:c>
      <x:c r="E1051" s="4" t="inlineStr">
        <x:is>
          <x:t xml:space="preserve">Laptop</x:t>
        </x:is>
      </x:c>
      <x:c r="F1051" s="4" t="inlineStr">
        <x:is>
          <x:t xml:space="preserve">Computers</x:t>
        </x:is>
      </x:c>
      <x:c r="G1051" s="4" t="inlineStr">
        <x:is>
          <x:t xml:space="preserve">San Francisco</x:t>
        </x:is>
      </x:c>
      <x:c r="H1051" s="18" t="n">
        <x:v>1</x:v>
      </x:c>
      <x:c r="I1051" s="19" t="n">
        <x:v>963.73</x:v>
      </x:c>
      <x:c r="J1051" s="20" t="n">
        <x:v>0.15</x:v>
      </x:c>
      <x:c r="K1051" s="4" t="inlineStr">
        <x:is>
          <x:t xml:space="preserve">Credit Card</x:t>
        </x:is>
      </x:c>
      <x:c r="L1051" s="19" t="n">
        <x:v>963.73</x:v>
      </x:c>
      <x:c r="M1051" s="19" t="n">
        <x:v>144.56</x:v>
      </x:c>
      <x:c r="N1051" s="19" t="n">
        <x:v>819.17</x:v>
      </x:c>
      <x:c r="O1051" s="4" t="n">
        <x:f>YEAR(C1051)</x:f>
        <x:v>2025</x:v>
      </x:c>
      <x:c r="P1051" s="4" t="str">
        <x:f>TEXT(C1051,"yyyy-mm")</x:f>
        <x:v>2025-05</x:v>
      </x:c>
      <x:c r="Q1051" s="4" t="str">
        <x:f>TEXT(C1051,"mmmm")</x:f>
        <x:v>May</x:v>
      </x:c>
    </x:row>
    <x:row r="1052" ht="20" customHeight="1">
      <x:c r="A1052" s="4" t="inlineStr">
        <x:is>
          <x:t xml:space="preserve">LINE-01062</x:t>
        </x:is>
      </x:c>
      <x:c r="B1052" s="4" t="inlineStr">
        <x:is>
          <x:t xml:space="preserve">ORD-2025-0661</x:t>
        </x:is>
      </x:c>
      <x:c r="C1052" s="17" t="n">
        <x:v>45784</x:v>
      </x:c>
      <x:c r="D1052" s="4" t="inlineStr">
        <x:is>
          <x:t xml:space="preserve">CUS-0256</x:t>
        </x:is>
      </x:c>
      <x:c r="E1052" s="4" t="inlineStr">
        <x:is>
          <x:t xml:space="preserve">USB-C Hub</x:t>
        </x:is>
      </x:c>
      <x:c r="F1052" s="4" t="inlineStr">
        <x:is>
          <x:t xml:space="preserve">Accessories</x:t>
        </x:is>
      </x:c>
      <x:c r="G1052" s="4" t="inlineStr">
        <x:is>
          <x:t xml:space="preserve">San Francisco</x:t>
        </x:is>
      </x:c>
      <x:c r="H1052" s="18" t="n">
        <x:v>3</x:v>
      </x:c>
      <x:c r="I1052" s="19" t="n">
        <x:v>61.4</x:v>
      </x:c>
      <x:c r="J1052" s="20" t="n">
        <x:v>0</x:v>
      </x:c>
      <x:c r="K1052" s="4" t="inlineStr">
        <x:is>
          <x:t xml:space="preserve">Credit Card</x:t>
        </x:is>
      </x:c>
      <x:c r="L1052" s="19" t="n">
        <x:v>184.2</x:v>
      </x:c>
      <x:c r="M1052" s="19" t="n">
        <x:v>0</x:v>
      </x:c>
      <x:c r="N1052" s="19" t="n">
        <x:v>184.2</x:v>
      </x:c>
      <x:c r="O1052" s="4" t="n">
        <x:f>YEAR(C1052)</x:f>
        <x:v>2025</x:v>
      </x:c>
      <x:c r="P1052" s="4" t="str">
        <x:f>TEXT(C1052,"yyyy-mm")</x:f>
        <x:v>2025-05</x:v>
      </x:c>
      <x:c r="Q1052" s="4" t="str">
        <x:f>TEXT(C1052,"mmmm")</x:f>
        <x:v>May</x:v>
      </x:c>
    </x:row>
    <x:row r="1053" ht="20" customHeight="1">
      <x:c r="A1053" s="4" t="inlineStr">
        <x:is>
          <x:t xml:space="preserve">LINE-01063</x:t>
        </x:is>
      </x:c>
      <x:c r="B1053" s="4" t="inlineStr">
        <x:is>
          <x:t xml:space="preserve">ORD-2025-0661</x:t>
        </x:is>
      </x:c>
      <x:c r="C1053" s="17" t="n">
        <x:v>45784</x:v>
      </x:c>
      <x:c r="D1053" s="4" t="inlineStr">
        <x:is>
          <x:t xml:space="preserve">CUS-0256</x:t>
        </x:is>
      </x:c>
      <x:c r="E1053" s="4" t="inlineStr">
        <x:is>
          <x:t xml:space="preserve">Monitor</x:t>
        </x:is>
      </x:c>
      <x:c r="F1053" s="4" t="inlineStr">
        <x:is>
          <x:t xml:space="preserve">Computers</x:t>
        </x:is>
      </x:c>
      <x:c r="G1053" s="4" t="inlineStr">
        <x:is>
          <x:t xml:space="preserve">San Francisco</x:t>
        </x:is>
      </x:c>
      <x:c r="H1053" s="18" t="n">
        <x:v>3</x:v>
      </x:c>
      <x:c r="I1053" s="19" t="n">
        <x:v>287.15</x:v>
      </x:c>
      <x:c r="J1053" s="20" t="n">
        <x:v>0.05</x:v>
      </x:c>
      <x:c r="K1053" s="4" t="inlineStr">
        <x:is>
          <x:t xml:space="preserve">Credit Card</x:t>
        </x:is>
      </x:c>
      <x:c r="L1053" s="19" t="n">
        <x:v>861.45</x:v>
      </x:c>
      <x:c r="M1053" s="19" t="n">
        <x:v>43.07</x:v>
      </x:c>
      <x:c r="N1053" s="19" t="n">
        <x:v>818.38</x:v>
      </x:c>
      <x:c r="O1053" s="4" t="n">
        <x:f>YEAR(C1053)</x:f>
        <x:v>2025</x:v>
      </x:c>
      <x:c r="P1053" s="4" t="str">
        <x:f>TEXT(C1053,"yyyy-mm")</x:f>
        <x:v>2025-05</x:v>
      </x:c>
      <x:c r="Q1053" s="4" t="str">
        <x:f>TEXT(C1053,"mmmm")</x:f>
        <x:v>May</x:v>
      </x:c>
    </x:row>
    <x:row r="1054" ht="20" customHeight="1">
      <x:c r="A1054" s="4" t="inlineStr">
        <x:is>
          <x:t xml:space="preserve">LINE-01064</x:t>
        </x:is>
      </x:c>
      <x:c r="B1054" s="4" t="inlineStr">
        <x:is>
          <x:t xml:space="preserve">ORD-2025-0662</x:t>
        </x:is>
      </x:c>
      <x:c r="C1054" s="17" t="n">
        <x:v>45795</x:v>
      </x:c>
      <x:c r="D1054" s="4" t="inlineStr">
        <x:is>
          <x:t xml:space="preserve">CUS-0305</x:t>
        </x:is>
      </x:c>
      <x:c r="E1054" s="4" t="inlineStr">
        <x:is>
          <x:t xml:space="preserve">Laptop</x:t>
        </x:is>
      </x:c>
      <x:c r="F1054" s="4" t="inlineStr">
        <x:is>
          <x:t xml:space="preserve">Computers</x:t>
        </x:is>
      </x:c>
      <x:c r="G1054" s="4" t="inlineStr">
        <x:is>
          <x:t xml:space="preserve">San Francisco</x:t>
        </x:is>
      </x:c>
      <x:c r="H1054" s="18" t="n">
        <x:v>2</x:v>
      </x:c>
      <x:c r="I1054" s="19" t="n">
        <x:v>1018.54</x:v>
      </x:c>
      <x:c r="J1054" s="20" t="n">
        <x:v>0</x:v>
      </x:c>
      <x:c r="K1054" s="4" t="inlineStr">
        <x:is>
          <x:t xml:space="preserve">Credit Card</x:t>
        </x:is>
      </x:c>
      <x:c r="L1054" s="19" t="n">
        <x:v>2037.08</x:v>
      </x:c>
      <x:c r="M1054" s="19" t="n">
        <x:v>0</x:v>
      </x:c>
      <x:c r="N1054" s="19" t="n">
        <x:v>2037.08</x:v>
      </x:c>
      <x:c r="O1054" s="4" t="n">
        <x:f>YEAR(C1054)</x:f>
        <x:v>2025</x:v>
      </x:c>
      <x:c r="P1054" s="4" t="str">
        <x:f>TEXT(C1054,"yyyy-mm")</x:f>
        <x:v>2025-05</x:v>
      </x:c>
      <x:c r="Q1054" s="4" t="str">
        <x:f>TEXT(C1054,"mmmm")</x:f>
        <x:v>May</x:v>
      </x:c>
    </x:row>
    <x:row r="1055" ht="20" customHeight="1">
      <x:c r="A1055" s="4" t="inlineStr">
        <x:is>
          <x:t xml:space="preserve">LINE-01065</x:t>
        </x:is>
      </x:c>
      <x:c r="B1055" s="4" t="inlineStr">
        <x:is>
          <x:t xml:space="preserve">ORD-2025-0663</x:t>
        </x:is>
      </x:c>
      <x:c r="C1055" s="17" t="n">
        <x:v>45949</x:v>
      </x:c>
      <x:c r="D1055" s="4" t="inlineStr">
        <x:is>
          <x:t xml:space="preserve">CUS-0067</x:t>
        </x:is>
      </x:c>
      <x:c r="E1055" s="4" t="inlineStr">
        <x:is>
          <x:t xml:space="preserve">USB-C Hub</x:t>
        </x:is>
      </x:c>
      <x:c r="F1055" s="4" t="inlineStr">
        <x:is>
          <x:t xml:space="preserve">Accessories</x:t>
        </x:is>
      </x:c>
      <x:c r="G1055" s="4" t="inlineStr">
        <x:is>
          <x:t xml:space="preserve">Chicago</x:t>
        </x:is>
      </x:c>
      <x:c r="H1055" s="18" t="n">
        <x:v>3</x:v>
      </x:c>
      <x:c r="I1055" s="19" t="n">
        <x:v>67.54000000000001</x:v>
      </x:c>
      <x:c r="J1055" s="20" t="n">
        <x:v>0.05</x:v>
      </x:c>
      <x:c r="K1055" s="4" t="inlineStr">
        <x:is>
          <x:t xml:space="preserve">Credit Card</x:t>
        </x:is>
      </x:c>
      <x:c r="L1055" s="19" t="n">
        <x:v>202.62</x:v>
      </x:c>
      <x:c r="M1055" s="19" t="n">
        <x:v>10.13</x:v>
      </x:c>
      <x:c r="N1055" s="19" t="n">
        <x:v>192.49</x:v>
      </x:c>
      <x:c r="O1055" s="4" t="n">
        <x:f>YEAR(C1055)</x:f>
        <x:v>2025</x:v>
      </x:c>
      <x:c r="P1055" s="4" t="str">
        <x:f>TEXT(C1055,"yyyy-mm")</x:f>
        <x:v>2025-10</x:v>
      </x:c>
      <x:c r="Q1055" s="4" t="str">
        <x:f>TEXT(C1055,"mmmm")</x:f>
        <x:v>October</x:v>
      </x:c>
    </x:row>
    <x:row r="1056" ht="20" customHeight="1">
      <x:c r="A1056" s="4" t="inlineStr">
        <x:is>
          <x:t xml:space="preserve">LINE-01066</x:t>
        </x:is>
      </x:c>
      <x:c r="B1056" s="4" t="inlineStr">
        <x:is>
          <x:t xml:space="preserve">ORD-2025-0663</x:t>
        </x:is>
      </x:c>
      <x:c r="C1056" s="17" t="n">
        <x:v>45949</x:v>
      </x:c>
      <x:c r="D1056" s="4" t="inlineStr">
        <x:is>
          <x:t xml:space="preserve">CUS-0067</x:t>
        </x:is>
      </x:c>
      <x:c r="E1056" s="4" t="inlineStr">
        <x:is>
          <x:t xml:space="preserve">Webcam</x:t>
        </x:is>
      </x:c>
      <x:c r="F1056" s="4" t="inlineStr">
        <x:is>
          <x:t xml:space="preserve">Accessories</x:t>
        </x:is>
      </x:c>
      <x:c r="G1056" s="4" t="inlineStr">
        <x:is>
          <x:t xml:space="preserve">Chicago</x:t>
        </x:is>
      </x:c>
      <x:c r="H1056" s="18" t="n">
        <x:v>2</x:v>
      </x:c>
      <x:c r="I1056" s="19" t="n">
        <x:v>84.13</x:v>
      </x:c>
      <x:c r="J1056" s="20" t="n">
        <x:v>0</x:v>
      </x:c>
      <x:c r="K1056" s="4" t="inlineStr">
        <x:is>
          <x:t xml:space="preserve">Credit Card</x:t>
        </x:is>
      </x:c>
      <x:c r="L1056" s="19" t="n">
        <x:v>168.26</x:v>
      </x:c>
      <x:c r="M1056" s="19" t="n">
        <x:v>0</x:v>
      </x:c>
      <x:c r="N1056" s="19" t="n">
        <x:v>168.26</x:v>
      </x:c>
      <x:c r="O1056" s="4" t="n">
        <x:f>YEAR(C1056)</x:f>
        <x:v>2025</x:v>
      </x:c>
      <x:c r="P1056" s="4" t="str">
        <x:f>TEXT(C1056,"yyyy-mm")</x:f>
        <x:v>2025-10</x:v>
      </x:c>
      <x:c r="Q1056" s="4" t="str">
        <x:f>TEXT(C1056,"mmmm")</x:f>
        <x:v>October</x:v>
      </x:c>
    </x:row>
    <x:row r="1057" ht="20" customHeight="1">
      <x:c r="A1057" s="4" t="inlineStr">
        <x:is>
          <x:t xml:space="preserve">LINE-01067</x:t>
        </x:is>
      </x:c>
      <x:c r="B1057" s="4" t="inlineStr">
        <x:is>
          <x:t xml:space="preserve">ORD-2025-0664</x:t>
        </x:is>
      </x:c>
      <x:c r="C1057" s="17" t="n">
        <x:v>45780</x:v>
      </x:c>
      <x:c r="D1057" s="4" t="inlineStr">
        <x:is>
          <x:t xml:space="preserve">CUS-0205</x:t>
        </x:is>
      </x:c>
      <x:c r="E1057" s="4" t="inlineStr">
        <x:is>
          <x:t xml:space="preserve">Keyboard</x:t>
        </x:is>
      </x:c>
      <x:c r="F1057" s="4" t="inlineStr">
        <x:is>
          <x:t xml:space="preserve">Accessories</x:t>
        </x:is>
      </x:c>
      <x:c r="G1057" s="4" t="inlineStr">
        <x:is>
          <x:t xml:space="preserve">New York</x:t>
        </x:is>
      </x:c>
      <x:c r="H1057" s="18" t="n">
        <x:v>1</x:v>
      </x:c>
      <x:c r="I1057" s="19" t="n">
        <x:v>78.03</x:v>
      </x:c>
      <x:c r="J1057" s="20" t="n">
        <x:v>0.05</x:v>
      </x:c>
      <x:c r="K1057" s="4" t="inlineStr">
        <x:is>
          <x:t xml:space="preserve">Credit Card</x:t>
        </x:is>
      </x:c>
      <x:c r="L1057" s="19" t="n">
        <x:v>78.03</x:v>
      </x:c>
      <x:c r="M1057" s="19" t="n">
        <x:v>3.9</x:v>
      </x:c>
      <x:c r="N1057" s="19" t="n">
        <x:v>74.13</x:v>
      </x:c>
      <x:c r="O1057" s="4" t="n">
        <x:f>YEAR(C1057)</x:f>
        <x:v>2025</x:v>
      </x:c>
      <x:c r="P1057" s="4" t="str">
        <x:f>TEXT(C1057,"yyyy-mm")</x:f>
        <x:v>2025-05</x:v>
      </x:c>
      <x:c r="Q1057" s="4" t="str">
        <x:f>TEXT(C1057,"mmmm")</x:f>
        <x:v>May</x:v>
      </x:c>
    </x:row>
    <x:row r="1058" ht="20" customHeight="1">
      <x:c r="A1058" s="4" t="inlineStr">
        <x:is>
          <x:t xml:space="preserve">LINE-01068</x:t>
        </x:is>
      </x:c>
      <x:c r="B1058" s="4" t="inlineStr">
        <x:is>
          <x:t xml:space="preserve">ORD-2025-0664</x:t>
        </x:is>
      </x:c>
      <x:c r="C1058" s="17" t="n">
        <x:v>45780</x:v>
      </x:c>
      <x:c r="D1058" s="4" t="inlineStr">
        <x:is>
          <x:t xml:space="preserve">CUS-0205</x:t>
        </x:is>
      </x:c>
      <x:c r="E1058" s="4" t="inlineStr">
        <x:is>
          <x:t xml:space="preserve">Headphones</x:t>
        </x:is>
      </x:c>
      <x:c r="F1058" s="4" t="inlineStr">
        <x:is>
          <x:t xml:space="preserve">Audio</x:t>
        </x:is>
      </x:c>
      <x:c r="G1058" s="4" t="inlineStr">
        <x:is>
          <x:t xml:space="preserve">New York</x:t>
        </x:is>
      </x:c>
      <x:c r="H1058" s="18" t="n">
        <x:v>1</x:v>
      </x:c>
      <x:c r="I1058" s="19" t="n">
        <x:v>129.81</x:v>
      </x:c>
      <x:c r="J1058" s="20" t="n">
        <x:v>0</x:v>
      </x:c>
      <x:c r="K1058" s="4" t="inlineStr">
        <x:is>
          <x:t xml:space="preserve">Credit Card</x:t>
        </x:is>
      </x:c>
      <x:c r="L1058" s="19" t="n">
        <x:v>129.81</x:v>
      </x:c>
      <x:c r="M1058" s="19" t="n">
        <x:v>0</x:v>
      </x:c>
      <x:c r="N1058" s="19" t="n">
        <x:v>129.81</x:v>
      </x:c>
      <x:c r="O1058" s="4" t="n">
        <x:f>YEAR(C1058)</x:f>
        <x:v>2025</x:v>
      </x:c>
      <x:c r="P1058" s="4" t="str">
        <x:f>TEXT(C1058,"yyyy-mm")</x:f>
        <x:v>2025-05</x:v>
      </x:c>
      <x:c r="Q1058" s="4" t="str">
        <x:f>TEXT(C1058,"mmmm")</x:f>
        <x:v>May</x:v>
      </x:c>
    </x:row>
    <x:row r="1059" ht="20" customHeight="1">
      <x:c r="A1059" s="4" t="inlineStr">
        <x:is>
          <x:t xml:space="preserve">LINE-01069</x:t>
        </x:is>
      </x:c>
      <x:c r="B1059" s="4" t="inlineStr">
        <x:is>
          <x:t xml:space="preserve">ORD-2025-0664</x:t>
        </x:is>
      </x:c>
      <x:c r="C1059" s="17" t="n">
        <x:v>45780</x:v>
      </x:c>
      <x:c r="D1059" s="4" t="inlineStr">
        <x:is>
          <x:t xml:space="preserve">CUS-0205</x:t>
        </x:is>
      </x:c>
      <x:c r="E1059" s="4" t="inlineStr">
        <x:is>
          <x:t xml:space="preserve">Office Chair</x:t>
        </x:is>
      </x:c>
      <x:c r="F1059" s="4" t="inlineStr">
        <x:is>
          <x:t xml:space="preserve">Furniture</x:t>
        </x:is>
      </x:c>
      <x:c r="G1059" s="4" t="inlineStr">
        <x:is>
          <x:t xml:space="preserve">New York</x:t>
        </x:is>
      </x:c>
      <x:c r="H1059" s="18" t="n">
        <x:v>3</x:v>
      </x:c>
      <x:c r="I1059" s="19" t="n">
        <x:v>232.71</x:v>
      </x:c>
      <x:c r="J1059" s="20" t="n">
        <x:v>0.05</x:v>
      </x:c>
      <x:c r="K1059" s="4" t="inlineStr">
        <x:is>
          <x:t xml:space="preserve">Credit Card</x:t>
        </x:is>
      </x:c>
      <x:c r="L1059" s="19" t="n">
        <x:v>698.13</x:v>
      </x:c>
      <x:c r="M1059" s="19" t="n">
        <x:v>34.91</x:v>
      </x:c>
      <x:c r="N1059" s="19" t="n">
        <x:v>663.22</x:v>
      </x:c>
      <x:c r="O1059" s="4" t="n">
        <x:f>YEAR(C1059)</x:f>
        <x:v>2025</x:v>
      </x:c>
      <x:c r="P1059" s="4" t="str">
        <x:f>TEXT(C1059,"yyyy-mm")</x:f>
        <x:v>2025-05</x:v>
      </x:c>
      <x:c r="Q1059" s="4" t="str">
        <x:f>TEXT(C1059,"mmmm")</x:f>
        <x:v>May</x:v>
      </x:c>
    </x:row>
    <x:row r="1060" ht="20" customHeight="1">
      <x:c r="A1060" s="4" t="inlineStr">
        <x:is>
          <x:t xml:space="preserve">LINE-01070</x:t>
        </x:is>
      </x:c>
      <x:c r="B1060" s="4" t="inlineStr">
        <x:is>
          <x:t xml:space="preserve">ORD-2025-0665</x:t>
        </x:is>
      </x:c>
      <x:c r="C1060" s="17" t="n">
        <x:v>45725</x:v>
      </x:c>
      <x:c r="D1060" s="4" t="inlineStr">
        <x:is>
          <x:t xml:space="preserve">CUS-0184</x:t>
        </x:is>
      </x:c>
      <x:c r="E1060" s="4" t="inlineStr">
        <x:is>
          <x:t xml:space="preserve">External SSD</x:t>
        </x:is>
      </x:c>
      <x:c r="F1060" s="4" t="inlineStr">
        <x:is>
          <x:t xml:space="preserve">Storage</x:t>
        </x:is>
      </x:c>
      <x:c r="G1060" s="4" t="inlineStr">
        <x:is>
          <x:t xml:space="preserve">San Francisco</x:t>
        </x:is>
      </x:c>
      <x:c r="H1060" s="18" t="n">
        <x:v>2</x:v>
      </x:c>
      <x:c r="I1060" s="19" t="n">
        <x:v>159.25</x:v>
      </x:c>
      <x:c r="J1060" s="20" t="n">
        <x:v>0.05</x:v>
      </x:c>
      <x:c r="K1060" s="4" t="inlineStr">
        <x:is>
          <x:t xml:space="preserve">Credit Card</x:t>
        </x:is>
      </x:c>
      <x:c r="L1060" s="19" t="n">
        <x:v>318.5</x:v>
      </x:c>
      <x:c r="M1060" s="19" t="n">
        <x:v>15.92</x:v>
      </x:c>
      <x:c r="N1060" s="19" t="n">
        <x:v>302.58</x:v>
      </x:c>
      <x:c r="O1060" s="4" t="n">
        <x:f>YEAR(C1060)</x:f>
        <x:v>2025</x:v>
      </x:c>
      <x:c r="P1060" s="4" t="str">
        <x:f>TEXT(C1060,"yyyy-mm")</x:f>
        <x:v>2025-03</x:v>
      </x:c>
      <x:c r="Q1060" s="4" t="str">
        <x:f>TEXT(C1060,"mmmm")</x:f>
        <x:v>March</x:v>
      </x:c>
    </x:row>
    <x:row r="1061" ht="20" customHeight="1">
      <x:c r="A1061" s="4" t="inlineStr">
        <x:is>
          <x:t xml:space="preserve">LINE-01071</x:t>
        </x:is>
      </x:c>
      <x:c r="B1061" s="4" t="inlineStr">
        <x:is>
          <x:t xml:space="preserve">ORD-2025-0665</x:t>
        </x:is>
      </x:c>
      <x:c r="C1061" s="17" t="n">
        <x:v>45725</x:v>
      </x:c>
      <x:c r="D1061" s="4" t="inlineStr">
        <x:is>
          <x:t xml:space="preserve">CUS-0184</x:t>
        </x:is>
      </x:c>
      <x:c r="E1061" s="4" t="inlineStr">
        <x:is>
          <x:t xml:space="preserve">Wireless Mouse</x:t>
        </x:is>
      </x:c>
      <x:c r="F1061" s="4" t="inlineStr">
        <x:is>
          <x:t xml:space="preserve">Accessories</x:t>
        </x:is>
      </x:c>
      <x:c r="G1061" s="4" t="inlineStr">
        <x:is>
          <x:t xml:space="preserve">San Francisco</x:t>
        </x:is>
      </x:c>
      <x:c r="H1061" s="18" t="n">
        <x:v>2</x:v>
      </x:c>
      <x:c r="I1061" s="19" t="n">
        <x:v>44.45</x:v>
      </x:c>
      <x:c r="J1061" s="20" t="n">
        <x:v>0.1</x:v>
      </x:c>
      <x:c r="K1061" s="4" t="inlineStr">
        <x:is>
          <x:t xml:space="preserve">Credit Card</x:t>
        </x:is>
      </x:c>
      <x:c r="L1061" s="19" t="n">
        <x:v>88.90000000000001</x:v>
      </x:c>
      <x:c r="M1061" s="19" t="n">
        <x:v>8.890000000000001</x:v>
      </x:c>
      <x:c r="N1061" s="19" t="n">
        <x:v>80.01000000000001</x:v>
      </x:c>
      <x:c r="O1061" s="4" t="n">
        <x:f>YEAR(C1061)</x:f>
        <x:v>2025</x:v>
      </x:c>
      <x:c r="P1061" s="4" t="str">
        <x:f>TEXT(C1061,"yyyy-mm")</x:f>
        <x:v>2025-03</x:v>
      </x:c>
      <x:c r="Q1061" s="4" t="str">
        <x:f>TEXT(C1061,"mmmm")</x:f>
        <x:v>March</x:v>
      </x:c>
    </x:row>
    <x:row r="1062" ht="20" customHeight="1">
      <x:c r="A1062" s="4" t="inlineStr">
        <x:is>
          <x:t xml:space="preserve">LINE-01072</x:t>
        </x:is>
      </x:c>
      <x:c r="B1062" s="4" t="inlineStr">
        <x:is>
          <x:t xml:space="preserve">ORD-2025-0666</x:t>
        </x:is>
      </x:c>
      <x:c r="C1062" s="17" t="n">
        <x:v>45846</x:v>
      </x:c>
      <x:c r="D1062" s="4" t="inlineStr">
        <x:is>
          <x:t xml:space="preserve">CUS-0315</x:t>
        </x:is>
      </x:c>
      <x:c r="E1062" s="4" t="inlineStr">
        <x:is>
          <x:t xml:space="preserve">Monitor</x:t>
        </x:is>
      </x:c>
      <x:c r="F1062" s="4" t="inlineStr">
        <x:is>
          <x:t xml:space="preserve">Computers</x:t>
        </x:is>
      </x:c>
      <x:c r="G1062" s="4" t="inlineStr">
        <x:is>
          <x:t xml:space="preserve">Chicago</x:t>
        </x:is>
      </x:c>
      <x:c r="H1062" s="18" t="n">
        <x:v>2</x:v>
      </x:c>
      <x:c r="I1062" s="19" t="n">
        <x:v>301.2</x:v>
      </x:c>
      <x:c r="J1062" s="20" t="n">
        <x:v>0.05</x:v>
      </x:c>
      <x:c r="K1062" s="4" t="inlineStr">
        <x:is>
          <x:t xml:space="preserve">Bank Transfer</x:t>
        </x:is>
      </x:c>
      <x:c r="L1062" s="19" t="n">
        <x:v>602.4</x:v>
      </x:c>
      <x:c r="M1062" s="19" t="n">
        <x:v>30.12</x:v>
      </x:c>
      <x:c r="N1062" s="19" t="n">
        <x:v>572.28</x:v>
      </x:c>
      <x:c r="O1062" s="4" t="n">
        <x:f>YEAR(C1062)</x:f>
        <x:v>2025</x:v>
      </x:c>
      <x:c r="P1062" s="4" t="str">
        <x:f>TEXT(C1062,"yyyy-mm")</x:f>
        <x:v>2025-07</x:v>
      </x:c>
      <x:c r="Q1062" s="4" t="str">
        <x:f>TEXT(C1062,"mmmm")</x:f>
        <x:v>July</x:v>
      </x:c>
    </x:row>
    <x:row r="1063" ht="20" customHeight="1">
      <x:c r="A1063" s="4" t="inlineStr">
        <x:is>
          <x:t xml:space="preserve">LINE-01073</x:t>
        </x:is>
      </x:c>
      <x:c r="B1063" s="4" t="inlineStr">
        <x:is>
          <x:t xml:space="preserve">ORD-2025-0666</x:t>
        </x:is>
      </x:c>
      <x:c r="C1063" s="17" t="n">
        <x:v>45846</x:v>
      </x:c>
      <x:c r="D1063" s="4" t="inlineStr">
        <x:is>
          <x:t xml:space="preserve">CUS-0315</x:t>
        </x:is>
      </x:c>
      <x:c r="E1063" s="4" t="inlineStr">
        <x:is>
          <x:t xml:space="preserve">Laptop</x:t>
        </x:is>
      </x:c>
      <x:c r="F1063" s="4" t="inlineStr">
        <x:is>
          <x:t xml:space="preserve">Computers</x:t>
        </x:is>
      </x:c>
      <x:c r="G1063" s="4" t="inlineStr">
        <x:is>
          <x:t xml:space="preserve">Chicago</x:t>
        </x:is>
      </x:c>
      <x:c r="H1063" s="18" t="n">
        <x:v>2</x:v>
      </x:c>
      <x:c r="I1063" s="19" t="n">
        <x:v>982.47</x:v>
      </x:c>
      <x:c r="J1063" s="20" t="n">
        <x:v>0.15</x:v>
      </x:c>
      <x:c r="K1063" s="4" t="inlineStr">
        <x:is>
          <x:t xml:space="preserve">Bank Transfer</x:t>
        </x:is>
      </x:c>
      <x:c r="L1063" s="19" t="n">
        <x:v>1964.94</x:v>
      </x:c>
      <x:c r="M1063" s="19" t="n">
        <x:v>294.74</x:v>
      </x:c>
      <x:c r="N1063" s="19" t="n">
        <x:v>1670.2</x:v>
      </x:c>
      <x:c r="O1063" s="4" t="n">
        <x:f>YEAR(C1063)</x:f>
        <x:v>2025</x:v>
      </x:c>
      <x:c r="P1063" s="4" t="str">
        <x:f>TEXT(C1063,"yyyy-mm")</x:f>
        <x:v>2025-07</x:v>
      </x:c>
      <x:c r="Q1063" s="4" t="str">
        <x:f>TEXT(C1063,"mmmm")</x:f>
        <x:v>July</x:v>
      </x:c>
    </x:row>
    <x:row r="1064" ht="20" customHeight="1">
      <x:c r="A1064" s="4" t="inlineStr">
        <x:is>
          <x:t xml:space="preserve">LINE-01074</x:t>
        </x:is>
      </x:c>
      <x:c r="B1064" s="4" t="inlineStr">
        <x:is>
          <x:t xml:space="preserve">ORD-2025-0667</x:t>
        </x:is>
      </x:c>
      <x:c r="C1064" s="17" t="n">
        <x:v>45927</x:v>
      </x:c>
      <x:c r="D1064" s="4" t="inlineStr">
        <x:is>
          <x:t xml:space="preserve">CUS-0323</x:t>
        </x:is>
      </x:c>
      <x:c r="E1064" s="4" t="inlineStr">
        <x:is>
          <x:t xml:space="preserve">Headphones</x:t>
        </x:is>
      </x:c>
      <x:c r="F1064" s="4" t="inlineStr">
        <x:is>
          <x:t xml:space="preserve">Audio</x:t>
        </x:is>
      </x:c>
      <x:c r="G1064" s="4" t="inlineStr">
        <x:is>
          <x:t xml:space="preserve">San Francisco</x:t>
        </x:is>
      </x:c>
      <x:c r="H1064" s="18" t="n">
        <x:v>1</x:v>
      </x:c>
      <x:c r="I1064" s="19" t="n">
        <x:v>136.27</x:v>
      </x:c>
      <x:c r="J1064" s="20" t="n">
        <x:v>0</x:v>
      </x:c>
      <x:c r="K1064" s="4" t="inlineStr">
        <x:is>
          <x:t xml:space="preserve">Credit Card</x:t>
        </x:is>
      </x:c>
      <x:c r="L1064" s="19" t="n">
        <x:v>136.27</x:v>
      </x:c>
      <x:c r="M1064" s="19" t="n">
        <x:v>0</x:v>
      </x:c>
      <x:c r="N1064" s="19" t="n">
        <x:v>136.27</x:v>
      </x:c>
      <x:c r="O1064" s="4" t="n">
        <x:f>YEAR(C1064)</x:f>
        <x:v>2025</x:v>
      </x:c>
      <x:c r="P1064" s="4" t="str">
        <x:f>TEXT(C1064,"yyyy-mm")</x:f>
        <x:v>2025-09</x:v>
      </x:c>
      <x:c r="Q1064" s="4" t="str">
        <x:f>TEXT(C1064,"mmmm")</x:f>
        <x:v>September</x:v>
      </x:c>
    </x:row>
    <x:row r="1065" ht="20" customHeight="1">
      <x:c r="A1065" s="4" t="inlineStr">
        <x:is>
          <x:t xml:space="preserve">LINE-01075</x:t>
        </x:is>
      </x:c>
      <x:c r="B1065" s="4" t="inlineStr">
        <x:is>
          <x:t xml:space="preserve">ORD-2025-0668</x:t>
        </x:is>
      </x:c>
      <x:c r="C1065" s="17" t="n">
        <x:v>45723</x:v>
      </x:c>
      <x:c r="D1065" s="4" t="inlineStr">
        <x:is>
          <x:t xml:space="preserve">CUS-0154</x:t>
        </x:is>
      </x:c>
      <x:c r="E1065" s="4" t="inlineStr">
        <x:is>
          <x:t xml:space="preserve">Laptop</x:t>
        </x:is>
      </x:c>
      <x:c r="F1065" s="4" t="inlineStr">
        <x:is>
          <x:t xml:space="preserve">Computers</x:t>
        </x:is>
      </x:c>
      <x:c r="G1065" s="4" t="inlineStr">
        <x:is>
          <x:t xml:space="preserve">Chicago</x:t>
        </x:is>
      </x:c>
      <x:c r="H1065" s="18" t="n">
        <x:v>2</x:v>
      </x:c>
      <x:c r="I1065" s="19" t="n">
        <x:v>1013.43</x:v>
      </x:c>
      <x:c r="J1065" s="20" t="n">
        <x:v>0.05</x:v>
      </x:c>
      <x:c r="K1065" s="4" t="inlineStr">
        <x:is>
          <x:t xml:space="preserve">Bank Transfer</x:t>
        </x:is>
      </x:c>
      <x:c r="L1065" s="19" t="n">
        <x:v>2026.86</x:v>
      </x:c>
      <x:c r="M1065" s="19" t="n">
        <x:v>101.34</x:v>
      </x:c>
      <x:c r="N1065" s="19" t="n">
        <x:v>1925.52</x:v>
      </x:c>
      <x:c r="O1065" s="4" t="n">
        <x:f>YEAR(C1065)</x:f>
        <x:v>2025</x:v>
      </x:c>
      <x:c r="P1065" s="4" t="str">
        <x:f>TEXT(C1065,"yyyy-mm")</x:f>
        <x:v>2025-03</x:v>
      </x:c>
      <x:c r="Q1065" s="4" t="str">
        <x:f>TEXT(C1065,"mmmm")</x:f>
        <x:v>March</x:v>
      </x:c>
    </x:row>
    <x:row r="1066" ht="20" customHeight="1">
      <x:c r="A1066" s="4" t="inlineStr">
        <x:is>
          <x:t xml:space="preserve">LINE-01076</x:t>
        </x:is>
      </x:c>
      <x:c r="B1066" s="4" t="inlineStr">
        <x:is>
          <x:t xml:space="preserve">ORD-2025-0669</x:t>
        </x:is>
      </x:c>
      <x:c r="C1066" s="17" t="n">
        <x:v>45919</x:v>
      </x:c>
      <x:c r="D1066" s="4" t="inlineStr">
        <x:is>
          <x:t xml:space="preserve">CUS-0218</x:t>
        </x:is>
      </x:c>
      <x:c r="E1066" s="4" t="inlineStr">
        <x:is>
          <x:t xml:space="preserve">Desk Lamp</x:t>
        </x:is>
      </x:c>
      <x:c r="F1066" s="4" t="inlineStr">
        <x:is>
          <x:t xml:space="preserve">Furniture</x:t>
        </x:is>
      </x:c>
      <x:c r="G1066" s="4" t="inlineStr">
        <x:is>
          <x:t xml:space="preserve">Seattle</x:t>
        </x:is>
      </x:c>
      <x:c r="H1066" s="18" t="n">
        <x:v>2</x:v>
      </x:c>
      <x:c r="I1066" s="19" t="n">
        <x:v>52.83</x:v>
      </x:c>
      <x:c r="J1066" s="20" t="n">
        <x:v>0</x:v>
      </x:c>
      <x:c r="K1066" s="4" t="inlineStr">
        <x:is>
          <x:t xml:space="preserve">Credit Card</x:t>
        </x:is>
      </x:c>
      <x:c r="L1066" s="19" t="n">
        <x:v>105.66</x:v>
      </x:c>
      <x:c r="M1066" s="19" t="n">
        <x:v>0</x:v>
      </x:c>
      <x:c r="N1066" s="19" t="n">
        <x:v>105.66</x:v>
      </x:c>
      <x:c r="O1066" s="4" t="n">
        <x:f>YEAR(C1066)</x:f>
        <x:v>2025</x:v>
      </x:c>
      <x:c r="P1066" s="4" t="str">
        <x:f>TEXT(C1066,"yyyy-mm")</x:f>
        <x:v>2025-09</x:v>
      </x:c>
      <x:c r="Q1066" s="4" t="str">
        <x:f>TEXT(C1066,"mmmm")</x:f>
        <x:v>September</x:v>
      </x:c>
    </x:row>
    <x:row r="1067" ht="20" customHeight="1">
      <x:c r="A1067" s="4" t="inlineStr">
        <x:is>
          <x:t xml:space="preserve">LINE-01077</x:t>
        </x:is>
      </x:c>
      <x:c r="B1067" s="4" t="inlineStr">
        <x:is>
          <x:t xml:space="preserve">ORD-2025-0670</x:t>
        </x:is>
      </x:c>
      <x:c r="C1067" s="17" t="n">
        <x:v>45699</x:v>
      </x:c>
      <x:c r="D1067" s="4" t="inlineStr">
        <x:is>
          <x:t xml:space="preserve">CUS-0258</x:t>
        </x:is>
      </x:c>
      <x:c r="E1067" s="4" t="inlineStr">
        <x:is>
          <x:t xml:space="preserve">Bluetooth Speaker</x:t>
        </x:is>
      </x:c>
      <x:c r="F1067" s="4" t="inlineStr">
        <x:is>
          <x:t xml:space="preserve">Audio</x:t>
        </x:is>
      </x:c>
      <x:c r="G1067" s="4" t="inlineStr">
        <x:is>
          <x:t xml:space="preserve">New York</x:t>
        </x:is>
      </x:c>
      <x:c r="H1067" s="18" t="n">
        <x:v>3</x:v>
      </x:c>
      <x:c r="I1067" s="19" t="n">
        <x:v>116.04</x:v>
      </x:c>
      <x:c r="J1067" s="20" t="n">
        <x:v>0</x:v>
      </x:c>
      <x:c r="K1067" s="4" t="inlineStr">
        <x:is>
          <x:t xml:space="preserve">Credit Card</x:t>
        </x:is>
      </x:c>
      <x:c r="L1067" s="19" t="n">
        <x:v>348.12</x:v>
      </x:c>
      <x:c r="M1067" s="19" t="n">
        <x:v>0</x:v>
      </x:c>
      <x:c r="N1067" s="19" t="n">
        <x:v>348.12</x:v>
      </x:c>
      <x:c r="O1067" s="4" t="n">
        <x:f>YEAR(C1067)</x:f>
        <x:v>2025</x:v>
      </x:c>
      <x:c r="P1067" s="4" t="str">
        <x:f>TEXT(C1067,"yyyy-mm")</x:f>
        <x:v>2025-02</x:v>
      </x:c>
      <x:c r="Q1067" s="4" t="str">
        <x:f>TEXT(C1067,"mmmm")</x:f>
        <x:v>February</x:v>
      </x:c>
    </x:row>
    <x:row r="1068" ht="20" customHeight="1">
      <x:c r="A1068" s="4" t="inlineStr">
        <x:is>
          <x:t xml:space="preserve">LINE-01078</x:t>
        </x:is>
      </x:c>
      <x:c r="B1068" s="4" t="inlineStr">
        <x:is>
          <x:t xml:space="preserve">ORD-2025-0670</x:t>
        </x:is>
      </x:c>
      <x:c r="C1068" s="17" t="n">
        <x:v>45699</x:v>
      </x:c>
      <x:c r="D1068" s="4" t="inlineStr">
        <x:is>
          <x:t xml:space="preserve">CUS-0258</x:t>
        </x:is>
      </x:c>
      <x:c r="E1068" s="4" t="inlineStr">
        <x:is>
          <x:t xml:space="preserve">Keyboard</x:t>
        </x:is>
      </x:c>
      <x:c r="F1068" s="4" t="inlineStr">
        <x:is>
          <x:t xml:space="preserve">Accessories</x:t>
        </x:is>
      </x:c>
      <x:c r="G1068" s="4" t="inlineStr">
        <x:is>
          <x:t xml:space="preserve">New York</x:t>
        </x:is>
      </x:c>
      <x:c r="H1068" s="18" t="n">
        <x:v>2</x:v>
      </x:c>
      <x:c r="I1068" s="19" t="n">
        <x:v>77.45</x:v>
      </x:c>
      <x:c r="J1068" s="20" t="n">
        <x:v>0</x:v>
      </x:c>
      <x:c r="K1068" s="4" t="inlineStr">
        <x:is>
          <x:t xml:space="preserve">Credit Card</x:t>
        </x:is>
      </x:c>
      <x:c r="L1068" s="19" t="n">
        <x:v>154.9</x:v>
      </x:c>
      <x:c r="M1068" s="19" t="n">
        <x:v>0</x:v>
      </x:c>
      <x:c r="N1068" s="19" t="n">
        <x:v>154.9</x:v>
      </x:c>
      <x:c r="O1068" s="4" t="n">
        <x:f>YEAR(C1068)</x:f>
        <x:v>2025</x:v>
      </x:c>
      <x:c r="P1068" s="4" t="str">
        <x:f>TEXT(C1068,"yyyy-mm")</x:f>
        <x:v>2025-02</x:v>
      </x:c>
      <x:c r="Q1068" s="4" t="str">
        <x:f>TEXT(C1068,"mmmm")</x:f>
        <x:v>February</x:v>
      </x:c>
    </x:row>
    <x:row r="1069" ht="20" customHeight="1">
      <x:c r="A1069" s="4" t="inlineStr">
        <x:is>
          <x:t xml:space="preserve">LINE-01079</x:t>
        </x:is>
      </x:c>
      <x:c r="B1069" s="4" t="inlineStr">
        <x:is>
          <x:t xml:space="preserve">ORD-2025-0671</x:t>
        </x:is>
      </x:c>
      <x:c r="C1069" s="17" t="n">
        <x:v>45890</x:v>
      </x:c>
      <x:c r="D1069" s="4" t="inlineStr">
        <x:is>
          <x:t xml:space="preserve">CUS-0344</x:t>
        </x:is>
      </x:c>
      <x:c r="E1069" s="4" t="inlineStr">
        <x:is>
          <x:t xml:space="preserve">Keyboard</x:t>
        </x:is>
      </x:c>
      <x:c r="F1069" s="4" t="inlineStr">
        <x:is>
          <x:t xml:space="preserve">Accessories</x:t>
        </x:is>
      </x:c>
      <x:c r="G1069" s="4" t="inlineStr">
        <x:is>
          <x:t xml:space="preserve">Seattle</x:t>
        </x:is>
      </x:c>
      <x:c r="H1069" s="18" t="n">
        <x:v>1</x:v>
      </x:c>
      <x:c r="I1069" s="19" t="n">
        <x:v>69.94</x:v>
      </x:c>
      <x:c r="J1069" s="20" t="n">
        <x:v>0.2</x:v>
      </x:c>
      <x:c r="K1069" s="4" t="inlineStr">
        <x:is>
          <x:t xml:space="preserve">PayPal</x:t>
        </x:is>
      </x:c>
      <x:c r="L1069" s="19" t="n">
        <x:v>69.94</x:v>
      </x:c>
      <x:c r="M1069" s="19" t="n">
        <x:v>13.99</x:v>
      </x:c>
      <x:c r="N1069" s="19" t="n">
        <x:v>55.95</x:v>
      </x:c>
      <x:c r="O1069" s="4" t="n">
        <x:f>YEAR(C1069)</x:f>
        <x:v>2025</x:v>
      </x:c>
      <x:c r="P1069" s="4" t="str">
        <x:f>TEXT(C1069,"yyyy-mm")</x:f>
        <x:v>2025-08</x:v>
      </x:c>
      <x:c r="Q1069" s="4" t="str">
        <x:f>TEXT(C1069,"mmmm")</x:f>
        <x:v>August</x:v>
      </x:c>
    </x:row>
    <x:row r="1070" ht="20" customHeight="1">
      <x:c r="A1070" s="4" t="inlineStr">
        <x:is>
          <x:t xml:space="preserve">LINE-01080</x:t>
        </x:is>
      </x:c>
      <x:c r="B1070" s="4" t="inlineStr">
        <x:is>
          <x:t xml:space="preserve">ORD-2025-0672</x:t>
        </x:is>
      </x:c>
      <x:c r="C1070" s="17" t="n">
        <x:v>45790</x:v>
      </x:c>
      <x:c r="D1070" s="4" t="inlineStr">
        <x:is>
          <x:t xml:space="preserve">CUS-0345</x:t>
        </x:is>
      </x:c>
      <x:c r="E1070" s="4" t="inlineStr">
        <x:is>
          <x:t xml:space="preserve">Laptop</x:t>
        </x:is>
      </x:c>
      <x:c r="F1070" s="4" t="inlineStr">
        <x:is>
          <x:t xml:space="preserve">Computers</x:t>
        </x:is>
      </x:c>
      <x:c r="G1070" s="4" t="inlineStr">
        <x:is>
          <x:t xml:space="preserve">New York</x:t>
        </x:is>
      </x:c>
      <x:c r="H1070" s="18" t="n">
        <x:v>1</x:v>
      </x:c>
      <x:c r="I1070" s="19" t="n">
        <x:v>900.1</x:v>
      </x:c>
      <x:c r="J1070" s="20" t="n">
        <x:v>0.05</x:v>
      </x:c>
      <x:c r="K1070" s="4" t="inlineStr">
        <x:is>
          <x:t xml:space="preserve">Bank Transfer</x:t>
        </x:is>
      </x:c>
      <x:c r="L1070" s="19" t="n">
        <x:v>900.1</x:v>
      </x:c>
      <x:c r="M1070" s="19" t="n">
        <x:v>45</x:v>
      </x:c>
      <x:c r="N1070" s="19" t="n">
        <x:v>855.1</x:v>
      </x:c>
      <x:c r="O1070" s="4" t="n">
        <x:f>YEAR(C1070)</x:f>
        <x:v>2025</x:v>
      </x:c>
      <x:c r="P1070" s="4" t="str">
        <x:f>TEXT(C1070,"yyyy-mm")</x:f>
        <x:v>2025-05</x:v>
      </x:c>
      <x:c r="Q1070" s="4" t="str">
        <x:f>TEXT(C1070,"mmmm")</x:f>
        <x:v>May</x:v>
      </x:c>
    </x:row>
    <x:row r="1071" ht="20" customHeight="1">
      <x:c r="A1071" s="4" t="inlineStr">
        <x:is>
          <x:t xml:space="preserve">LINE-01081</x:t>
        </x:is>
      </x:c>
      <x:c r="B1071" s="4" t="inlineStr">
        <x:is>
          <x:t xml:space="preserve">ORD-2025-0672</x:t>
        </x:is>
      </x:c>
      <x:c r="C1071" s="17" t="n">
        <x:v>45790</x:v>
      </x:c>
      <x:c r="D1071" s="4" t="inlineStr">
        <x:is>
          <x:t xml:space="preserve">CUS-0345</x:t>
        </x:is>
      </x:c>
      <x:c r="E1071" s="4" t="inlineStr">
        <x:is>
          <x:t xml:space="preserve">Headphones</x:t>
        </x:is>
      </x:c>
      <x:c r="F1071" s="4" t="inlineStr">
        <x:is>
          <x:t xml:space="preserve">Audio</x:t>
        </x:is>
      </x:c>
      <x:c r="G1071" s="4" t="inlineStr">
        <x:is>
          <x:t xml:space="preserve">New York</x:t>
        </x:is>
      </x:c>
      <x:c r="H1071" s="18" t="n">
        <x:v>3</x:v>
      </x:c>
      <x:c r="I1071" s="19" t="n">
        <x:v>137.67</x:v>
      </x:c>
      <x:c r="J1071" s="20" t="n">
        <x:v>0.2</x:v>
      </x:c>
      <x:c r="K1071" s="4" t="inlineStr">
        <x:is>
          <x:t xml:space="preserve">Bank Transfer</x:t>
        </x:is>
      </x:c>
      <x:c r="L1071" s="19" t="n">
        <x:v>413.01</x:v>
      </x:c>
      <x:c r="M1071" s="19" t="n">
        <x:v>82.59999999999999</x:v>
      </x:c>
      <x:c r="N1071" s="19" t="n">
        <x:v>330.41</x:v>
      </x:c>
      <x:c r="O1071" s="4" t="n">
        <x:f>YEAR(C1071)</x:f>
        <x:v>2025</x:v>
      </x:c>
      <x:c r="P1071" s="4" t="str">
        <x:f>TEXT(C1071,"yyyy-mm")</x:f>
        <x:v>2025-05</x:v>
      </x:c>
      <x:c r="Q1071" s="4" t="str">
        <x:f>TEXT(C1071,"mmmm")</x:f>
        <x:v>May</x:v>
      </x:c>
    </x:row>
    <x:row r="1072" ht="20" customHeight="1">
      <x:c r="A1072" s="4" t="inlineStr">
        <x:is>
          <x:t xml:space="preserve">LINE-01082</x:t>
        </x:is>
      </x:c>
      <x:c r="B1072" s="4" t="inlineStr">
        <x:is>
          <x:t xml:space="preserve">ORD-2025-0673</x:t>
        </x:is>
      </x:c>
      <x:c r="C1072" s="17" t="n">
        <x:v>45966</x:v>
      </x:c>
      <x:c r="D1072" s="4" t="inlineStr">
        <x:is>
          <x:t xml:space="preserve">CUS-0250</x:t>
        </x:is>
      </x:c>
      <x:c r="E1072" s="4" t="inlineStr">
        <x:is>
          <x:t xml:space="preserve">Desk Lamp</x:t>
        </x:is>
      </x:c>
      <x:c r="F1072" s="4" t="inlineStr">
        <x:is>
          <x:t xml:space="preserve">Furniture</x:t>
        </x:is>
      </x:c>
      <x:c r="G1072" s="4" t="inlineStr">
        <x:is>
          <x:t xml:space="preserve">Austin</x:t>
        </x:is>
      </x:c>
      <x:c r="H1072" s="18" t="n">
        <x:v>1</x:v>
      </x:c>
      <x:c r="I1072" s="19" t="n">
        <x:v>53.26</x:v>
      </x:c>
      <x:c r="J1072" s="20" t="n">
        <x:v>0</x:v>
      </x:c>
      <x:c r="K1072" s="4" t="inlineStr">
        <x:is>
          <x:t xml:space="preserve">PayPal</x:t>
        </x:is>
      </x:c>
      <x:c r="L1072" s="19" t="n">
        <x:v>53.26</x:v>
      </x:c>
      <x:c r="M1072" s="19" t="n">
        <x:v>0</x:v>
      </x:c>
      <x:c r="N1072" s="19" t="n">
        <x:v>53.26</x:v>
      </x:c>
      <x:c r="O1072" s="4" t="n">
        <x:f>YEAR(C1072)</x:f>
        <x:v>2025</x:v>
      </x:c>
      <x:c r="P1072" s="4" t="str">
        <x:f>TEXT(C1072,"yyyy-mm")</x:f>
        <x:v>2025-11</x:v>
      </x:c>
      <x:c r="Q1072" s="4" t="str">
        <x:f>TEXT(C1072,"mmmm")</x:f>
        <x:v>November</x:v>
      </x:c>
    </x:row>
    <x:row r="1073" ht="20" customHeight="1">
      <x:c r="A1073" s="4" t="inlineStr">
        <x:is>
          <x:t xml:space="preserve">LINE-01083</x:t>
        </x:is>
      </x:c>
      <x:c r="B1073" s="4" t="inlineStr">
        <x:is>
          <x:t xml:space="preserve">ORD-2025-0673</x:t>
        </x:is>
      </x:c>
      <x:c r="C1073" s="17" t="n">
        <x:v>45966</x:v>
      </x:c>
      <x:c r="D1073" s="4" t="inlineStr">
        <x:is>
          <x:t xml:space="preserve">CUS-0250</x:t>
        </x:is>
      </x:c>
      <x:c r="E1073" s="4" t="inlineStr">
        <x:is>
          <x:t xml:space="preserve">Office Chair</x:t>
        </x:is>
      </x:c>
      <x:c r="F1073" s="4" t="inlineStr">
        <x:is>
          <x:t xml:space="preserve">Furniture</x:t>
        </x:is>
      </x:c>
      <x:c r="G1073" s="4" t="inlineStr">
        <x:is>
          <x:t xml:space="preserve">Austin</x:t>
        </x:is>
      </x:c>
      <x:c r="H1073" s="18" t="n">
        <x:v>1</x:v>
      </x:c>
      <x:c r="I1073" s="19" t="n">
        <x:v>225.1</x:v>
      </x:c>
      <x:c r="J1073" s="20" t="n">
        <x:v>0</x:v>
      </x:c>
      <x:c r="K1073" s="4" t="inlineStr">
        <x:is>
          <x:t xml:space="preserve">PayPal</x:t>
        </x:is>
      </x:c>
      <x:c r="L1073" s="19" t="n">
        <x:v>225.1</x:v>
      </x:c>
      <x:c r="M1073" s="19" t="n">
        <x:v>0</x:v>
      </x:c>
      <x:c r="N1073" s="19" t="n">
        <x:v>225.1</x:v>
      </x:c>
      <x:c r="O1073" s="4" t="n">
        <x:f>YEAR(C1073)</x:f>
        <x:v>2025</x:v>
      </x:c>
      <x:c r="P1073" s="4" t="str">
        <x:f>TEXT(C1073,"yyyy-mm")</x:f>
        <x:v>2025-11</x:v>
      </x:c>
      <x:c r="Q1073" s="4" t="str">
        <x:f>TEXT(C1073,"mmmm")</x:f>
        <x:v>November</x:v>
      </x:c>
    </x:row>
    <x:row r="1074" ht="20" customHeight="1">
      <x:c r="A1074" s="4" t="inlineStr">
        <x:is>
          <x:t xml:space="preserve">LINE-01084</x:t>
        </x:is>
      </x:c>
      <x:c r="B1074" s="4" t="inlineStr">
        <x:is>
          <x:t xml:space="preserve">ORD-2025-0674</x:t>
        </x:is>
      </x:c>
      <x:c r="C1074" s="17" t="n">
        <x:v>45754</x:v>
      </x:c>
      <x:c r="D1074" s="4" t="inlineStr">
        <x:is>
          <x:t xml:space="preserve">CUS-0014</x:t>
        </x:is>
      </x:c>
      <x:c r="E1074" s="4" t="inlineStr">
        <x:is>
          <x:t xml:space="preserve">Office Chair</x:t>
        </x:is>
      </x:c>
      <x:c r="F1074" s="4" t="inlineStr">
        <x:is>
          <x:t xml:space="preserve">Furniture</x:t>
        </x:is>
      </x:c>
      <x:c r="G1074" s="4" t="inlineStr">
        <x:is>
          <x:t xml:space="preserve">Chicago</x:t>
        </x:is>
      </x:c>
      <x:c r="H1074" s="18" t="n">
        <x:v>2</x:v>
      </x:c>
      <x:c r="I1074" s="19" t="n">
        <x:v>244.84</x:v>
      </x:c>
      <x:c r="J1074" s="20" t="n">
        <x:v>0.1</x:v>
      </x:c>
      <x:c r="K1074" s="4" t="inlineStr">
        <x:is>
          <x:t xml:space="preserve">Bank Transfer</x:t>
        </x:is>
      </x:c>
      <x:c r="L1074" s="19" t="n">
        <x:v>489.68</x:v>
      </x:c>
      <x:c r="M1074" s="19" t="n">
        <x:v>48.97</x:v>
      </x:c>
      <x:c r="N1074" s="19" t="n">
        <x:v>440.71</x:v>
      </x:c>
      <x:c r="O1074" s="4" t="n">
        <x:f>YEAR(C1074)</x:f>
        <x:v>2025</x:v>
      </x:c>
      <x:c r="P1074" s="4" t="str">
        <x:f>TEXT(C1074,"yyyy-mm")</x:f>
        <x:v>2025-04</x:v>
      </x:c>
      <x:c r="Q1074" s="4" t="str">
        <x:f>TEXT(C1074,"mmmm")</x:f>
        <x:v>April</x:v>
      </x:c>
    </x:row>
    <x:row r="1075" ht="20" customHeight="1">
      <x:c r="A1075" s="4" t="inlineStr">
        <x:is>
          <x:t xml:space="preserve">LINE-01085</x:t>
        </x:is>
      </x:c>
      <x:c r="B1075" s="4" t="inlineStr">
        <x:is>
          <x:t xml:space="preserve">ORD-2025-0674</x:t>
        </x:is>
      </x:c>
      <x:c r="C1075" s="17" t="n">
        <x:v>45754</x:v>
      </x:c>
      <x:c r="D1075" s="4" t="inlineStr">
        <x:is>
          <x:t xml:space="preserve">CUS-0014</x:t>
        </x:is>
      </x:c>
      <x:c r="E1075" s="4" t="inlineStr">
        <x:is>
          <x:t xml:space="preserve">Wireless Mouse</x:t>
        </x:is>
      </x:c>
      <x:c r="F1075" s="4" t="inlineStr">
        <x:is>
          <x:t xml:space="preserve">Accessories</x:t>
        </x:is>
      </x:c>
      <x:c r="G1075" s="4" t="inlineStr">
        <x:is>
          <x:t xml:space="preserve">Chicago</x:t>
        </x:is>
      </x:c>
      <x:c r="H1075" s="18" t="n">
        <x:v>1</x:v>
      </x:c>
      <x:c r="I1075" s="19" t="n">
        <x:v>43.57</x:v>
      </x:c>
      <x:c r="J1075" s="20" t="n">
        <x:v>0.05</x:v>
      </x:c>
      <x:c r="K1075" s="4" t="inlineStr">
        <x:is>
          <x:t xml:space="preserve">Bank Transfer</x:t>
        </x:is>
      </x:c>
      <x:c r="L1075" s="19" t="n">
        <x:v>43.57</x:v>
      </x:c>
      <x:c r="M1075" s="19" t="n">
        <x:v>2.18</x:v>
      </x:c>
      <x:c r="N1075" s="19" t="n">
        <x:v>41.39</x:v>
      </x:c>
      <x:c r="O1075" s="4" t="n">
        <x:f>YEAR(C1075)</x:f>
        <x:v>2025</x:v>
      </x:c>
      <x:c r="P1075" s="4" t="str">
        <x:f>TEXT(C1075,"yyyy-mm")</x:f>
        <x:v>2025-04</x:v>
      </x:c>
      <x:c r="Q1075" s="4" t="str">
        <x:f>TEXT(C1075,"mmmm")</x:f>
        <x:v>April</x:v>
      </x:c>
    </x:row>
    <x:row r="1076" ht="20" customHeight="1">
      <x:c r="A1076" s="4" t="inlineStr">
        <x:is>
          <x:t xml:space="preserve">LINE-01086</x:t>
        </x:is>
      </x:c>
      <x:c r="B1076" s="4" t="inlineStr">
        <x:is>
          <x:t xml:space="preserve">ORD-2025-0675</x:t>
        </x:is>
      </x:c>
      <x:c r="C1076" s="17" t="n">
        <x:v>45900</x:v>
      </x:c>
      <x:c r="D1076" s="4" t="inlineStr">
        <x:is>
          <x:t xml:space="preserve">CUS-0217</x:t>
        </x:is>
      </x:c>
      <x:c r="E1076" s="4" t="inlineStr">
        <x:is>
          <x:t xml:space="preserve">Keyboard</x:t>
        </x:is>
      </x:c>
      <x:c r="F1076" s="4" t="inlineStr">
        <x:is>
          <x:t xml:space="preserve">Accessories</x:t>
        </x:is>
      </x:c>
      <x:c r="G1076" s="4" t="inlineStr">
        <x:is>
          <x:t xml:space="preserve">New York</x:t>
        </x:is>
      </x:c>
      <x:c r="H1076" s="18" t="n">
        <x:v>3</x:v>
      </x:c>
      <x:c r="I1076" s="19" t="n">
        <x:v>74.34</x:v>
      </x:c>
      <x:c r="J1076" s="20" t="n">
        <x:v>0.05</x:v>
      </x:c>
      <x:c r="K1076" s="4" t="inlineStr">
        <x:is>
          <x:t xml:space="preserve">Credit Card</x:t>
        </x:is>
      </x:c>
      <x:c r="L1076" s="19" t="n">
        <x:v>223.02</x:v>
      </x:c>
      <x:c r="M1076" s="19" t="n">
        <x:v>11.15</x:v>
      </x:c>
      <x:c r="N1076" s="19" t="n">
        <x:v>211.87</x:v>
      </x:c>
      <x:c r="O1076" s="4" t="n">
        <x:f>YEAR(C1076)</x:f>
        <x:v>2025</x:v>
      </x:c>
      <x:c r="P1076" s="4" t="str">
        <x:f>TEXT(C1076,"yyyy-mm")</x:f>
        <x:v>2025-08</x:v>
      </x:c>
      <x:c r="Q1076" s="4" t="str">
        <x:f>TEXT(C1076,"mmmm")</x:f>
        <x:v>August</x:v>
      </x:c>
    </x:row>
    <x:row r="1077" ht="20" customHeight="1">
      <x:c r="A1077" s="4" t="inlineStr">
        <x:is>
          <x:t xml:space="preserve">LINE-01087</x:t>
        </x:is>
      </x:c>
      <x:c r="B1077" s="4" t="inlineStr">
        <x:is>
          <x:t xml:space="preserve">ORD-2025-0676</x:t>
        </x:is>
      </x:c>
      <x:c r="C1077" s="17" t="n">
        <x:v>45668</x:v>
      </x:c>
      <x:c r="D1077" s="4" t="inlineStr">
        <x:is>
          <x:t xml:space="preserve">CUS-0231</x:t>
        </x:is>
      </x:c>
      <x:c r="E1077" s="4" t="inlineStr">
        <x:is>
          <x:t xml:space="preserve">USB Flash Drive</x:t>
        </x:is>
      </x:c>
      <x:c r="F1077" s="4" t="inlineStr">
        <x:is>
          <x:t xml:space="preserve">Storage</x:t>
        </x:is>
      </x:c>
      <x:c r="G1077" s="4" t="inlineStr">
        <x:is>
          <x:t xml:space="preserve">Boston</x:t>
        </x:is>
      </x:c>
      <x:c r="H1077" s="18" t="n">
        <x:v>3</x:v>
      </x:c>
      <x:c r="I1077" s="19" t="n">
        <x:v>29.48</x:v>
      </x:c>
      <x:c r="J1077" s="20" t="n">
        <x:v>0</x:v>
      </x:c>
      <x:c r="K1077" s="4" t="inlineStr">
        <x:is>
          <x:t xml:space="preserve">Debit Card</x:t>
        </x:is>
      </x:c>
      <x:c r="L1077" s="19" t="n">
        <x:v>88.44</x:v>
      </x:c>
      <x:c r="M1077" s="19" t="n">
        <x:v>0</x:v>
      </x:c>
      <x:c r="N1077" s="19" t="n">
        <x:v>88.44</x:v>
      </x:c>
      <x:c r="O1077" s="4" t="n">
        <x:f>YEAR(C1077)</x:f>
        <x:v>2025</x:v>
      </x:c>
      <x:c r="P1077" s="4" t="str">
        <x:f>TEXT(C1077,"yyyy-mm")</x:f>
        <x:v>2025-01</x:v>
      </x:c>
      <x:c r="Q1077" s="4" t="str">
        <x:f>TEXT(C1077,"mmmm")</x:f>
        <x:v>January</x:v>
      </x:c>
    </x:row>
    <x:row r="1078" ht="20" customHeight="1">
      <x:c r="A1078" s="4" t="inlineStr">
        <x:is>
          <x:t xml:space="preserve">LINE-01088</x:t>
        </x:is>
      </x:c>
      <x:c r="B1078" s="4" t="inlineStr">
        <x:is>
          <x:t xml:space="preserve">ORD-2025-0677</x:t>
        </x:is>
      </x:c>
      <x:c r="C1078" s="17" t="n">
        <x:v>45710</x:v>
      </x:c>
      <x:c r="D1078" s="4" t="inlineStr">
        <x:is>
          <x:t xml:space="preserve">CUS-0323</x:t>
        </x:is>
      </x:c>
      <x:c r="E1078" s="4" t="inlineStr">
        <x:is>
          <x:t xml:space="preserve">Bluetooth Speaker</x:t>
        </x:is>
      </x:c>
      <x:c r="F1078" s="4" t="inlineStr">
        <x:is>
          <x:t xml:space="preserve">Audio</x:t>
        </x:is>
      </x:c>
      <x:c r="G1078" s="4" t="inlineStr">
        <x:is>
          <x:t xml:space="preserve">San Francisco</x:t>
        </x:is>
      </x:c>
      <x:c r="H1078" s="18" t="n">
        <x:v>3</x:v>
      </x:c>
      <x:c r="I1078" s="19" t="n">
        <x:v>118.78</x:v>
      </x:c>
      <x:c r="J1078" s="20" t="n">
        <x:v>0</x:v>
      </x:c>
      <x:c r="K1078" s="4" t="inlineStr">
        <x:is>
          <x:t xml:space="preserve">Bank Transfer</x:t>
        </x:is>
      </x:c>
      <x:c r="L1078" s="19" t="n">
        <x:v>356.34</x:v>
      </x:c>
      <x:c r="M1078" s="19" t="n">
        <x:v>0</x:v>
      </x:c>
      <x:c r="N1078" s="19" t="n">
        <x:v>356.34</x:v>
      </x:c>
      <x:c r="O1078" s="4" t="n">
        <x:f>YEAR(C1078)</x:f>
        <x:v>2025</x:v>
      </x:c>
      <x:c r="P1078" s="4" t="str">
        <x:f>TEXT(C1078,"yyyy-mm")</x:f>
        <x:v>2025-02</x:v>
      </x:c>
      <x:c r="Q1078" s="4" t="str">
        <x:f>TEXT(C1078,"mmmm")</x:f>
        <x:v>February</x:v>
      </x:c>
    </x:row>
    <x:row r="1079" ht="20" customHeight="1">
      <x:c r="A1079" s="4" t="inlineStr">
        <x:is>
          <x:t xml:space="preserve">LINE-01089</x:t>
        </x:is>
      </x:c>
      <x:c r="B1079" s="4" t="inlineStr">
        <x:is>
          <x:t xml:space="preserve">ORD-2025-0677</x:t>
        </x:is>
      </x:c>
      <x:c r="C1079" s="17" t="n">
        <x:v>45710</x:v>
      </x:c>
      <x:c r="D1079" s="4" t="inlineStr">
        <x:is>
          <x:t xml:space="preserve">CUS-0323</x:t>
        </x:is>
      </x:c>
      <x:c r="E1079" s="4" t="inlineStr">
        <x:is>
          <x:t xml:space="preserve">USB Flash Drive</x:t>
        </x:is>
      </x:c>
      <x:c r="F1079" s="4" t="inlineStr">
        <x:is>
          <x:t xml:space="preserve">Storage</x:t>
        </x:is>
      </x:c>
      <x:c r="G1079" s="4" t="inlineStr">
        <x:is>
          <x:t xml:space="preserve">San Francisco</x:t>
        </x:is>
      </x:c>
      <x:c r="H1079" s="18" t="n">
        <x:v>1</x:v>
      </x:c>
      <x:c r="I1079" s="19" t="n">
        <x:v>30.06</x:v>
      </x:c>
      <x:c r="J1079" s="20" t="n">
        <x:v>0.1</x:v>
      </x:c>
      <x:c r="K1079" s="4" t="inlineStr">
        <x:is>
          <x:t xml:space="preserve">Bank Transfer</x:t>
        </x:is>
      </x:c>
      <x:c r="L1079" s="19" t="n">
        <x:v>30.06</x:v>
      </x:c>
      <x:c r="M1079" s="19" t="n">
        <x:v>3.01</x:v>
      </x:c>
      <x:c r="N1079" s="19" t="n">
        <x:v>27.05</x:v>
      </x:c>
      <x:c r="O1079" s="4" t="n">
        <x:f>YEAR(C1079)</x:f>
        <x:v>2025</x:v>
      </x:c>
      <x:c r="P1079" s="4" t="str">
        <x:f>TEXT(C1079,"yyyy-mm")</x:f>
        <x:v>2025-02</x:v>
      </x:c>
      <x:c r="Q1079" s="4" t="str">
        <x:f>TEXT(C1079,"mmmm")</x:f>
        <x:v>February</x:v>
      </x:c>
    </x:row>
    <x:row r="1080" ht="20" customHeight="1">
      <x:c r="A1080" s="4" t="inlineStr">
        <x:is>
          <x:t xml:space="preserve">LINE-01090</x:t>
        </x:is>
      </x:c>
      <x:c r="B1080" s="4" t="inlineStr">
        <x:is>
          <x:t xml:space="preserve">ORD-2025-0677</x:t>
        </x:is>
      </x:c>
      <x:c r="C1080" s="17" t="n">
        <x:v>45710</x:v>
      </x:c>
      <x:c r="D1080" s="4" t="inlineStr">
        <x:is>
          <x:t xml:space="preserve">CUS-0323</x:t>
        </x:is>
      </x:c>
      <x:c r="E1080" s="4" t="inlineStr">
        <x:is>
          <x:t xml:space="preserve">Office Chair</x:t>
        </x:is>
      </x:c>
      <x:c r="F1080" s="4" t="inlineStr">
        <x:is>
          <x:t xml:space="preserve">Furniture</x:t>
        </x:is>
      </x:c>
      <x:c r="G1080" s="4" t="inlineStr">
        <x:is>
          <x:t xml:space="preserve">San Francisco</x:t>
        </x:is>
      </x:c>
      <x:c r="H1080" s="18" t="n">
        <x:v>4</x:v>
      </x:c>
      <x:c r="I1080" s="19" t="n">
        <x:v>255.55</x:v>
      </x:c>
      <x:c r="J1080" s="20" t="n">
        <x:v>0.1</x:v>
      </x:c>
      <x:c r="K1080" s="4" t="inlineStr">
        <x:is>
          <x:t xml:space="preserve">Bank Transfer</x:t>
        </x:is>
      </x:c>
      <x:c r="L1080" s="19" t="n">
        <x:v>1022.2</x:v>
      </x:c>
      <x:c r="M1080" s="19" t="n">
        <x:v>102.22</x:v>
      </x:c>
      <x:c r="N1080" s="19" t="n">
        <x:v>919.98</x:v>
      </x:c>
      <x:c r="O1080" s="4" t="n">
        <x:f>YEAR(C1080)</x:f>
        <x:v>2025</x:v>
      </x:c>
      <x:c r="P1080" s="4" t="str">
        <x:f>TEXT(C1080,"yyyy-mm")</x:f>
        <x:v>2025-02</x:v>
      </x:c>
      <x:c r="Q1080" s="4" t="str">
        <x:f>TEXT(C1080,"mmmm")</x:f>
        <x:v>February</x:v>
      </x:c>
    </x:row>
    <x:row r="1081" ht="20" customHeight="1">
      <x:c r="A1081" s="4" t="inlineStr">
        <x:is>
          <x:t xml:space="preserve">LINE-01091</x:t>
        </x:is>
      </x:c>
      <x:c r="B1081" s="4" t="inlineStr">
        <x:is>
          <x:t xml:space="preserve">ORD-2025-0678</x:t>
        </x:is>
      </x:c>
      <x:c r="C1081" s="17" t="n">
        <x:v>45776</x:v>
      </x:c>
      <x:c r="D1081" s="4" t="inlineStr">
        <x:is>
          <x:t xml:space="preserve">CUS-0032</x:t>
        </x:is>
      </x:c>
      <x:c r="E1081" s="4" t="inlineStr">
        <x:is>
          <x:t xml:space="preserve">Webcam</x:t>
        </x:is>
      </x:c>
      <x:c r="F1081" s="4" t="inlineStr">
        <x:is>
          <x:t xml:space="preserve">Accessories</x:t>
        </x:is>
      </x:c>
      <x:c r="G1081" s="4" t="inlineStr">
        <x:is>
          <x:t xml:space="preserve">Boston</x:t>
        </x:is>
      </x:c>
      <x:c r="H1081" s="18" t="n">
        <x:v>2</x:v>
      </x:c>
      <x:c r="I1081" s="19" t="n">
        <x:v>86.66</x:v>
      </x:c>
      <x:c r="J1081" s="20" t="n">
        <x:v>0.05</x:v>
      </x:c>
      <x:c r="K1081" s="4" t="inlineStr">
        <x:is>
          <x:t xml:space="preserve">Credit Card</x:t>
        </x:is>
      </x:c>
      <x:c r="L1081" s="19" t="n">
        <x:v>173.32</x:v>
      </x:c>
      <x:c r="M1081" s="19" t="n">
        <x:v>8.67</x:v>
      </x:c>
      <x:c r="N1081" s="19" t="n">
        <x:v>164.65</x:v>
      </x:c>
      <x:c r="O1081" s="4" t="n">
        <x:f>YEAR(C1081)</x:f>
        <x:v>2025</x:v>
      </x:c>
      <x:c r="P1081" s="4" t="str">
        <x:f>TEXT(C1081,"yyyy-mm")</x:f>
        <x:v>2025-04</x:v>
      </x:c>
      <x:c r="Q1081" s="4" t="str">
        <x:f>TEXT(C1081,"mmmm")</x:f>
        <x:v>April</x:v>
      </x:c>
    </x:row>
    <x:row r="1082" ht="20" customHeight="1">
      <x:c r="A1082" s="4" t="inlineStr">
        <x:is>
          <x:t xml:space="preserve">LINE-01092</x:t>
        </x:is>
      </x:c>
      <x:c r="B1082" s="4" t="inlineStr">
        <x:is>
          <x:t xml:space="preserve">ORD-2025-0679</x:t>
        </x:is>
      </x:c>
      <x:c r="C1082" s="17" t="n">
        <x:v>45900</x:v>
      </x:c>
      <x:c r="D1082" s="4" t="inlineStr">
        <x:is>
          <x:t xml:space="preserve">CUS-0060</x:t>
        </x:is>
      </x:c>
      <x:c r="E1082" s="4" t="inlineStr">
        <x:is>
          <x:t xml:space="preserve">Headphones</x:t>
        </x:is>
      </x:c>
      <x:c r="F1082" s="4" t="inlineStr">
        <x:is>
          <x:t xml:space="preserve">Audio</x:t>
        </x:is>
      </x:c>
      <x:c r="G1082" s="4" t="inlineStr">
        <x:is>
          <x:t xml:space="preserve">Seattle</x:t>
        </x:is>
      </x:c>
      <x:c r="H1082" s="18" t="n">
        <x:v>1</x:v>
      </x:c>
      <x:c r="I1082" s="19" t="n">
        <x:v>125.59</x:v>
      </x:c>
      <x:c r="J1082" s="20" t="n">
        <x:v>0</x:v>
      </x:c>
      <x:c r="K1082" s="4" t="inlineStr">
        <x:is>
          <x:t xml:space="preserve">PayPal</x:t>
        </x:is>
      </x:c>
      <x:c r="L1082" s="19" t="n">
        <x:v>125.59</x:v>
      </x:c>
      <x:c r="M1082" s="19" t="n">
        <x:v>0</x:v>
      </x:c>
      <x:c r="N1082" s="19" t="n">
        <x:v>125.59</x:v>
      </x:c>
      <x:c r="O1082" s="4" t="n">
        <x:f>YEAR(C1082)</x:f>
        <x:v>2025</x:v>
      </x:c>
      <x:c r="P1082" s="4" t="str">
        <x:f>TEXT(C1082,"yyyy-mm")</x:f>
        <x:v>2025-08</x:v>
      </x:c>
      <x:c r="Q1082" s="4" t="str">
        <x:f>TEXT(C1082,"mmmm")</x:f>
        <x:v>August</x:v>
      </x:c>
    </x:row>
    <x:row r="1083" ht="20" customHeight="1">
      <x:c r="A1083" s="4" t="inlineStr">
        <x:is>
          <x:t xml:space="preserve">LINE-01093</x:t>
        </x:is>
      </x:c>
      <x:c r="B1083" s="4" t="inlineStr">
        <x:is>
          <x:t xml:space="preserve">ORD-2025-0680</x:t>
        </x:is>
      </x:c>
      <x:c r="C1083" s="17" t="n">
        <x:v>45834</x:v>
      </x:c>
      <x:c r="D1083" s="4" t="inlineStr">
        <x:is>
          <x:t xml:space="preserve">CUS-0225</x:t>
        </x:is>
      </x:c>
      <x:c r="E1083" s="4" t="inlineStr">
        <x:is>
          <x:t xml:space="preserve">Office Chair</x:t>
        </x:is>
      </x:c>
      <x:c r="F1083" s="4" t="inlineStr">
        <x:is>
          <x:t xml:space="preserve">Furniture</x:t>
        </x:is>
      </x:c>
      <x:c r="G1083" s="4" t="inlineStr">
        <x:is>
          <x:t xml:space="preserve">Chicago</x:t>
        </x:is>
      </x:c>
      <x:c r="H1083" s="18" t="n">
        <x:v>4</x:v>
      </x:c>
      <x:c r="I1083" s="19" t="n">
        <x:v>253.57</x:v>
      </x:c>
      <x:c r="J1083" s="20" t="n">
        <x:v>0.1</x:v>
      </x:c>
      <x:c r="K1083" s="4" t="inlineStr">
        <x:is>
          <x:t xml:space="preserve">Debit Card</x:t>
        </x:is>
      </x:c>
      <x:c r="L1083" s="19" t="n">
        <x:v>1014.28</x:v>
      </x:c>
      <x:c r="M1083" s="19" t="n">
        <x:v>101.43</x:v>
      </x:c>
      <x:c r="N1083" s="19" t="n">
        <x:v>912.85</x:v>
      </x:c>
      <x:c r="O1083" s="4" t="n">
        <x:f>YEAR(C1083)</x:f>
        <x:v>2025</x:v>
      </x:c>
      <x:c r="P1083" s="4" t="str">
        <x:f>TEXT(C1083,"yyyy-mm")</x:f>
        <x:v>2025-06</x:v>
      </x:c>
      <x:c r="Q1083" s="4" t="str">
        <x:f>TEXT(C1083,"mmmm")</x:f>
        <x:v>June</x:v>
      </x:c>
    </x:row>
    <x:row r="1084" ht="20" customHeight="1">
      <x:c r="A1084" s="4" t="inlineStr">
        <x:is>
          <x:t xml:space="preserve">LINE-01094</x:t>
        </x:is>
      </x:c>
      <x:c r="B1084" s="4" t="inlineStr">
        <x:is>
          <x:t xml:space="preserve">ORD-2025-0680</x:t>
        </x:is>
      </x:c>
      <x:c r="C1084" s="17" t="n">
        <x:v>45834</x:v>
      </x:c>
      <x:c r="D1084" s="4" t="inlineStr">
        <x:is>
          <x:t xml:space="preserve">CUS-0225</x:t>
        </x:is>
      </x:c>
      <x:c r="E1084" s="4" t="inlineStr">
        <x:is>
          <x:t xml:space="preserve">Webcam</x:t>
        </x:is>
      </x:c>
      <x:c r="F1084" s="4" t="inlineStr">
        <x:is>
          <x:t xml:space="preserve">Accessories</x:t>
        </x:is>
      </x:c>
      <x:c r="G1084" s="4" t="inlineStr">
        <x:is>
          <x:t xml:space="preserve">Chicago</x:t>
        </x:is>
      </x:c>
      <x:c r="H1084" s="18" t="n">
        <x:v>2</x:v>
      </x:c>
      <x:c r="I1084" s="19" t="n">
        <x:v>95.52</x:v>
      </x:c>
      <x:c r="J1084" s="20" t="n">
        <x:v>0.1</x:v>
      </x:c>
      <x:c r="K1084" s="4" t="inlineStr">
        <x:is>
          <x:t xml:space="preserve">Debit Card</x:t>
        </x:is>
      </x:c>
      <x:c r="L1084" s="19" t="n">
        <x:v>191.04</x:v>
      </x:c>
      <x:c r="M1084" s="19" t="n">
        <x:v>19.1</x:v>
      </x:c>
      <x:c r="N1084" s="19" t="n">
        <x:v>171.94</x:v>
      </x:c>
      <x:c r="O1084" s="4" t="n">
        <x:f>YEAR(C1084)</x:f>
        <x:v>2025</x:v>
      </x:c>
      <x:c r="P1084" s="4" t="str">
        <x:f>TEXT(C1084,"yyyy-mm")</x:f>
        <x:v>2025-06</x:v>
      </x:c>
      <x:c r="Q1084" s="4" t="str">
        <x:f>TEXT(C1084,"mmmm")</x:f>
        <x:v>June</x:v>
      </x:c>
    </x:row>
    <x:row r="1085" ht="20" customHeight="1">
      <x:c r="A1085" s="4" t="inlineStr">
        <x:is>
          <x:t xml:space="preserve">LINE-01095</x:t>
        </x:is>
      </x:c>
      <x:c r="B1085" s="4" t="inlineStr">
        <x:is>
          <x:t xml:space="preserve">ORD-2025-0681</x:t>
        </x:is>
      </x:c>
      <x:c r="C1085" s="17" t="n">
        <x:v>45857</x:v>
      </x:c>
      <x:c r="D1085" s="4" t="inlineStr">
        <x:is>
          <x:t xml:space="preserve">CUS-0214</x:t>
        </x:is>
      </x:c>
      <x:c r="E1085" s="4" t="inlineStr">
        <x:is>
          <x:t xml:space="preserve">Keyboard</x:t>
        </x:is>
      </x:c>
      <x:c r="F1085" s="4" t="inlineStr">
        <x:is>
          <x:t xml:space="preserve">Accessories</x:t>
        </x:is>
      </x:c>
      <x:c r="G1085" s="4" t="inlineStr">
        <x:is>
          <x:t xml:space="preserve">San Francisco</x:t>
        </x:is>
      </x:c>
      <x:c r="H1085" s="18" t="n">
        <x:v>1</x:v>
      </x:c>
      <x:c r="I1085" s="19" t="n">
        <x:v>77.29000000000001</x:v>
      </x:c>
      <x:c r="J1085" s="20" t="n">
        <x:v>0</x:v>
      </x:c>
      <x:c r="K1085" s="4" t="inlineStr">
        <x:is>
          <x:t xml:space="preserve">PayPal</x:t>
        </x:is>
      </x:c>
      <x:c r="L1085" s="19" t="n">
        <x:v>77.29000000000001</x:v>
      </x:c>
      <x:c r="M1085" s="19" t="n">
        <x:v>0</x:v>
      </x:c>
      <x:c r="N1085" s="19" t="n">
        <x:v>77.29000000000001</x:v>
      </x:c>
      <x:c r="O1085" s="4" t="n">
        <x:f>YEAR(C1085)</x:f>
        <x:v>2025</x:v>
      </x:c>
      <x:c r="P1085" s="4" t="str">
        <x:f>TEXT(C1085,"yyyy-mm")</x:f>
        <x:v>2025-07</x:v>
      </x:c>
      <x:c r="Q1085" s="4" t="str">
        <x:f>TEXT(C1085,"mmmm")</x:f>
        <x:v>July</x:v>
      </x:c>
    </x:row>
    <x:row r="1086" ht="20" customHeight="1">
      <x:c r="A1086" s="4" t="inlineStr">
        <x:is>
          <x:t xml:space="preserve">LINE-01096</x:t>
        </x:is>
      </x:c>
      <x:c r="B1086" s="4" t="inlineStr">
        <x:is>
          <x:t xml:space="preserve">ORD-2025-0681</x:t>
        </x:is>
      </x:c>
      <x:c r="C1086" s="17" t="n">
        <x:v>45857</x:v>
      </x:c>
      <x:c r="D1086" s="4" t="inlineStr">
        <x:is>
          <x:t xml:space="preserve">CUS-0214</x:t>
        </x:is>
      </x:c>
      <x:c r="E1086" s="4" t="inlineStr">
        <x:is>
          <x:t xml:space="preserve">USB Flash Drive</x:t>
        </x:is>
      </x:c>
      <x:c r="F1086" s="4" t="inlineStr">
        <x:is>
          <x:t xml:space="preserve">Storage</x:t>
        </x:is>
      </x:c>
      <x:c r="G1086" s="4" t="inlineStr">
        <x:is>
          <x:t xml:space="preserve">San Francisco</x:t>
        </x:is>
      </x:c>
      <x:c r="H1086" s="18" t="n">
        <x:v>2</x:v>
      </x:c>
      <x:c r="I1086" s="19" t="n">
        <x:v>28.43</x:v>
      </x:c>
      <x:c r="J1086" s="20" t="n">
        <x:v>0</x:v>
      </x:c>
      <x:c r="K1086" s="4" t="inlineStr">
        <x:is>
          <x:t xml:space="preserve">PayPal</x:t>
        </x:is>
      </x:c>
      <x:c r="L1086" s="19" t="n">
        <x:v>56.86</x:v>
      </x:c>
      <x:c r="M1086" s="19" t="n">
        <x:v>0</x:v>
      </x:c>
      <x:c r="N1086" s="19" t="n">
        <x:v>56.86</x:v>
      </x:c>
      <x:c r="O1086" s="4" t="n">
        <x:f>YEAR(C1086)</x:f>
        <x:v>2025</x:v>
      </x:c>
      <x:c r="P1086" s="4" t="str">
        <x:f>TEXT(C1086,"yyyy-mm")</x:f>
        <x:v>2025-07</x:v>
      </x:c>
      <x:c r="Q1086" s="4" t="str">
        <x:f>TEXT(C1086,"mmmm")</x:f>
        <x:v>July</x:v>
      </x:c>
    </x:row>
    <x:row r="1087" ht="20" customHeight="1">
      <x:c r="A1087" s="4" t="inlineStr">
        <x:is>
          <x:t xml:space="preserve">LINE-01097</x:t>
        </x:is>
      </x:c>
      <x:c r="B1087" s="4" t="inlineStr">
        <x:is>
          <x:t xml:space="preserve">ORD-2025-0682</x:t>
        </x:is>
      </x:c>
      <x:c r="C1087" s="17" t="n">
        <x:v>45909</x:v>
      </x:c>
      <x:c r="D1087" s="4" t="inlineStr">
        <x:is>
          <x:t xml:space="preserve">CUS-0052</x:t>
        </x:is>
      </x:c>
      <x:c r="E1087" s="4" t="inlineStr">
        <x:is>
          <x:t xml:space="preserve">Wireless Mouse</x:t>
        </x:is>
      </x:c>
      <x:c r="F1087" s="4" t="inlineStr">
        <x:is>
          <x:t xml:space="preserve">Accessories</x:t>
        </x:is>
      </x:c>
      <x:c r="G1087" s="4" t="inlineStr">
        <x:is>
          <x:t xml:space="preserve">Seattle</x:t>
        </x:is>
      </x:c>
      <x:c r="H1087" s="18" t="n">
        <x:v>2</x:v>
      </x:c>
      <x:c r="I1087" s="19" t="n">
        <x:v>48.59</x:v>
      </x:c>
      <x:c r="J1087" s="20" t="n">
        <x:v>0</x:v>
      </x:c>
      <x:c r="K1087" s="4" t="inlineStr">
        <x:is>
          <x:t xml:space="preserve">Bank Transfer</x:t>
        </x:is>
      </x:c>
      <x:c r="L1087" s="19" t="n">
        <x:v>97.18000000000001</x:v>
      </x:c>
      <x:c r="M1087" s="19" t="n">
        <x:v>0</x:v>
      </x:c>
      <x:c r="N1087" s="19" t="n">
        <x:v>97.18000000000001</x:v>
      </x:c>
      <x:c r="O1087" s="4" t="n">
        <x:f>YEAR(C1087)</x:f>
        <x:v>2025</x:v>
      </x:c>
      <x:c r="P1087" s="4" t="str">
        <x:f>TEXT(C1087,"yyyy-mm")</x:f>
        <x:v>2025-09</x:v>
      </x:c>
      <x:c r="Q1087" s="4" t="str">
        <x:f>TEXT(C1087,"mmmm")</x:f>
        <x:v>September</x:v>
      </x:c>
    </x:row>
    <x:row r="1088" ht="20" customHeight="1">
      <x:c r="A1088" s="4" t="inlineStr">
        <x:is>
          <x:t xml:space="preserve">LINE-01098</x:t>
        </x:is>
      </x:c>
      <x:c r="B1088" s="4" t="inlineStr">
        <x:is>
          <x:t xml:space="preserve">ORD-2025-0683</x:t>
        </x:is>
      </x:c>
      <x:c r="C1088" s="17" t="n">
        <x:v>45791</x:v>
      </x:c>
      <x:c r="D1088" s="4" t="inlineStr">
        <x:is>
          <x:t xml:space="preserve">CUS-0183</x:t>
        </x:is>
      </x:c>
      <x:c r="E1088" s="4" t="inlineStr">
        <x:is>
          <x:t xml:space="preserve">External SSD</x:t>
        </x:is>
      </x:c>
      <x:c r="F1088" s="4" t="inlineStr">
        <x:is>
          <x:t xml:space="preserve">Storage</x:t>
        </x:is>
      </x:c>
      <x:c r="G1088" s="4" t="inlineStr">
        <x:is>
          <x:t xml:space="preserve">San Francisco</x:t>
        </x:is>
      </x:c>
      <x:c r="H1088" s="18" t="n">
        <x:v>1</x:v>
      </x:c>
      <x:c r="I1088" s="19" t="n">
        <x:v>139.53</x:v>
      </x:c>
      <x:c r="J1088" s="20" t="n">
        <x:v>0</x:v>
      </x:c>
      <x:c r="K1088" s="4" t="inlineStr">
        <x:is>
          <x:t xml:space="preserve">Debit Card</x:t>
        </x:is>
      </x:c>
      <x:c r="L1088" s="19" t="n">
        <x:v>139.53</x:v>
      </x:c>
      <x:c r="M1088" s="19" t="n">
        <x:v>0</x:v>
      </x:c>
      <x:c r="N1088" s="19" t="n">
        <x:v>139.53</x:v>
      </x:c>
      <x:c r="O1088" s="4" t="n">
        <x:f>YEAR(C1088)</x:f>
        <x:v>2025</x:v>
      </x:c>
      <x:c r="P1088" s="4" t="str">
        <x:f>TEXT(C1088,"yyyy-mm")</x:f>
        <x:v>2025-05</x:v>
      </x:c>
      <x:c r="Q1088" s="4" t="str">
        <x:f>TEXT(C1088,"mmmm")</x:f>
        <x:v>May</x:v>
      </x:c>
    </x:row>
    <x:row r="1089" ht="20" customHeight="1">
      <x:c r="A1089" s="4" t="inlineStr">
        <x:is>
          <x:t xml:space="preserve">LINE-01099</x:t>
        </x:is>
      </x:c>
      <x:c r="B1089" s="4" t="inlineStr">
        <x:is>
          <x:t xml:space="preserve">ORD-2025-0684</x:t>
        </x:is>
      </x:c>
      <x:c r="C1089" s="17" t="n">
        <x:v>45974</x:v>
      </x:c>
      <x:c r="D1089" s="4" t="inlineStr">
        <x:is>
          <x:t xml:space="preserve">CUS-0117</x:t>
        </x:is>
      </x:c>
      <x:c r="E1089" s="4" t="inlineStr">
        <x:is>
          <x:t xml:space="preserve">Webcam</x:t>
        </x:is>
      </x:c>
      <x:c r="F1089" s="4" t="inlineStr">
        <x:is>
          <x:t xml:space="preserve">Accessories</x:t>
        </x:is>
      </x:c>
      <x:c r="G1089" s="4" t="inlineStr">
        <x:is>
          <x:t xml:space="preserve">New York</x:t>
        </x:is>
      </x:c>
      <x:c r="H1089" s="18" t="n">
        <x:v>3</x:v>
      </x:c>
      <x:c r="I1089" s="19" t="n">
        <x:v>93.88</x:v>
      </x:c>
      <x:c r="J1089" s="20" t="n">
        <x:v>0.1</x:v>
      </x:c>
      <x:c r="K1089" s="4" t="inlineStr">
        <x:is>
          <x:t xml:space="preserve">Debit Card</x:t>
        </x:is>
      </x:c>
      <x:c r="L1089" s="19" t="n">
        <x:v>281.64</x:v>
      </x:c>
      <x:c r="M1089" s="19" t="n">
        <x:v>28.16</x:v>
      </x:c>
      <x:c r="N1089" s="19" t="n">
        <x:v>253.48</x:v>
      </x:c>
      <x:c r="O1089" s="4" t="n">
        <x:f>YEAR(C1089)</x:f>
        <x:v>2025</x:v>
      </x:c>
      <x:c r="P1089" s="4" t="str">
        <x:f>TEXT(C1089,"yyyy-mm")</x:f>
        <x:v>2025-11</x:v>
      </x:c>
      <x:c r="Q1089" s="4" t="str">
        <x:f>TEXT(C1089,"mmmm")</x:f>
        <x:v>November</x:v>
      </x:c>
    </x:row>
    <x:row r="1090" ht="20" customHeight="1">
      <x:c r="A1090" s="4" t="inlineStr">
        <x:is>
          <x:t xml:space="preserve">LINE-01100</x:t>
        </x:is>
      </x:c>
      <x:c r="B1090" s="4" t="inlineStr">
        <x:is>
          <x:t xml:space="preserve">ORD-2025-0685</x:t>
        </x:is>
      </x:c>
      <x:c r="C1090" s="17" t="n">
        <x:v>45943</x:v>
      </x:c>
      <x:c r="D1090" s="4" t="inlineStr">
        <x:is>
          <x:t xml:space="preserve">CUS-0137</x:t>
        </x:is>
      </x:c>
      <x:c r="E1090" s="4" t="inlineStr">
        <x:is>
          <x:t xml:space="preserve">Bluetooth Speaker</x:t>
        </x:is>
      </x:c>
      <x:c r="F1090" s="4" t="inlineStr">
        <x:is>
          <x:t xml:space="preserve">Audio</x:t>
        </x:is>
      </x:c>
      <x:c r="G1090" s="4" t="inlineStr">
        <x:is>
          <x:t xml:space="preserve">Chicago</x:t>
        </x:is>
      </x:c>
      <x:c r="H1090" s="18" t="n">
        <x:v>5</x:v>
      </x:c>
      <x:c r="I1090" s="19" t="n">
        <x:v>114.5</x:v>
      </x:c>
      <x:c r="J1090" s="20" t="n">
        <x:v>0.2</x:v>
      </x:c>
      <x:c r="K1090" s="4" t="inlineStr">
        <x:is>
          <x:t xml:space="preserve">Credit Card</x:t>
        </x:is>
      </x:c>
      <x:c r="L1090" s="19" t="n">
        <x:v>572.5</x:v>
      </x:c>
      <x:c r="M1090" s="19" t="n">
        <x:v>114.5</x:v>
      </x:c>
      <x:c r="N1090" s="19" t="n">
        <x:v>458</x:v>
      </x:c>
      <x:c r="O1090" s="4" t="n">
        <x:f>YEAR(C1090)</x:f>
        <x:v>2025</x:v>
      </x:c>
      <x:c r="P1090" s="4" t="str">
        <x:f>TEXT(C1090,"yyyy-mm")</x:f>
        <x:v>2025-10</x:v>
      </x:c>
      <x:c r="Q1090" s="4" t="str">
        <x:f>TEXT(C1090,"mmmm")</x:f>
        <x:v>October</x:v>
      </x:c>
    </x:row>
    <x:row r="1091" ht="20" customHeight="1">
      <x:c r="A1091" s="4" t="inlineStr">
        <x:is>
          <x:t xml:space="preserve">LINE-01101</x:t>
        </x:is>
      </x:c>
      <x:c r="B1091" s="4" t="inlineStr">
        <x:is>
          <x:t xml:space="preserve">ORD-2025-0685</x:t>
        </x:is>
      </x:c>
      <x:c r="C1091" s="17" t="n">
        <x:v>45943</x:v>
      </x:c>
      <x:c r="D1091" s="4" t="inlineStr">
        <x:is>
          <x:t xml:space="preserve">CUS-0137</x:t>
        </x:is>
      </x:c>
      <x:c r="E1091" s="4" t="inlineStr">
        <x:is>
          <x:t xml:space="preserve">Desk Lamp</x:t>
        </x:is>
      </x:c>
      <x:c r="F1091" s="4" t="inlineStr">
        <x:is>
          <x:t xml:space="preserve">Furniture</x:t>
        </x:is>
      </x:c>
      <x:c r="G1091" s="4" t="inlineStr">
        <x:is>
          <x:t xml:space="preserve">Chicago</x:t>
        </x:is>
      </x:c>
      <x:c r="H1091" s="18" t="n">
        <x:v>3</x:v>
      </x:c>
      <x:c r="I1091" s="19" t="n">
        <x:v>55.96</x:v>
      </x:c>
      <x:c r="J1091" s="20" t="n">
        <x:v>0.1</x:v>
      </x:c>
      <x:c r="K1091" s="4" t="inlineStr">
        <x:is>
          <x:t xml:space="preserve">Credit Card</x:t>
        </x:is>
      </x:c>
      <x:c r="L1091" s="19" t="n">
        <x:v>167.88</x:v>
      </x:c>
      <x:c r="M1091" s="19" t="n">
        <x:v>16.79</x:v>
      </x:c>
      <x:c r="N1091" s="19" t="n">
        <x:v>151.09</x:v>
      </x:c>
      <x:c r="O1091" s="4" t="n">
        <x:f>YEAR(C1091)</x:f>
        <x:v>2025</x:v>
      </x:c>
      <x:c r="P1091" s="4" t="str">
        <x:f>TEXT(C1091,"yyyy-mm")</x:f>
        <x:v>2025-10</x:v>
      </x:c>
      <x:c r="Q1091" s="4" t="str">
        <x:f>TEXT(C1091,"mmmm")</x:f>
        <x:v>October</x:v>
      </x:c>
    </x:row>
    <x:row r="1092" ht="20" customHeight="1">
      <x:c r="A1092" s="4" t="inlineStr">
        <x:is>
          <x:t xml:space="preserve">LINE-01102</x:t>
        </x:is>
      </x:c>
      <x:c r="B1092" s="4" t="inlineStr">
        <x:is>
          <x:t xml:space="preserve">ORD-2025-0686</x:t>
        </x:is>
      </x:c>
      <x:c r="C1092" s="17" t="n">
        <x:v>45710</x:v>
      </x:c>
      <x:c r="D1092" s="4" t="inlineStr">
        <x:is>
          <x:t xml:space="preserve">CUS-0288</x:t>
        </x:is>
      </x:c>
      <x:c r="E1092" s="4" t="inlineStr">
        <x:is>
          <x:t xml:space="preserve">Monitor</x:t>
        </x:is>
      </x:c>
      <x:c r="F1092" s="4" t="inlineStr">
        <x:is>
          <x:t xml:space="preserve">Computers</x:t>
        </x:is>
      </x:c>
      <x:c r="G1092" s="4" t="inlineStr">
        <x:is>
          <x:t xml:space="preserve">New York</x:t>
        </x:is>
      </x:c>
      <x:c r="H1092" s="18" t="n">
        <x:v>4</x:v>
      </x:c>
      <x:c r="I1092" s="19" t="n">
        <x:v>298.41</x:v>
      </x:c>
      <x:c r="J1092" s="20" t="n">
        <x:v>0</x:v>
      </x:c>
      <x:c r="K1092" s="4" t="inlineStr">
        <x:is>
          <x:t xml:space="preserve">Credit Card</x:t>
        </x:is>
      </x:c>
      <x:c r="L1092" s="19" t="n">
        <x:v>1193.64</x:v>
      </x:c>
      <x:c r="M1092" s="19" t="n">
        <x:v>0</x:v>
      </x:c>
      <x:c r="N1092" s="19" t="n">
        <x:v>1193.64</x:v>
      </x:c>
      <x:c r="O1092" s="4" t="n">
        <x:f>YEAR(C1092)</x:f>
        <x:v>2025</x:v>
      </x:c>
      <x:c r="P1092" s="4" t="str">
        <x:f>TEXT(C1092,"yyyy-mm")</x:f>
        <x:v>2025-02</x:v>
      </x:c>
      <x:c r="Q1092" s="4" t="str">
        <x:f>TEXT(C1092,"mmmm")</x:f>
        <x:v>February</x:v>
      </x:c>
    </x:row>
    <x:row r="1093" ht="20" customHeight="1">
      <x:c r="A1093" s="4" t="inlineStr">
        <x:is>
          <x:t xml:space="preserve">LINE-01103</x:t>
        </x:is>
      </x:c>
      <x:c r="B1093" s="4" t="inlineStr">
        <x:is>
          <x:t xml:space="preserve">ORD-2025-0687</x:t>
        </x:is>
      </x:c>
      <x:c r="C1093" s="17" t="n">
        <x:v>45807</x:v>
      </x:c>
      <x:c r="D1093" s="4" t="inlineStr">
        <x:is>
          <x:t xml:space="preserve">CUS-0227</x:t>
        </x:is>
      </x:c>
      <x:c r="E1093" s="4" t="inlineStr">
        <x:is>
          <x:t xml:space="preserve">Monitor</x:t>
        </x:is>
      </x:c>
      <x:c r="F1093" s="4" t="inlineStr">
        <x:is>
          <x:t xml:space="preserve">Computers</x:t>
        </x:is>
      </x:c>
      <x:c r="G1093" s="4" t="inlineStr">
        <x:is>
          <x:t xml:space="preserve">Boston</x:t>
        </x:is>
      </x:c>
      <x:c r="H1093" s="18" t="n">
        <x:v>2</x:v>
      </x:c>
      <x:c r="I1093" s="19" t="n">
        <x:v>272.59</x:v>
      </x:c>
      <x:c r="J1093" s="20" t="n">
        <x:v>0</x:v>
      </x:c>
      <x:c r="K1093" s="4" t="inlineStr">
        <x:is>
          <x:t xml:space="preserve">Bank Transfer</x:t>
        </x:is>
      </x:c>
      <x:c r="L1093" s="19" t="n">
        <x:v>545.1799999999999</x:v>
      </x:c>
      <x:c r="M1093" s="19" t="n">
        <x:v>0</x:v>
      </x:c>
      <x:c r="N1093" s="19" t="n">
        <x:v>545.1799999999999</x:v>
      </x:c>
      <x:c r="O1093" s="4" t="n">
        <x:f>YEAR(C1093)</x:f>
        <x:v>2025</x:v>
      </x:c>
      <x:c r="P1093" s="4" t="str">
        <x:f>TEXT(C1093,"yyyy-mm")</x:f>
        <x:v>2025-05</x:v>
      </x:c>
      <x:c r="Q1093" s="4" t="str">
        <x:f>TEXT(C1093,"mmmm")</x:f>
        <x:v>May</x:v>
      </x:c>
    </x:row>
    <x:row r="1094" ht="20" customHeight="1">
      <x:c r="A1094" s="4" t="inlineStr">
        <x:is>
          <x:t xml:space="preserve">LINE-01104</x:t>
        </x:is>
      </x:c>
      <x:c r="B1094" s="4" t="inlineStr">
        <x:is>
          <x:t xml:space="preserve">ORD-2025-0687</x:t>
        </x:is>
      </x:c>
      <x:c r="C1094" s="17" t="n">
        <x:v>45807</x:v>
      </x:c>
      <x:c r="D1094" s="4" t="inlineStr">
        <x:is>
          <x:t xml:space="preserve">CUS-0227</x:t>
        </x:is>
      </x:c>
      <x:c r="E1094" s="4" t="inlineStr">
        <x:is>
          <x:t xml:space="preserve">Keyboard</x:t>
        </x:is>
      </x:c>
      <x:c r="F1094" s="4" t="inlineStr">
        <x:is>
          <x:t xml:space="preserve">Accessories</x:t>
        </x:is>
      </x:c>
      <x:c r="G1094" s="4" t="inlineStr">
        <x:is>
          <x:t xml:space="preserve">Boston</x:t>
        </x:is>
      </x:c>
      <x:c r="H1094" s="18" t="n">
        <x:v>3</x:v>
      </x:c>
      <x:c r="I1094" s="19" t="n">
        <x:v>74.27</x:v>
      </x:c>
      <x:c r="J1094" s="20" t="n">
        <x:v>0</x:v>
      </x:c>
      <x:c r="K1094" s="4" t="inlineStr">
        <x:is>
          <x:t xml:space="preserve">Bank Transfer</x:t>
        </x:is>
      </x:c>
      <x:c r="L1094" s="19" t="n">
        <x:v>222.81</x:v>
      </x:c>
      <x:c r="M1094" s="19" t="n">
        <x:v>0</x:v>
      </x:c>
      <x:c r="N1094" s="19" t="n">
        <x:v>222.81</x:v>
      </x:c>
      <x:c r="O1094" s="4" t="n">
        <x:f>YEAR(C1094)</x:f>
        <x:v>2025</x:v>
      </x:c>
      <x:c r="P1094" s="4" t="str">
        <x:f>TEXT(C1094,"yyyy-mm")</x:f>
        <x:v>2025-05</x:v>
      </x:c>
      <x:c r="Q1094" s="4" t="str">
        <x:f>TEXT(C1094,"mmmm")</x:f>
        <x:v>May</x:v>
      </x:c>
    </x:row>
    <x:row r="1095" ht="20" customHeight="1">
      <x:c r="A1095" s="4" t="inlineStr">
        <x:is>
          <x:t xml:space="preserve">LINE-01105</x:t>
        </x:is>
      </x:c>
      <x:c r="B1095" s="4" t="inlineStr">
        <x:is>
          <x:t xml:space="preserve">ORD-2025-0688</x:t>
        </x:is>
      </x:c>
      <x:c r="C1095" s="17" t="n">
        <x:v>45661</x:v>
      </x:c>
      <x:c r="D1095" s="4" t="inlineStr">
        <x:is>
          <x:t xml:space="preserve">CUS-0126</x:t>
        </x:is>
      </x:c>
      <x:c r="E1095" s="4" t="inlineStr">
        <x:is>
          <x:t xml:space="preserve">Keyboard</x:t>
        </x:is>
      </x:c>
      <x:c r="F1095" s="4" t="inlineStr">
        <x:is>
          <x:t xml:space="preserve">Accessories</x:t>
        </x:is>
      </x:c>
      <x:c r="G1095" s="4" t="inlineStr">
        <x:is>
          <x:t xml:space="preserve">Seattle</x:t>
        </x:is>
      </x:c>
      <x:c r="H1095" s="18" t="n">
        <x:v>1</x:v>
      </x:c>
      <x:c r="I1095" s="19" t="n">
        <x:v>73.47</x:v>
      </x:c>
      <x:c r="J1095" s="20" t="n">
        <x:v>0.1</x:v>
      </x:c>
      <x:c r="K1095" s="4" t="inlineStr">
        <x:is>
          <x:t xml:space="preserve">PayPal</x:t>
        </x:is>
      </x:c>
      <x:c r="L1095" s="19" t="n">
        <x:v>73.47</x:v>
      </x:c>
      <x:c r="M1095" s="19" t="n">
        <x:v>7.35</x:v>
      </x:c>
      <x:c r="N1095" s="19" t="n">
        <x:v>66.12</x:v>
      </x:c>
      <x:c r="O1095" s="4" t="n">
        <x:f>YEAR(C1095)</x:f>
        <x:v>2025</x:v>
      </x:c>
      <x:c r="P1095" s="4" t="str">
        <x:f>TEXT(C1095,"yyyy-mm")</x:f>
        <x:v>2025-01</x:v>
      </x:c>
      <x:c r="Q1095" s="4" t="str">
        <x:f>TEXT(C1095,"mmmm")</x:f>
        <x:v>January</x:v>
      </x:c>
    </x:row>
    <x:row r="1096" ht="20" customHeight="1">
      <x:c r="A1096" s="4" t="inlineStr">
        <x:is>
          <x:t xml:space="preserve">LINE-01106</x:t>
        </x:is>
      </x:c>
      <x:c r="B1096" s="4" t="inlineStr">
        <x:is>
          <x:t xml:space="preserve">ORD-2025-0689</x:t>
        </x:is>
      </x:c>
      <x:c r="C1096" s="17" t="n">
        <x:v>45842</x:v>
      </x:c>
      <x:c r="D1096" s="4" t="inlineStr">
        <x:is>
          <x:t xml:space="preserve">CUS-0323</x:t>
        </x:is>
      </x:c>
      <x:c r="E1096" s="4" t="inlineStr">
        <x:is>
          <x:t xml:space="preserve">External SSD</x:t>
        </x:is>
      </x:c>
      <x:c r="F1096" s="4" t="inlineStr">
        <x:is>
          <x:t xml:space="preserve">Storage</x:t>
        </x:is>
      </x:c>
      <x:c r="G1096" s="4" t="inlineStr">
        <x:is>
          <x:t xml:space="preserve">San Francisco</x:t>
        </x:is>
      </x:c>
      <x:c r="H1096" s="18" t="n">
        <x:v>2</x:v>
      </x:c>
      <x:c r="I1096" s="19" t="n">
        <x:v>143.48</x:v>
      </x:c>
      <x:c r="J1096" s="20" t="n">
        <x:v>0.1</x:v>
      </x:c>
      <x:c r="K1096" s="4" t="inlineStr">
        <x:is>
          <x:t xml:space="preserve">Debit Card</x:t>
        </x:is>
      </x:c>
      <x:c r="L1096" s="19" t="n">
        <x:v>286.96</x:v>
      </x:c>
      <x:c r="M1096" s="19" t="n">
        <x:v>28.7</x:v>
      </x:c>
      <x:c r="N1096" s="19" t="n">
        <x:v>258.26</x:v>
      </x:c>
      <x:c r="O1096" s="4" t="n">
        <x:f>YEAR(C1096)</x:f>
        <x:v>2025</x:v>
      </x:c>
      <x:c r="P1096" s="4" t="str">
        <x:f>TEXT(C1096,"yyyy-mm")</x:f>
        <x:v>2025-07</x:v>
      </x:c>
      <x:c r="Q1096" s="4" t="str">
        <x:f>TEXT(C1096,"mmmm")</x:f>
        <x:v>July</x:v>
      </x:c>
    </x:row>
    <x:row r="1097" ht="20" customHeight="1">
      <x:c r="A1097" s="4" t="inlineStr">
        <x:is>
          <x:t xml:space="preserve">LINE-01107</x:t>
        </x:is>
      </x:c>
      <x:c r="B1097" s="4" t="inlineStr">
        <x:is>
          <x:t xml:space="preserve">ORD-2025-0690</x:t>
        </x:is>
      </x:c>
      <x:c r="C1097" s="17" t="n">
        <x:v>45869</x:v>
      </x:c>
      <x:c r="D1097" s="4" t="inlineStr">
        <x:is>
          <x:t xml:space="preserve">CUS-0210</x:t>
        </x:is>
      </x:c>
      <x:c r="E1097" s="4" t="inlineStr">
        <x:is>
          <x:t xml:space="preserve">Bluetooth Speaker</x:t>
        </x:is>
      </x:c>
      <x:c r="F1097" s="4" t="inlineStr">
        <x:is>
          <x:t xml:space="preserve">Audio</x:t>
        </x:is>
      </x:c>
      <x:c r="G1097" s="4" t="inlineStr">
        <x:is>
          <x:t xml:space="preserve">Seattle</x:t>
        </x:is>
      </x:c>
      <x:c r="H1097" s="18" t="n">
        <x:v>3</x:v>
      </x:c>
      <x:c r="I1097" s="19" t="n">
        <x:v>110.31</x:v>
      </x:c>
      <x:c r="J1097" s="20" t="n">
        <x:v>0</x:v>
      </x:c>
      <x:c r="K1097" s="4" t="inlineStr">
        <x:is>
          <x:t xml:space="preserve">PayPal</x:t>
        </x:is>
      </x:c>
      <x:c r="L1097" s="19" t="n">
        <x:v>330.93</x:v>
      </x:c>
      <x:c r="M1097" s="19" t="n">
        <x:v>0</x:v>
      </x:c>
      <x:c r="N1097" s="19" t="n">
        <x:v>330.93</x:v>
      </x:c>
      <x:c r="O1097" s="4" t="n">
        <x:f>YEAR(C1097)</x:f>
        <x:v>2025</x:v>
      </x:c>
      <x:c r="P1097" s="4" t="str">
        <x:f>TEXT(C1097,"yyyy-mm")</x:f>
        <x:v>2025-07</x:v>
      </x:c>
      <x:c r="Q1097" s="4" t="str">
        <x:f>TEXT(C1097,"mmmm")</x:f>
        <x:v>July</x:v>
      </x:c>
    </x:row>
    <x:row r="1098" ht="20" customHeight="1">
      <x:c r="A1098" s="4" t="inlineStr">
        <x:is>
          <x:t xml:space="preserve">LINE-01108</x:t>
        </x:is>
      </x:c>
      <x:c r="B1098" s="4" t="inlineStr">
        <x:is>
          <x:t xml:space="preserve">ORD-2025-0690</x:t>
        </x:is>
      </x:c>
      <x:c r="C1098" s="17" t="n">
        <x:v>45869</x:v>
      </x:c>
      <x:c r="D1098" s="4" t="inlineStr">
        <x:is>
          <x:t xml:space="preserve">CUS-0210</x:t>
        </x:is>
      </x:c>
      <x:c r="E1098" s="4" t="inlineStr">
        <x:is>
          <x:t xml:space="preserve">Keyboard</x:t>
        </x:is>
      </x:c>
      <x:c r="F1098" s="4" t="inlineStr">
        <x:is>
          <x:t xml:space="preserve">Accessories</x:t>
        </x:is>
      </x:c>
      <x:c r="G1098" s="4" t="inlineStr">
        <x:is>
          <x:t xml:space="preserve">Seattle</x:t>
        </x:is>
      </x:c>
      <x:c r="H1098" s="18" t="n">
        <x:v>1</x:v>
      </x:c>
      <x:c r="I1098" s="19" t="n">
        <x:v>73.81999999999999</x:v>
      </x:c>
      <x:c r="J1098" s="20" t="n">
        <x:v>0.1</x:v>
      </x:c>
      <x:c r="K1098" s="4" t="inlineStr">
        <x:is>
          <x:t xml:space="preserve">PayPal</x:t>
        </x:is>
      </x:c>
      <x:c r="L1098" s="19" t="n">
        <x:v>73.81999999999999</x:v>
      </x:c>
      <x:c r="M1098" s="19" t="n">
        <x:v>7.38</x:v>
      </x:c>
      <x:c r="N1098" s="19" t="n">
        <x:v>66.44</x:v>
      </x:c>
      <x:c r="O1098" s="4" t="n">
        <x:f>YEAR(C1098)</x:f>
        <x:v>2025</x:v>
      </x:c>
      <x:c r="P1098" s="4" t="str">
        <x:f>TEXT(C1098,"yyyy-mm")</x:f>
        <x:v>2025-07</x:v>
      </x:c>
      <x:c r="Q1098" s="4" t="str">
        <x:f>TEXT(C1098,"mmmm")</x:f>
        <x:v>July</x:v>
      </x:c>
    </x:row>
    <x:row r="1099" ht="20" customHeight="1">
      <x:c r="A1099" s="4" t="inlineStr">
        <x:is>
          <x:t xml:space="preserve">LINE-01109</x:t>
        </x:is>
      </x:c>
      <x:c r="B1099" s="4" t="inlineStr">
        <x:is>
          <x:t xml:space="preserve">ORD-2025-0690</x:t>
        </x:is>
      </x:c>
      <x:c r="C1099" s="17" t="n">
        <x:v>45869</x:v>
      </x:c>
      <x:c r="D1099" s="4" t="inlineStr">
        <x:is>
          <x:t xml:space="preserve">CUS-0210</x:t>
        </x:is>
      </x:c>
      <x:c r="E1099" s="4" t="inlineStr">
        <x:is>
          <x:t xml:space="preserve">Laptop</x:t>
        </x:is>
      </x:c>
      <x:c r="F1099" s="4" t="inlineStr">
        <x:is>
          <x:t xml:space="preserve">Computers</x:t>
        </x:is>
      </x:c>
      <x:c r="G1099" s="4" t="inlineStr">
        <x:is>
          <x:t xml:space="preserve">Seattle</x:t>
        </x:is>
      </x:c>
      <x:c r="H1099" s="18" t="n">
        <x:v>2</x:v>
      </x:c>
      <x:c r="I1099" s="19" t="n">
        <x:v>933.78</x:v>
      </x:c>
      <x:c r="J1099" s="20" t="n">
        <x:v>0</x:v>
      </x:c>
      <x:c r="K1099" s="4" t="inlineStr">
        <x:is>
          <x:t xml:space="preserve">PayPal</x:t>
        </x:is>
      </x:c>
      <x:c r="L1099" s="19" t="n">
        <x:v>1867.56</x:v>
      </x:c>
      <x:c r="M1099" s="19" t="n">
        <x:v>0</x:v>
      </x:c>
      <x:c r="N1099" s="19" t="n">
        <x:v>1867.56</x:v>
      </x:c>
      <x:c r="O1099" s="4" t="n">
        <x:f>YEAR(C1099)</x:f>
        <x:v>2025</x:v>
      </x:c>
      <x:c r="P1099" s="4" t="str">
        <x:f>TEXT(C1099,"yyyy-mm")</x:f>
        <x:v>2025-07</x:v>
      </x:c>
      <x:c r="Q1099" s="4" t="str">
        <x:f>TEXT(C1099,"mmmm")</x:f>
        <x:v>July</x:v>
      </x:c>
    </x:row>
    <x:row r="1100" ht="20" customHeight="1">
      <x:c r="A1100" s="4" t="inlineStr">
        <x:is>
          <x:t xml:space="preserve">LINE-01110</x:t>
        </x:is>
      </x:c>
      <x:c r="B1100" s="4" t="inlineStr">
        <x:is>
          <x:t xml:space="preserve">ORD-2025-0691</x:t>
        </x:is>
      </x:c>
      <x:c r="C1100" s="17" t="n">
        <x:v>45986</x:v>
      </x:c>
      <x:c r="D1100" s="4" t="inlineStr">
        <x:is>
          <x:t xml:space="preserve">CUS-0078</x:t>
        </x:is>
      </x:c>
      <x:c r="E1100" s="4" t="inlineStr">
        <x:is>
          <x:t xml:space="preserve">Desk Lamp</x:t>
        </x:is>
      </x:c>
      <x:c r="F1100" s="4" t="inlineStr">
        <x:is>
          <x:t xml:space="preserve">Furniture</x:t>
        </x:is>
      </x:c>
      <x:c r="G1100" s="4" t="inlineStr">
        <x:is>
          <x:t xml:space="preserve">Boston</x:t>
        </x:is>
      </x:c>
      <x:c r="H1100" s="18" t="n">
        <x:v>5</x:v>
      </x:c>
      <x:c r="I1100" s="19" t="n">
        <x:v>54.29</x:v>
      </x:c>
      <x:c r="J1100" s="20" t="n">
        <x:v>0.15</x:v>
      </x:c>
      <x:c r="K1100" s="4" t="inlineStr">
        <x:is>
          <x:t xml:space="preserve">Credit Card</x:t>
        </x:is>
      </x:c>
      <x:c r="L1100" s="19" t="n">
        <x:v>271.45</x:v>
      </x:c>
      <x:c r="M1100" s="19" t="n">
        <x:v>40.72</x:v>
      </x:c>
      <x:c r="N1100" s="19" t="n">
        <x:v>230.73</x:v>
      </x:c>
      <x:c r="O1100" s="4" t="n">
        <x:f>YEAR(C1100)</x:f>
        <x:v>2025</x:v>
      </x:c>
      <x:c r="P1100" s="4" t="str">
        <x:f>TEXT(C1100,"yyyy-mm")</x:f>
        <x:v>2025-11</x:v>
      </x:c>
      <x:c r="Q1100" s="4" t="str">
        <x:f>TEXT(C1100,"mmmm")</x:f>
        <x:v>November</x:v>
      </x:c>
    </x:row>
    <x:row r="1101" ht="20" customHeight="1">
      <x:c r="A1101" s="4" t="inlineStr">
        <x:is>
          <x:t xml:space="preserve">LINE-01111</x:t>
        </x:is>
      </x:c>
      <x:c r="B1101" s="4" t="inlineStr">
        <x:is>
          <x:t xml:space="preserve">ORD-2025-0691</x:t>
        </x:is>
      </x:c>
      <x:c r="C1101" s="17" t="n">
        <x:v>45986</x:v>
      </x:c>
      <x:c r="D1101" s="4" t="inlineStr">
        <x:is>
          <x:t xml:space="preserve">CUS-0078</x:t>
        </x:is>
      </x:c>
      <x:c r="E1101" s="4" t="inlineStr">
        <x:is>
          <x:t xml:space="preserve">Office Chair</x:t>
        </x:is>
      </x:c>
      <x:c r="F1101" s="4" t="inlineStr">
        <x:is>
          <x:t xml:space="preserve">Furniture</x:t>
        </x:is>
      </x:c>
      <x:c r="G1101" s="4" t="inlineStr">
        <x:is>
          <x:t xml:space="preserve">Boston</x:t>
        </x:is>
      </x:c>
      <x:c r="H1101" s="18" t="n">
        <x:v>3</x:v>
      </x:c>
      <x:c r="I1101" s="19" t="n">
        <x:v>254.34</x:v>
      </x:c>
      <x:c r="J1101" s="20" t="n">
        <x:v>0.1</x:v>
      </x:c>
      <x:c r="K1101" s="4" t="inlineStr">
        <x:is>
          <x:t xml:space="preserve">Credit Card</x:t>
        </x:is>
      </x:c>
      <x:c r="L1101" s="19" t="n">
        <x:v>763.02</x:v>
      </x:c>
      <x:c r="M1101" s="19" t="n">
        <x:v>76.3</x:v>
      </x:c>
      <x:c r="N1101" s="19" t="n">
        <x:v>686.72</x:v>
      </x:c>
      <x:c r="O1101" s="4" t="n">
        <x:f>YEAR(C1101)</x:f>
        <x:v>2025</x:v>
      </x:c>
      <x:c r="P1101" s="4" t="str">
        <x:f>TEXT(C1101,"yyyy-mm")</x:f>
        <x:v>2025-11</x:v>
      </x:c>
      <x:c r="Q1101" s="4" t="str">
        <x:f>TEXT(C1101,"mmmm")</x:f>
        <x:v>November</x:v>
      </x:c>
    </x:row>
    <x:row r="1102" ht="20" customHeight="1">
      <x:c r="A1102" s="4" t="inlineStr">
        <x:is>
          <x:t xml:space="preserve">LINE-01112</x:t>
        </x:is>
      </x:c>
      <x:c r="B1102" s="4" t="inlineStr">
        <x:is>
          <x:t xml:space="preserve">ORD-2025-0691</x:t>
        </x:is>
      </x:c>
      <x:c r="C1102" s="17" t="n">
        <x:v>45986</x:v>
      </x:c>
      <x:c r="D1102" s="4" t="inlineStr">
        <x:is>
          <x:t xml:space="preserve">CUS-0078</x:t>
        </x:is>
      </x:c>
      <x:c r="E1102" s="4" t="inlineStr">
        <x:is>
          <x:t xml:space="preserve">External SSD</x:t>
        </x:is>
      </x:c>
      <x:c r="F1102" s="4" t="inlineStr">
        <x:is>
          <x:t xml:space="preserve">Storage</x:t>
        </x:is>
      </x:c>
      <x:c r="G1102" s="4" t="inlineStr">
        <x:is>
          <x:t xml:space="preserve">Boston</x:t>
        </x:is>
      </x:c>
      <x:c r="H1102" s="18" t="n">
        <x:v>1</x:v>
      </x:c>
      <x:c r="I1102" s="19" t="n">
        <x:v>146.26</x:v>
      </x:c>
      <x:c r="J1102" s="20" t="n">
        <x:v>0.1</x:v>
      </x:c>
      <x:c r="K1102" s="4" t="inlineStr">
        <x:is>
          <x:t xml:space="preserve">Credit Card</x:t>
        </x:is>
      </x:c>
      <x:c r="L1102" s="19" t="n">
        <x:v>146.26</x:v>
      </x:c>
      <x:c r="M1102" s="19" t="n">
        <x:v>14.63</x:v>
      </x:c>
      <x:c r="N1102" s="19" t="n">
        <x:v>131.63</x:v>
      </x:c>
      <x:c r="O1102" s="4" t="n">
        <x:f>YEAR(C1102)</x:f>
        <x:v>2025</x:v>
      </x:c>
      <x:c r="P1102" s="4" t="str">
        <x:f>TEXT(C1102,"yyyy-mm")</x:f>
        <x:v>2025-11</x:v>
      </x:c>
      <x:c r="Q1102" s="4" t="str">
        <x:f>TEXT(C1102,"mmmm")</x:f>
        <x:v>November</x:v>
      </x:c>
    </x:row>
    <x:row r="1103" ht="20" customHeight="1">
      <x:c r="A1103" s="4" t="inlineStr">
        <x:is>
          <x:t xml:space="preserve">LINE-01113</x:t>
        </x:is>
      </x:c>
      <x:c r="B1103" s="4" t="inlineStr">
        <x:is>
          <x:t xml:space="preserve">ORD-2025-0692</x:t>
        </x:is>
      </x:c>
      <x:c r="C1103" s="17" t="n">
        <x:v>45928</x:v>
      </x:c>
      <x:c r="D1103" s="4" t="inlineStr">
        <x:is>
          <x:t xml:space="preserve">CUS-0313</x:t>
        </x:is>
      </x:c>
      <x:c r="E1103" s="4" t="inlineStr">
        <x:is>
          <x:t xml:space="preserve">Wireless Mouse</x:t>
        </x:is>
      </x:c>
      <x:c r="F1103" s="4" t="inlineStr">
        <x:is>
          <x:t xml:space="preserve">Accessories</x:t>
        </x:is>
      </x:c>
      <x:c r="G1103" s="4" t="inlineStr">
        <x:is>
          <x:t xml:space="preserve">Chicago</x:t>
        </x:is>
      </x:c>
      <x:c r="H1103" s="18" t="n">
        <x:v>4</x:v>
      </x:c>
      <x:c r="I1103" s="19" t="n">
        <x:v>45.9</x:v>
      </x:c>
      <x:c r="J1103" s="20" t="n">
        <x:v>0.05</x:v>
      </x:c>
      <x:c r="K1103" s="4" t="inlineStr">
        <x:is>
          <x:t xml:space="preserve">Bank Transfer</x:t>
        </x:is>
      </x:c>
      <x:c r="L1103" s="19" t="n">
        <x:v>183.6</x:v>
      </x:c>
      <x:c r="M1103" s="19" t="n">
        <x:v>9.18</x:v>
      </x:c>
      <x:c r="N1103" s="19" t="n">
        <x:v>174.42</x:v>
      </x:c>
      <x:c r="O1103" s="4" t="n">
        <x:f>YEAR(C1103)</x:f>
        <x:v>2025</x:v>
      </x:c>
      <x:c r="P1103" s="4" t="str">
        <x:f>TEXT(C1103,"yyyy-mm")</x:f>
        <x:v>2025-09</x:v>
      </x:c>
      <x:c r="Q1103" s="4" t="str">
        <x:f>TEXT(C1103,"mmmm")</x:f>
        <x:v>September</x:v>
      </x:c>
    </x:row>
    <x:row r="1104" ht="20" customHeight="1">
      <x:c r="A1104" s="4" t="inlineStr">
        <x:is>
          <x:t xml:space="preserve">LINE-01114</x:t>
        </x:is>
      </x:c>
      <x:c r="B1104" s="4" t="inlineStr">
        <x:is>
          <x:t xml:space="preserve">ORD-2025-0693</x:t>
        </x:is>
      </x:c>
      <x:c r="C1104" s="17" t="n">
        <x:v>45884</x:v>
      </x:c>
      <x:c r="D1104" s="4" t="inlineStr">
        <x:is>
          <x:t xml:space="preserve">CUS-0177</x:t>
        </x:is>
      </x:c>
      <x:c r="E1104" s="4" t="inlineStr">
        <x:is>
          <x:t xml:space="preserve">USB-C Hub</x:t>
        </x:is>
      </x:c>
      <x:c r="F1104" s="4" t="inlineStr">
        <x:is>
          <x:t xml:space="preserve">Accessories</x:t>
        </x:is>
      </x:c>
      <x:c r="G1104" s="4" t="inlineStr">
        <x:is>
          <x:t xml:space="preserve">San Francisco</x:t>
        </x:is>
      </x:c>
      <x:c r="H1104" s="18" t="n">
        <x:v>1</x:v>
      </x:c>
      <x:c r="I1104" s="19" t="n">
        <x:v>63.28</x:v>
      </x:c>
      <x:c r="J1104" s="20" t="n">
        <x:v>0.1</x:v>
      </x:c>
      <x:c r="K1104" s="4" t="inlineStr">
        <x:is>
          <x:t xml:space="preserve">Bank Transfer</x:t>
        </x:is>
      </x:c>
      <x:c r="L1104" s="19" t="n">
        <x:v>63.28</x:v>
      </x:c>
      <x:c r="M1104" s="19" t="n">
        <x:v>6.33</x:v>
      </x:c>
      <x:c r="N1104" s="19" t="n">
        <x:v>56.95</x:v>
      </x:c>
      <x:c r="O1104" s="4" t="n">
        <x:f>YEAR(C1104)</x:f>
        <x:v>2025</x:v>
      </x:c>
      <x:c r="P1104" s="4" t="str">
        <x:f>TEXT(C1104,"yyyy-mm")</x:f>
        <x:v>2025-08</x:v>
      </x:c>
      <x:c r="Q1104" s="4" t="str">
        <x:f>TEXT(C1104,"mmmm")</x:f>
        <x:v>August</x:v>
      </x:c>
    </x:row>
    <x:row r="1105" ht="20" customHeight="1">
      <x:c r="A1105" s="4" t="inlineStr">
        <x:is>
          <x:t xml:space="preserve">LINE-01115</x:t>
        </x:is>
      </x:c>
      <x:c r="B1105" s="4" t="inlineStr">
        <x:is>
          <x:t xml:space="preserve">ORD-2025-0693</x:t>
        </x:is>
      </x:c>
      <x:c r="C1105" s="17" t="n">
        <x:v>45884</x:v>
      </x:c>
      <x:c r="D1105" s="4" t="inlineStr">
        <x:is>
          <x:t xml:space="preserve">CUS-0177</x:t>
        </x:is>
      </x:c>
      <x:c r="E1105" s="4" t="inlineStr">
        <x:is>
          <x:t xml:space="preserve">Monitor</x:t>
        </x:is>
      </x:c>
      <x:c r="F1105" s="4" t="inlineStr">
        <x:is>
          <x:t xml:space="preserve">Computers</x:t>
        </x:is>
      </x:c>
      <x:c r="G1105" s="4" t="inlineStr">
        <x:is>
          <x:t xml:space="preserve">San Francisco</x:t>
        </x:is>
      </x:c>
      <x:c r="H1105" s="18" t="n">
        <x:v>3</x:v>
      </x:c>
      <x:c r="I1105" s="19" t="n">
        <x:v>263.25</x:v>
      </x:c>
      <x:c r="J1105" s="20" t="n">
        <x:v>0.2</x:v>
      </x:c>
      <x:c r="K1105" s="4" t="inlineStr">
        <x:is>
          <x:t xml:space="preserve">Bank Transfer</x:t>
        </x:is>
      </x:c>
      <x:c r="L1105" s="19" t="n">
        <x:v>789.75</x:v>
      </x:c>
      <x:c r="M1105" s="19" t="n">
        <x:v>157.95</x:v>
      </x:c>
      <x:c r="N1105" s="19" t="n">
        <x:v>631.8</x:v>
      </x:c>
      <x:c r="O1105" s="4" t="n">
        <x:f>YEAR(C1105)</x:f>
        <x:v>2025</x:v>
      </x:c>
      <x:c r="P1105" s="4" t="str">
        <x:f>TEXT(C1105,"yyyy-mm")</x:f>
        <x:v>2025-08</x:v>
      </x:c>
      <x:c r="Q1105" s="4" t="str">
        <x:f>TEXT(C1105,"mmmm")</x:f>
        <x:v>August</x:v>
      </x:c>
    </x:row>
    <x:row r="1106" ht="20" customHeight="1">
      <x:c r="A1106" s="4" t="inlineStr">
        <x:is>
          <x:t xml:space="preserve">LINE-01116</x:t>
        </x:is>
      </x:c>
      <x:c r="B1106" s="4" t="inlineStr">
        <x:is>
          <x:t xml:space="preserve">ORD-2025-0694</x:t>
        </x:is>
      </x:c>
      <x:c r="C1106" s="17" t="n">
        <x:v>45803</x:v>
      </x:c>
      <x:c r="D1106" s="4" t="inlineStr">
        <x:is>
          <x:t xml:space="preserve">CUS-0110</x:t>
        </x:is>
      </x:c>
      <x:c r="E1106" s="4" t="inlineStr">
        <x:is>
          <x:t xml:space="preserve">Office Chair</x:t>
        </x:is>
      </x:c>
      <x:c r="F1106" s="4" t="inlineStr">
        <x:is>
          <x:t xml:space="preserve">Furniture</x:t>
        </x:is>
      </x:c>
      <x:c r="G1106" s="4" t="inlineStr">
        <x:is>
          <x:t xml:space="preserve">New York</x:t>
        </x:is>
      </x:c>
      <x:c r="H1106" s="18" t="n">
        <x:v>1</x:v>
      </x:c>
      <x:c r="I1106" s="19" t="n">
        <x:v>254.99</x:v>
      </x:c>
      <x:c r="J1106" s="20" t="n">
        <x:v>0.05</x:v>
      </x:c>
      <x:c r="K1106" s="4" t="inlineStr">
        <x:is>
          <x:t xml:space="preserve">PayPal</x:t>
        </x:is>
      </x:c>
      <x:c r="L1106" s="19" t="n">
        <x:v>254.99</x:v>
      </x:c>
      <x:c r="M1106" s="19" t="n">
        <x:v>12.75</x:v>
      </x:c>
      <x:c r="N1106" s="19" t="n">
        <x:v>242.24</x:v>
      </x:c>
      <x:c r="O1106" s="4" t="n">
        <x:f>YEAR(C1106)</x:f>
        <x:v>2025</x:v>
      </x:c>
      <x:c r="P1106" s="4" t="str">
        <x:f>TEXT(C1106,"yyyy-mm")</x:f>
        <x:v>2025-05</x:v>
      </x:c>
      <x:c r="Q1106" s="4" t="str">
        <x:f>TEXT(C1106,"mmmm")</x:f>
        <x:v>May</x:v>
      </x:c>
    </x:row>
    <x:row r="1107" ht="20" customHeight="1">
      <x:c r="A1107" s="4" t="inlineStr">
        <x:is>
          <x:t xml:space="preserve">LINE-01117</x:t>
        </x:is>
      </x:c>
      <x:c r="B1107" s="4" t="inlineStr">
        <x:is>
          <x:t xml:space="preserve">ORD-2025-0694</x:t>
        </x:is>
      </x:c>
      <x:c r="C1107" s="17" t="n">
        <x:v>45803</x:v>
      </x:c>
      <x:c r="D1107" s="4" t="inlineStr">
        <x:is>
          <x:t xml:space="preserve">CUS-0110</x:t>
        </x:is>
      </x:c>
      <x:c r="E1107" s="4" t="inlineStr">
        <x:is>
          <x:t xml:space="preserve">Keyboard</x:t>
        </x:is>
      </x:c>
      <x:c r="F1107" s="4" t="inlineStr">
        <x:is>
          <x:t xml:space="preserve">Accessories</x:t>
        </x:is>
      </x:c>
      <x:c r="G1107" s="4" t="inlineStr">
        <x:is>
          <x:t xml:space="preserve">New York</x:t>
        </x:is>
      </x:c>
      <x:c r="H1107" s="18" t="n">
        <x:v>1</x:v>
      </x:c>
      <x:c r="I1107" s="19" t="n">
        <x:v>78.98999999999999</x:v>
      </x:c>
      <x:c r="J1107" s="20" t="n">
        <x:v>0</x:v>
      </x:c>
      <x:c r="K1107" s="4" t="inlineStr">
        <x:is>
          <x:t xml:space="preserve">PayPal</x:t>
        </x:is>
      </x:c>
      <x:c r="L1107" s="19" t="n">
        <x:v>78.98999999999999</x:v>
      </x:c>
      <x:c r="M1107" s="19" t="n">
        <x:v>0</x:v>
      </x:c>
      <x:c r="N1107" s="19" t="n">
        <x:v>78.98999999999999</x:v>
      </x:c>
      <x:c r="O1107" s="4" t="n">
        <x:f>YEAR(C1107)</x:f>
        <x:v>2025</x:v>
      </x:c>
      <x:c r="P1107" s="4" t="str">
        <x:f>TEXT(C1107,"yyyy-mm")</x:f>
        <x:v>2025-05</x:v>
      </x:c>
      <x:c r="Q1107" s="4" t="str">
        <x:f>TEXT(C1107,"mmmm")</x:f>
        <x:v>May</x:v>
      </x:c>
    </x:row>
    <x:row r="1108" ht="20" customHeight="1">
      <x:c r="A1108" s="4" t="inlineStr">
        <x:is>
          <x:t xml:space="preserve">LINE-01118</x:t>
        </x:is>
      </x:c>
      <x:c r="B1108" s="4" t="inlineStr">
        <x:is>
          <x:t xml:space="preserve">ORD-2025-0695</x:t>
        </x:is>
      </x:c>
      <x:c r="C1108" s="17" t="n">
        <x:v>45874</x:v>
      </x:c>
      <x:c r="D1108" s="4" t="inlineStr">
        <x:is>
          <x:t xml:space="preserve">CUS-0259</x:t>
        </x:is>
      </x:c>
      <x:c r="E1108" s="4" t="inlineStr">
        <x:is>
          <x:t xml:space="preserve">USB-C Hub</x:t>
        </x:is>
      </x:c>
      <x:c r="F1108" s="4" t="inlineStr">
        <x:is>
          <x:t xml:space="preserve">Accessories</x:t>
        </x:is>
      </x:c>
      <x:c r="G1108" s="4" t="inlineStr">
        <x:is>
          <x:t xml:space="preserve">New York</x:t>
        </x:is>
      </x:c>
      <x:c r="H1108" s="18" t="n">
        <x:v>2</x:v>
      </x:c>
      <x:c r="I1108" s="19" t="n">
        <x:v>61.09</x:v>
      </x:c>
      <x:c r="J1108" s="20" t="n">
        <x:v>0.1</x:v>
      </x:c>
      <x:c r="K1108" s="4" t="inlineStr">
        <x:is>
          <x:t xml:space="preserve">Credit Card</x:t>
        </x:is>
      </x:c>
      <x:c r="L1108" s="19" t="n">
        <x:v>122.18</x:v>
      </x:c>
      <x:c r="M1108" s="19" t="n">
        <x:v>12.22</x:v>
      </x:c>
      <x:c r="N1108" s="19" t="n">
        <x:v>109.96</x:v>
      </x:c>
      <x:c r="O1108" s="4" t="n">
        <x:f>YEAR(C1108)</x:f>
        <x:v>2025</x:v>
      </x:c>
      <x:c r="P1108" s="4" t="str">
        <x:f>TEXT(C1108,"yyyy-mm")</x:f>
        <x:v>2025-08</x:v>
      </x:c>
      <x:c r="Q1108" s="4" t="str">
        <x:f>TEXT(C1108,"mmmm")</x:f>
        <x:v>August</x:v>
      </x:c>
    </x:row>
    <x:row r="1109" ht="20" customHeight="1">
      <x:c r="A1109" s="4" t="inlineStr">
        <x:is>
          <x:t xml:space="preserve">LINE-01119</x:t>
        </x:is>
      </x:c>
      <x:c r="B1109" s="4" t="inlineStr">
        <x:is>
          <x:t xml:space="preserve">ORD-2025-0695</x:t>
        </x:is>
      </x:c>
      <x:c r="C1109" s="17" t="n">
        <x:v>45874</x:v>
      </x:c>
      <x:c r="D1109" s="4" t="inlineStr">
        <x:is>
          <x:t xml:space="preserve">CUS-0259</x:t>
        </x:is>
      </x:c>
      <x:c r="E1109" s="4" t="inlineStr">
        <x:is>
          <x:t xml:space="preserve">Office Chair</x:t>
        </x:is>
      </x:c>
      <x:c r="F1109" s="4" t="inlineStr">
        <x:is>
          <x:t xml:space="preserve">Furniture</x:t>
        </x:is>
      </x:c>
      <x:c r="G1109" s="4" t="inlineStr">
        <x:is>
          <x:t xml:space="preserve">New York</x:t>
        </x:is>
      </x:c>
      <x:c r="H1109" s="18" t="n">
        <x:v>4</x:v>
      </x:c>
      <x:c r="I1109" s="19" t="n">
        <x:v>238.03</x:v>
      </x:c>
      <x:c r="J1109" s="20" t="n">
        <x:v>0.05</x:v>
      </x:c>
      <x:c r="K1109" s="4" t="inlineStr">
        <x:is>
          <x:t xml:space="preserve">Credit Card</x:t>
        </x:is>
      </x:c>
      <x:c r="L1109" s="19" t="n">
        <x:v>952.12</x:v>
      </x:c>
      <x:c r="M1109" s="19" t="n">
        <x:v>47.61</x:v>
      </x:c>
      <x:c r="N1109" s="19" t="n">
        <x:v>904.51</x:v>
      </x:c>
      <x:c r="O1109" s="4" t="n">
        <x:f>YEAR(C1109)</x:f>
        <x:v>2025</x:v>
      </x:c>
      <x:c r="P1109" s="4" t="str">
        <x:f>TEXT(C1109,"yyyy-mm")</x:f>
        <x:v>2025-08</x:v>
      </x:c>
      <x:c r="Q1109" s="4" t="str">
        <x:f>TEXT(C1109,"mmmm")</x:f>
        <x:v>August</x:v>
      </x:c>
    </x:row>
    <x:row r="1110" ht="20" customHeight="1">
      <x:c r="A1110" s="4" t="inlineStr">
        <x:is>
          <x:t xml:space="preserve">LINE-01120</x:t>
        </x:is>
      </x:c>
      <x:c r="B1110" s="4" t="inlineStr">
        <x:is>
          <x:t xml:space="preserve">ORD-2025-0696</x:t>
        </x:is>
      </x:c>
      <x:c r="C1110" s="17" t="n">
        <x:v>45660</x:v>
      </x:c>
      <x:c r="D1110" s="4" t="inlineStr">
        <x:is>
          <x:t xml:space="preserve">CUS-0233</x:t>
        </x:is>
      </x:c>
      <x:c r="E1110" s="4" t="inlineStr">
        <x:is>
          <x:t xml:space="preserve">USB Flash Drive</x:t>
        </x:is>
      </x:c>
      <x:c r="F1110" s="4" t="inlineStr">
        <x:is>
          <x:t xml:space="preserve">Storage</x:t>
        </x:is>
      </x:c>
      <x:c r="G1110" s="4" t="inlineStr">
        <x:is>
          <x:t xml:space="preserve">Austin</x:t>
        </x:is>
      </x:c>
      <x:c r="H1110" s="18" t="n">
        <x:v>3</x:v>
      </x:c>
      <x:c r="I1110" s="19" t="n">
        <x:v>32.1</x:v>
      </x:c>
      <x:c r="J1110" s="20" t="n">
        <x:v>0.05</x:v>
      </x:c>
      <x:c r="K1110" s="4" t="inlineStr">
        <x:is>
          <x:t xml:space="preserve">Debit Card</x:t>
        </x:is>
      </x:c>
      <x:c r="L1110" s="19" t="n">
        <x:v>96.3</x:v>
      </x:c>
      <x:c r="M1110" s="19" t="n">
        <x:v>4.82</x:v>
      </x:c>
      <x:c r="N1110" s="19" t="n">
        <x:v>91.48</x:v>
      </x:c>
      <x:c r="O1110" s="4" t="n">
        <x:f>YEAR(C1110)</x:f>
        <x:v>2025</x:v>
      </x:c>
      <x:c r="P1110" s="4" t="str">
        <x:f>TEXT(C1110,"yyyy-mm")</x:f>
        <x:v>2025-01</x:v>
      </x:c>
      <x:c r="Q1110" s="4" t="str">
        <x:f>TEXT(C1110,"mmmm")</x:f>
        <x:v>January</x:v>
      </x:c>
    </x:row>
    <x:row r="1111" ht="20" customHeight="1">
      <x:c r="A1111" s="4" t="inlineStr">
        <x:is>
          <x:t xml:space="preserve">LINE-01121</x:t>
        </x:is>
      </x:c>
      <x:c r="B1111" s="4" t="inlineStr">
        <x:is>
          <x:t xml:space="preserve">ORD-2025-0696</x:t>
        </x:is>
      </x:c>
      <x:c r="C1111" s="17" t="n">
        <x:v>45660</x:v>
      </x:c>
      <x:c r="D1111" s="4" t="inlineStr">
        <x:is>
          <x:t xml:space="preserve">CUS-0233</x:t>
        </x:is>
      </x:c>
      <x:c r="E1111" s="4" t="inlineStr">
        <x:is>
          <x:t xml:space="preserve">Desk Lamp</x:t>
        </x:is>
      </x:c>
      <x:c r="F1111" s="4" t="inlineStr">
        <x:is>
          <x:t xml:space="preserve">Furniture</x:t>
        </x:is>
      </x:c>
      <x:c r="G1111" s="4" t="inlineStr">
        <x:is>
          <x:t xml:space="preserve">Austin</x:t>
        </x:is>
      </x:c>
      <x:c r="H1111" s="18" t="n">
        <x:v>3</x:v>
      </x:c>
      <x:c r="I1111" s="19" t="n">
        <x:v>52.66</x:v>
      </x:c>
      <x:c r="J1111" s="20" t="n">
        <x:v>0</x:v>
      </x:c>
      <x:c r="K1111" s="4" t="inlineStr">
        <x:is>
          <x:t xml:space="preserve">Debit Card</x:t>
        </x:is>
      </x:c>
      <x:c r="L1111" s="19" t="n">
        <x:v>157.98</x:v>
      </x:c>
      <x:c r="M1111" s="19" t="n">
        <x:v>0</x:v>
      </x:c>
      <x:c r="N1111" s="19" t="n">
        <x:v>157.98</x:v>
      </x:c>
      <x:c r="O1111" s="4" t="n">
        <x:f>YEAR(C1111)</x:f>
        <x:v>2025</x:v>
      </x:c>
      <x:c r="P1111" s="4" t="str">
        <x:f>TEXT(C1111,"yyyy-mm")</x:f>
        <x:v>2025-01</x:v>
      </x:c>
      <x:c r="Q1111" s="4" t="str">
        <x:f>TEXT(C1111,"mmmm")</x:f>
        <x:v>January</x:v>
      </x:c>
    </x:row>
    <x:row r="1112" ht="20" customHeight="1">
      <x:c r="A1112" s="4" t="inlineStr">
        <x:is>
          <x:t xml:space="preserve">LINE-01122</x:t>
        </x:is>
      </x:c>
      <x:c r="B1112" s="4" t="inlineStr">
        <x:is>
          <x:t xml:space="preserve">ORD-2025-0697</x:t>
        </x:is>
      </x:c>
      <x:c r="C1112" s="17" t="n">
        <x:v>45999</x:v>
      </x:c>
      <x:c r="D1112" s="4" t="inlineStr">
        <x:is>
          <x:t xml:space="preserve">CUS-0294</x:t>
        </x:is>
      </x:c>
      <x:c r="E1112" s="4" t="inlineStr">
        <x:is>
          <x:t xml:space="preserve">External SSD</x:t>
        </x:is>
      </x:c>
      <x:c r="F1112" s="4" t="inlineStr">
        <x:is>
          <x:t xml:space="preserve">Storage</x:t>
        </x:is>
      </x:c>
      <x:c r="G1112" s="4" t="inlineStr">
        <x:is>
          <x:t xml:space="preserve">San Francisco</x:t>
        </x:is>
      </x:c>
      <x:c r="H1112" s="18" t="n">
        <x:v>1</x:v>
      </x:c>
      <x:c r="I1112" s="19" t="n">
        <x:v>150.39</x:v>
      </x:c>
      <x:c r="J1112" s="20" t="n">
        <x:v>0</x:v>
      </x:c>
      <x:c r="K1112" s="4" t="inlineStr">
        <x:is>
          <x:t xml:space="preserve">Debit Card</x:t>
        </x:is>
      </x:c>
      <x:c r="L1112" s="19" t="n">
        <x:v>150.39</x:v>
      </x:c>
      <x:c r="M1112" s="19" t="n">
        <x:v>0</x:v>
      </x:c>
      <x:c r="N1112" s="19" t="n">
        <x:v>150.39</x:v>
      </x:c>
      <x:c r="O1112" s="4" t="n">
        <x:f>YEAR(C1112)</x:f>
        <x:v>2025</x:v>
      </x:c>
      <x:c r="P1112" s="4" t="str">
        <x:f>TEXT(C1112,"yyyy-mm")</x:f>
        <x:v>2025-12</x:v>
      </x:c>
      <x:c r="Q1112" s="4" t="str">
        <x:f>TEXT(C1112,"mmmm")</x:f>
        <x:v>December</x:v>
      </x:c>
    </x:row>
    <x:row r="1113" ht="20" customHeight="1">
      <x:c r="A1113" s="4" t="inlineStr">
        <x:is>
          <x:t xml:space="preserve">LINE-01123</x:t>
        </x:is>
      </x:c>
      <x:c r="B1113" s="4" t="inlineStr">
        <x:is>
          <x:t xml:space="preserve">ORD-2025-0697</x:t>
        </x:is>
      </x:c>
      <x:c r="C1113" s="17" t="n">
        <x:v>45999</x:v>
      </x:c>
      <x:c r="D1113" s="4" t="inlineStr">
        <x:is>
          <x:t xml:space="preserve">CUS-0294</x:t>
        </x:is>
      </x:c>
      <x:c r="E1113" s="4" t="inlineStr">
        <x:is>
          <x:t xml:space="preserve">Wireless Mouse</x:t>
        </x:is>
      </x:c>
      <x:c r="F1113" s="4" t="inlineStr">
        <x:is>
          <x:t xml:space="preserve">Accessories</x:t>
        </x:is>
      </x:c>
      <x:c r="G1113" s="4" t="inlineStr">
        <x:is>
          <x:t xml:space="preserve">San Francisco</x:t>
        </x:is>
      </x:c>
      <x:c r="H1113" s="18" t="n">
        <x:v>3</x:v>
      </x:c>
      <x:c r="I1113" s="19" t="n">
        <x:v>44.67</x:v>
      </x:c>
      <x:c r="J1113" s="20" t="n">
        <x:v>0</x:v>
      </x:c>
      <x:c r="K1113" s="4" t="inlineStr">
        <x:is>
          <x:t xml:space="preserve">Debit Card</x:t>
        </x:is>
      </x:c>
      <x:c r="L1113" s="19" t="n">
        <x:v>134.01</x:v>
      </x:c>
      <x:c r="M1113" s="19" t="n">
        <x:v>0</x:v>
      </x:c>
      <x:c r="N1113" s="19" t="n">
        <x:v>134.01</x:v>
      </x:c>
      <x:c r="O1113" s="4" t="n">
        <x:f>YEAR(C1113)</x:f>
        <x:v>2025</x:v>
      </x:c>
      <x:c r="P1113" s="4" t="str">
        <x:f>TEXT(C1113,"yyyy-mm")</x:f>
        <x:v>2025-12</x:v>
      </x:c>
      <x:c r="Q1113" s="4" t="str">
        <x:f>TEXT(C1113,"mmmm")</x:f>
        <x:v>December</x:v>
      </x:c>
    </x:row>
    <x:row r="1114" ht="20" customHeight="1">
      <x:c r="A1114" s="4" t="inlineStr">
        <x:is>
          <x:t xml:space="preserve">LINE-01124</x:t>
        </x:is>
      </x:c>
      <x:c r="B1114" s="4" t="inlineStr">
        <x:is>
          <x:t xml:space="preserve">ORD-2025-0698</x:t>
        </x:is>
      </x:c>
      <x:c r="C1114" s="17" t="n">
        <x:v>45875</x:v>
      </x:c>
      <x:c r="D1114" s="4" t="inlineStr">
        <x:is>
          <x:t xml:space="preserve">CUS-0211</x:t>
        </x:is>
      </x:c>
      <x:c r="E1114" s="4" t="inlineStr">
        <x:is>
          <x:t xml:space="preserve">Keyboard</x:t>
        </x:is>
      </x:c>
      <x:c r="F1114" s="4" t="inlineStr">
        <x:is>
          <x:t xml:space="preserve">Accessories</x:t>
        </x:is>
      </x:c>
      <x:c r="G1114" s="4" t="inlineStr">
        <x:is>
          <x:t xml:space="preserve">New York</x:t>
        </x:is>
      </x:c>
      <x:c r="H1114" s="18" t="n">
        <x:v>2</x:v>
      </x:c>
      <x:c r="I1114" s="19" t="n">
        <x:v>74.34999999999999</x:v>
      </x:c>
      <x:c r="J1114" s="20" t="n">
        <x:v>0</x:v>
      </x:c>
      <x:c r="K1114" s="4" t="inlineStr">
        <x:is>
          <x:t xml:space="preserve">Credit Card</x:t>
        </x:is>
      </x:c>
      <x:c r="L1114" s="19" t="n">
        <x:v>148.7</x:v>
      </x:c>
      <x:c r="M1114" s="19" t="n">
        <x:v>0</x:v>
      </x:c>
      <x:c r="N1114" s="19" t="n">
        <x:v>148.7</x:v>
      </x:c>
      <x:c r="O1114" s="4" t="n">
        <x:f>YEAR(C1114)</x:f>
        <x:v>2025</x:v>
      </x:c>
      <x:c r="P1114" s="4" t="str">
        <x:f>TEXT(C1114,"yyyy-mm")</x:f>
        <x:v>2025-08</x:v>
      </x:c>
      <x:c r="Q1114" s="4" t="str">
        <x:f>TEXT(C1114,"mmmm")</x:f>
        <x:v>August</x:v>
      </x:c>
    </x:row>
    <x:row r="1115" ht="20" customHeight="1">
      <x:c r="A1115" s="4" t="inlineStr">
        <x:is>
          <x:t xml:space="preserve">LINE-01125</x:t>
        </x:is>
      </x:c>
      <x:c r="B1115" s="4" t="inlineStr">
        <x:is>
          <x:t xml:space="preserve">ORD-2025-0699</x:t>
        </x:is>
      </x:c>
      <x:c r="C1115" s="17" t="n">
        <x:v>45927</x:v>
      </x:c>
      <x:c r="D1115" s="4" t="inlineStr">
        <x:is>
          <x:t xml:space="preserve">CUS-0207</x:t>
        </x:is>
      </x:c>
      <x:c r="E1115" s="4" t="inlineStr">
        <x:is>
          <x:t xml:space="preserve">USB Flash Drive</x:t>
        </x:is>
      </x:c>
      <x:c r="F1115" s="4" t="inlineStr">
        <x:is>
          <x:t xml:space="preserve">Storage</x:t>
        </x:is>
      </x:c>
      <x:c r="G1115" s="4" t="inlineStr">
        <x:is>
          <x:t xml:space="preserve">Boston</x:t>
        </x:is>
      </x:c>
      <x:c r="H1115" s="18" t="n">
        <x:v>5</x:v>
      </x:c>
      <x:c r="I1115" s="19" t="n">
        <x:v>30.91</x:v>
      </x:c>
      <x:c r="J1115" s="20" t="n">
        <x:v>0.15</x:v>
      </x:c>
      <x:c r="K1115" s="4" t="inlineStr">
        <x:is>
          <x:t xml:space="preserve">Bank Transfer</x:t>
        </x:is>
      </x:c>
      <x:c r="L1115" s="19" t="n">
        <x:v>154.55</x:v>
      </x:c>
      <x:c r="M1115" s="19" t="n">
        <x:v>23.18</x:v>
      </x:c>
      <x:c r="N1115" s="19" t="n">
        <x:v>131.37</x:v>
      </x:c>
      <x:c r="O1115" s="4" t="n">
        <x:f>YEAR(C1115)</x:f>
        <x:v>2025</x:v>
      </x:c>
      <x:c r="P1115" s="4" t="str">
        <x:f>TEXT(C1115,"yyyy-mm")</x:f>
        <x:v>2025-09</x:v>
      </x:c>
      <x:c r="Q1115" s="4" t="str">
        <x:f>TEXT(C1115,"mmmm")</x:f>
        <x:v>September</x:v>
      </x:c>
    </x:row>
    <x:row r="1116" ht="20" customHeight="1">
      <x:c r="A1116" s="4" t="inlineStr">
        <x:is>
          <x:t xml:space="preserve">LINE-01127</x:t>
        </x:is>
      </x:c>
      <x:c r="B1116" s="4" t="inlineStr">
        <x:is>
          <x:t xml:space="preserve">ORD-2025-0699</x:t>
        </x:is>
      </x:c>
      <x:c r="C1116" s="17" t="n">
        <x:v>45927</x:v>
      </x:c>
      <x:c r="D1116" s="4" t="inlineStr">
        <x:is>
          <x:t xml:space="preserve">CUS-0207</x:t>
        </x:is>
      </x:c>
      <x:c r="E1116" s="4" t="inlineStr">
        <x:is>
          <x:t xml:space="preserve">Headphones</x:t>
        </x:is>
      </x:c>
      <x:c r="F1116" s="4" t="inlineStr">
        <x:is>
          <x:t xml:space="preserve">Audio</x:t>
        </x:is>
      </x:c>
      <x:c r="G1116" s="4" t="inlineStr">
        <x:is>
          <x:t xml:space="preserve">Boston</x:t>
        </x:is>
      </x:c>
      <x:c r="H1116" s="18" t="n">
        <x:v>2</x:v>
      </x:c>
      <x:c r="I1116" s="19" t="n">
        <x:v>129.68</x:v>
      </x:c>
      <x:c r="J1116" s="20" t="n">
        <x:v>0.05</x:v>
      </x:c>
      <x:c r="K1116" s="4" t="inlineStr">
        <x:is>
          <x:t xml:space="preserve">Bank Transfer</x:t>
        </x:is>
      </x:c>
      <x:c r="L1116" s="19" t="n">
        <x:v>259.36</x:v>
      </x:c>
      <x:c r="M1116" s="19" t="n">
        <x:v>12.97</x:v>
      </x:c>
      <x:c r="N1116" s="19" t="n">
        <x:v>246.39</x:v>
      </x:c>
      <x:c r="O1116" s="4" t="n">
        <x:f>YEAR(C1116)</x:f>
        <x:v>2025</x:v>
      </x:c>
      <x:c r="P1116" s="4" t="str">
        <x:f>TEXT(C1116,"yyyy-mm")</x:f>
        <x:v>2025-09</x:v>
      </x:c>
      <x:c r="Q1116" s="4" t="str">
        <x:f>TEXT(C1116,"mmmm")</x:f>
        <x:v>September</x:v>
      </x:c>
    </x:row>
    <x:row r="1117" ht="20" customHeight="1">
      <x:c r="A1117" s="4" t="inlineStr">
        <x:is>
          <x:t xml:space="preserve">LINE-01128</x:t>
        </x:is>
      </x:c>
      <x:c r="B1117" s="4" t="inlineStr">
        <x:is>
          <x:t xml:space="preserve">ORD-2025-0700</x:t>
        </x:is>
      </x:c>
      <x:c r="C1117" s="17" t="n">
        <x:v>46018</x:v>
      </x:c>
      <x:c r="D1117" s="4" t="inlineStr">
        <x:is>
          <x:t xml:space="preserve">CUS-0263</x:t>
        </x:is>
      </x:c>
      <x:c r="E1117" s="4" t="inlineStr">
        <x:is>
          <x:t xml:space="preserve">Bluetooth Speaker</x:t>
        </x:is>
      </x:c>
      <x:c r="F1117" s="4" t="inlineStr">
        <x:is>
          <x:t xml:space="preserve">Audio</x:t>
        </x:is>
      </x:c>
      <x:c r="G1117" s="4" t="inlineStr">
        <x:is>
          <x:t xml:space="preserve">Boston</x:t>
        </x:is>
      </x:c>
      <x:c r="H1117" s="18" t="n">
        <x:v>1</x:v>
      </x:c>
      <x:c r="I1117" s="19" t="n">
        <x:v>103.96</x:v>
      </x:c>
      <x:c r="J1117" s="20" t="n">
        <x:v>0.05</x:v>
      </x:c>
      <x:c r="K1117" s="4" t="inlineStr">
        <x:is>
          <x:t xml:space="preserve">Credit Card</x:t>
        </x:is>
      </x:c>
      <x:c r="L1117" s="19" t="n">
        <x:v>103.96</x:v>
      </x:c>
      <x:c r="M1117" s="19" t="n">
        <x:v>5.2</x:v>
      </x:c>
      <x:c r="N1117" s="19" t="n">
        <x:v>98.76000000000001</x:v>
      </x:c>
      <x:c r="O1117" s="4" t="n">
        <x:f>YEAR(C1117)</x:f>
        <x:v>2025</x:v>
      </x:c>
      <x:c r="P1117" s="4" t="str">
        <x:f>TEXT(C1117,"yyyy-mm")</x:f>
        <x:v>2025-12</x:v>
      </x:c>
      <x:c r="Q1117" s="4" t="str">
        <x:f>TEXT(C1117,"mmmm")</x:f>
        <x:v>December</x:v>
      </x:c>
    </x:row>
    <x:row r="1118" ht="20" customHeight="1">
      <x:c r="A1118" s="4" t="inlineStr">
        <x:is>
          <x:t xml:space="preserve">LINE-01129</x:t>
        </x:is>
      </x:c>
      <x:c r="B1118" s="4" t="inlineStr">
        <x:is>
          <x:t xml:space="preserve">ORD-2025-0700</x:t>
        </x:is>
      </x:c>
      <x:c r="C1118" s="17" t="n">
        <x:v>46018</x:v>
      </x:c>
      <x:c r="D1118" s="4" t="inlineStr">
        <x:is>
          <x:t xml:space="preserve">CUS-0263</x:t>
        </x:is>
      </x:c>
      <x:c r="E1118" s="4" t="inlineStr">
        <x:is>
          <x:t xml:space="preserve">Desk Lamp</x:t>
        </x:is>
      </x:c>
      <x:c r="F1118" s="4" t="inlineStr">
        <x:is>
          <x:t xml:space="preserve">Furniture</x:t>
        </x:is>
      </x:c>
      <x:c r="G1118" s="4" t="inlineStr">
        <x:is>
          <x:t xml:space="preserve">Boston</x:t>
        </x:is>
      </x:c>
      <x:c r="H1118" s="18" t="n">
        <x:v>4</x:v>
      </x:c>
      <x:c r="I1118" s="19" t="n">
        <x:v>51.65</x:v>
      </x:c>
      <x:c r="J1118" s="20" t="n">
        <x:v>0.1</x:v>
      </x:c>
      <x:c r="K1118" s="4" t="inlineStr">
        <x:is>
          <x:t xml:space="preserve">Credit Card</x:t>
        </x:is>
      </x:c>
      <x:c r="L1118" s="19" t="n">
        <x:v>206.6</x:v>
      </x:c>
      <x:c r="M1118" s="19" t="n">
        <x:v>20.66</x:v>
      </x:c>
      <x:c r="N1118" s="19" t="n">
        <x:v>185.94</x:v>
      </x:c>
      <x:c r="O1118" s="4" t="n">
        <x:f>YEAR(C1118)</x:f>
        <x:v>2025</x:v>
      </x:c>
      <x:c r="P1118" s="4" t="str">
        <x:f>TEXT(C1118,"yyyy-mm")</x:f>
        <x:v>2025-12</x:v>
      </x:c>
      <x:c r="Q1118" s="4" t="str">
        <x:f>TEXT(C1118,"mmmm")</x:f>
        <x:v>December</x:v>
      </x:c>
    </x:row>
    <x:row r="1119" ht="20" customHeight="1">
      <x:c r="A1119" s="4" t="inlineStr">
        <x:is>
          <x:t xml:space="preserve">LINE-01130</x:t>
        </x:is>
      </x:c>
      <x:c r="B1119" s="4" t="inlineStr">
        <x:is>
          <x:t xml:space="preserve">ORD-2025-0701</x:t>
        </x:is>
      </x:c>
      <x:c r="C1119" s="17" t="n">
        <x:v>45714</x:v>
      </x:c>
      <x:c r="D1119" s="4" t="inlineStr">
        <x:is>
          <x:t xml:space="preserve">CUS-0062</x:t>
        </x:is>
      </x:c>
      <x:c r="E1119" s="4" t="inlineStr">
        <x:is>
          <x:t xml:space="preserve">Keyboard</x:t>
        </x:is>
      </x:c>
      <x:c r="F1119" s="4" t="inlineStr">
        <x:is>
          <x:t xml:space="preserve">Accessories</x:t>
        </x:is>
      </x:c>
      <x:c r="G1119" s="4" t="inlineStr">
        <x:is>
          <x:t xml:space="preserve">Austin</x:t>
        </x:is>
      </x:c>
      <x:c r="H1119" s="18" t="n">
        <x:v>1</x:v>
      </x:c>
      <x:c r="I1119" s="19" t="n">
        <x:v>72.66</x:v>
      </x:c>
      <x:c r="J1119" s="20" t="n">
        <x:v>0</x:v>
      </x:c>
      <x:c r="K1119" s="4" t="inlineStr">
        <x:is>
          <x:t xml:space="preserve">PayPal</x:t>
        </x:is>
      </x:c>
      <x:c r="L1119" s="19" t="n">
        <x:v>72.66</x:v>
      </x:c>
      <x:c r="M1119" s="19" t="n">
        <x:v>0</x:v>
      </x:c>
      <x:c r="N1119" s="19" t="n">
        <x:v>72.66</x:v>
      </x:c>
      <x:c r="O1119" s="4" t="n">
        <x:f>YEAR(C1119)</x:f>
        <x:v>2025</x:v>
      </x:c>
      <x:c r="P1119" s="4" t="str">
        <x:f>TEXT(C1119,"yyyy-mm")</x:f>
        <x:v>2025-02</x:v>
      </x:c>
      <x:c r="Q1119" s="4" t="str">
        <x:f>TEXT(C1119,"mmmm")</x:f>
        <x:v>February</x:v>
      </x:c>
    </x:row>
    <x:row r="1120" ht="20" customHeight="1">
      <x:c r="A1120" s="4" t="inlineStr">
        <x:is>
          <x:t xml:space="preserve">LINE-01131</x:t>
        </x:is>
      </x:c>
      <x:c r="B1120" s="4" t="inlineStr">
        <x:is>
          <x:t xml:space="preserve">ORD-2025-0702</x:t>
        </x:is>
      </x:c>
      <x:c r="C1120" s="17" t="n">
        <x:v>45808</x:v>
      </x:c>
      <x:c r="D1120" s="4" t="inlineStr">
        <x:is>
          <x:t xml:space="preserve">CUS-0249</x:t>
        </x:is>
      </x:c>
      <x:c r="E1120" s="4" t="inlineStr">
        <x:is>
          <x:t xml:space="preserve">USB Flash Drive</x:t>
        </x:is>
      </x:c>
      <x:c r="F1120" s="4" t="inlineStr">
        <x:is>
          <x:t xml:space="preserve">Storage</x:t>
        </x:is>
      </x:c>
      <x:c r="G1120" s="4" t="inlineStr">
        <x:is>
          <x:t xml:space="preserve">New York</x:t>
        </x:is>
      </x:c>
      <x:c r="H1120" s="18" t="n">
        <x:v>2</x:v>
      </x:c>
      <x:c r="I1120" s="19" t="n">
        <x:v>32.1</x:v>
      </x:c>
      <x:c r="J1120" s="20" t="n">
        <x:v>0</x:v>
      </x:c>
      <x:c r="K1120" s="4" t="inlineStr">
        <x:is>
          <x:t xml:space="preserve">Debit Card</x:t>
        </x:is>
      </x:c>
      <x:c r="L1120" s="19" t="n">
        <x:v>64.2</x:v>
      </x:c>
      <x:c r="M1120" s="19" t="n">
        <x:v>0</x:v>
      </x:c>
      <x:c r="N1120" s="19" t="n">
        <x:v>64.2</x:v>
      </x:c>
      <x:c r="O1120" s="4" t="n">
        <x:f>YEAR(C1120)</x:f>
        <x:v>2025</x:v>
      </x:c>
      <x:c r="P1120" s="4" t="str">
        <x:f>TEXT(C1120,"yyyy-mm")</x:f>
        <x:v>2025-05</x:v>
      </x:c>
      <x:c r="Q1120" s="4" t="str">
        <x:f>TEXT(C1120,"mmmm")</x:f>
        <x:v>May</x:v>
      </x:c>
    </x:row>
    <x:row r="1121" ht="20" customHeight="1">
      <x:c r="A1121" s="4" t="inlineStr">
        <x:is>
          <x:t xml:space="preserve">LINE-01132</x:t>
        </x:is>
      </x:c>
      <x:c r="B1121" s="4" t="inlineStr">
        <x:is>
          <x:t xml:space="preserve">ORD-2025-0703</x:t>
        </x:is>
      </x:c>
      <x:c r="C1121" s="17" t="n">
        <x:v>45803</x:v>
      </x:c>
      <x:c r="D1121" s="4" t="inlineStr">
        <x:is>
          <x:t xml:space="preserve">CUS-0111</x:t>
        </x:is>
      </x:c>
      <x:c r="E1121" s="4" t="inlineStr">
        <x:is>
          <x:t xml:space="preserve">External SSD</x:t>
        </x:is>
      </x:c>
      <x:c r="F1121" s="4" t="inlineStr">
        <x:is>
          <x:t xml:space="preserve">Storage</x:t>
        </x:is>
      </x:c>
      <x:c r="G1121" s="4" t="inlineStr">
        <x:is>
          <x:t xml:space="preserve">Chicago</x:t>
        </x:is>
      </x:c>
      <x:c r="H1121" s="18" t="n">
        <x:v>1</x:v>
      </x:c>
      <x:c r="I1121" s="19" t="n">
        <x:v>158.89</x:v>
      </x:c>
      <x:c r="J1121" s="20" t="n">
        <x:v>0</x:v>
      </x:c>
      <x:c r="K1121" s="4" t="inlineStr">
        <x:is>
          <x:t xml:space="preserve">Bank Transfer</x:t>
        </x:is>
      </x:c>
      <x:c r="L1121" s="19" t="n">
        <x:v>158.89</x:v>
      </x:c>
      <x:c r="M1121" s="19" t="n">
        <x:v>0</x:v>
      </x:c>
      <x:c r="N1121" s="19" t="n">
        <x:v>158.89</x:v>
      </x:c>
      <x:c r="O1121" s="4" t="n">
        <x:f>YEAR(C1121)</x:f>
        <x:v>2025</x:v>
      </x:c>
      <x:c r="P1121" s="4" t="str">
        <x:f>TEXT(C1121,"yyyy-mm")</x:f>
        <x:v>2025-05</x:v>
      </x:c>
      <x:c r="Q1121" s="4" t="str">
        <x:f>TEXT(C1121,"mmmm")</x:f>
        <x:v>May</x:v>
      </x:c>
    </x:row>
    <x:row r="1122" ht="20" customHeight="1">
      <x:c r="A1122" s="4" t="inlineStr">
        <x:is>
          <x:t xml:space="preserve">LINE-01133</x:t>
        </x:is>
      </x:c>
      <x:c r="B1122" s="4" t="inlineStr">
        <x:is>
          <x:t xml:space="preserve">ORD-2025-0704</x:t>
        </x:is>
      </x:c>
      <x:c r="C1122" s="17" t="n">
        <x:v>45951</x:v>
      </x:c>
      <x:c r="D1122" s="4" t="inlineStr">
        <x:is>
          <x:t xml:space="preserve">CUS-0159</x:t>
        </x:is>
      </x:c>
      <x:c r="E1122" s="4" t="inlineStr">
        <x:is>
          <x:t xml:space="preserve">Headphones</x:t>
        </x:is>
      </x:c>
      <x:c r="F1122" s="4" t="inlineStr">
        <x:is>
          <x:t xml:space="preserve">Audio</x:t>
        </x:is>
      </x:c>
      <x:c r="G1122" s="4" t="inlineStr">
        <x:is>
          <x:t xml:space="preserve">Boston</x:t>
        </x:is>
      </x:c>
      <x:c r="H1122" s="18" t="n">
        <x:v>1</x:v>
      </x:c>
      <x:c r="I1122" s="19" t="n">
        <x:v>122.48</x:v>
      </x:c>
      <x:c r="J1122" s="20" t="n">
        <x:v>0.05</x:v>
      </x:c>
      <x:c r="K1122" s="4" t="inlineStr">
        <x:is>
          <x:t xml:space="preserve">Bank Transfer</x:t>
        </x:is>
      </x:c>
      <x:c r="L1122" s="19" t="n">
        <x:v>122.48</x:v>
      </x:c>
      <x:c r="M1122" s="19" t="n">
        <x:v>6.12</x:v>
      </x:c>
      <x:c r="N1122" s="19" t="n">
        <x:v>116.36</x:v>
      </x:c>
      <x:c r="O1122" s="4" t="n">
        <x:f>YEAR(C1122)</x:f>
        <x:v>2025</x:v>
      </x:c>
      <x:c r="P1122" s="4" t="str">
        <x:f>TEXT(C1122,"yyyy-mm")</x:f>
        <x:v>2025-10</x:v>
      </x:c>
      <x:c r="Q1122" s="4" t="str">
        <x:f>TEXT(C1122,"mmmm")</x:f>
        <x:v>October</x:v>
      </x:c>
    </x:row>
    <x:row r="1123" ht="20" customHeight="1">
      <x:c r="A1123" s="4" t="inlineStr">
        <x:is>
          <x:t xml:space="preserve">LINE-01134</x:t>
        </x:is>
      </x:c>
      <x:c r="B1123" s="4" t="inlineStr">
        <x:is>
          <x:t xml:space="preserve">ORD-2025-0704</x:t>
        </x:is>
      </x:c>
      <x:c r="C1123" s="17" t="n">
        <x:v>45951</x:v>
      </x:c>
      <x:c r="D1123" s="4" t="inlineStr">
        <x:is>
          <x:t xml:space="preserve">CUS-0159</x:t>
        </x:is>
      </x:c>
      <x:c r="E1123" s="4" t="inlineStr">
        <x:is>
          <x:t xml:space="preserve">Bluetooth Speaker</x:t>
        </x:is>
      </x:c>
      <x:c r="F1123" s="4" t="inlineStr">
        <x:is>
          <x:t xml:space="preserve">Audio</x:t>
        </x:is>
      </x:c>
      <x:c r="G1123" s="4" t="inlineStr">
        <x:is>
          <x:t xml:space="preserve">Boston</x:t>
        </x:is>
      </x:c>
      <x:c r="H1123" s="18" t="n">
        <x:v>3</x:v>
      </x:c>
      <x:c r="I1123" s="19" t="n">
        <x:v>112.94</x:v>
      </x:c>
      <x:c r="J1123" s="20" t="n">
        <x:v>0</x:v>
      </x:c>
      <x:c r="K1123" s="4" t="inlineStr">
        <x:is>
          <x:t xml:space="preserve">Bank Transfer</x:t>
        </x:is>
      </x:c>
      <x:c r="L1123" s="19" t="n">
        <x:v>338.82</x:v>
      </x:c>
      <x:c r="M1123" s="19" t="n">
        <x:v>0</x:v>
      </x:c>
      <x:c r="N1123" s="19" t="n">
        <x:v>338.82</x:v>
      </x:c>
      <x:c r="O1123" s="4" t="n">
        <x:f>YEAR(C1123)</x:f>
        <x:v>2025</x:v>
      </x:c>
      <x:c r="P1123" s="4" t="str">
        <x:f>TEXT(C1123,"yyyy-mm")</x:f>
        <x:v>2025-10</x:v>
      </x:c>
      <x:c r="Q1123" s="4" t="str">
        <x:f>TEXT(C1123,"mmmm")</x:f>
        <x:v>October</x:v>
      </x:c>
    </x:row>
    <x:row r="1124" ht="20" customHeight="1">
      <x:c r="A1124" s="4" t="inlineStr">
        <x:is>
          <x:t xml:space="preserve">LINE-01135</x:t>
        </x:is>
      </x:c>
      <x:c r="B1124" s="4" t="inlineStr">
        <x:is>
          <x:t xml:space="preserve">ORD-2025-0704</x:t>
        </x:is>
      </x:c>
      <x:c r="C1124" s="17" t="n">
        <x:v>45951</x:v>
      </x:c>
      <x:c r="D1124" s="4" t="inlineStr">
        <x:is>
          <x:t xml:space="preserve">CUS-0159</x:t>
        </x:is>
      </x:c>
      <x:c r="E1124" s="4" t="inlineStr">
        <x:is>
          <x:t xml:space="preserve">USB Flash Drive</x:t>
        </x:is>
      </x:c>
      <x:c r="F1124" s="4" t="inlineStr">
        <x:is>
          <x:t xml:space="preserve">Storage</x:t>
        </x:is>
      </x:c>
      <x:c r="G1124" s="4" t="inlineStr">
        <x:is>
          <x:t xml:space="preserve">Boston</x:t>
        </x:is>
      </x:c>
      <x:c r="H1124" s="18" t="n">
        <x:v>3</x:v>
      </x:c>
      <x:c r="I1124" s="19" t="n">
        <x:v>28.03</x:v>
      </x:c>
      <x:c r="J1124" s="20" t="n">
        <x:v>0.05</x:v>
      </x:c>
      <x:c r="K1124" s="4" t="inlineStr">
        <x:is>
          <x:t xml:space="preserve">Bank Transfer</x:t>
        </x:is>
      </x:c>
      <x:c r="L1124" s="19" t="n">
        <x:v>84.09</x:v>
      </x:c>
      <x:c r="M1124" s="19" t="n">
        <x:v>4.2</x:v>
      </x:c>
      <x:c r="N1124" s="19" t="n">
        <x:v>79.89</x:v>
      </x:c>
      <x:c r="O1124" s="4" t="n">
        <x:f>YEAR(C1124)</x:f>
        <x:v>2025</x:v>
      </x:c>
      <x:c r="P1124" s="4" t="str">
        <x:f>TEXT(C1124,"yyyy-mm")</x:f>
        <x:v>2025-10</x:v>
      </x:c>
      <x:c r="Q1124" s="4" t="str">
        <x:f>TEXT(C1124,"mmmm")</x:f>
        <x:v>October</x:v>
      </x:c>
    </x:row>
    <x:row r="1125" ht="20" customHeight="1">
      <x:c r="A1125" s="4" t="inlineStr">
        <x:is>
          <x:t xml:space="preserve">LINE-01136</x:t>
        </x:is>
      </x:c>
      <x:c r="B1125" s="4" t="inlineStr">
        <x:is>
          <x:t xml:space="preserve">ORD-2025-0705</x:t>
        </x:is>
      </x:c>
      <x:c r="C1125" s="17" t="n">
        <x:v>45977</x:v>
      </x:c>
      <x:c r="D1125" s="4" t="inlineStr">
        <x:is>
          <x:t xml:space="preserve">CUS-0210</x:t>
        </x:is>
      </x:c>
      <x:c r="E1125" s="4" t="inlineStr">
        <x:is>
          <x:t xml:space="preserve">Webcam</x:t>
        </x:is>
      </x:c>
      <x:c r="F1125" s="4" t="inlineStr">
        <x:is>
          <x:t xml:space="preserve">Accessories</x:t>
        </x:is>
      </x:c>
      <x:c r="G1125" s="4" t="inlineStr">
        <x:is>
          <x:t xml:space="preserve">Seattle</x:t>
        </x:is>
      </x:c>
      <x:c r="H1125" s="18" t="n">
        <x:v>5</x:v>
      </x:c>
      <x:c r="I1125" s="19" t="n">
        <x:v>95.62</x:v>
      </x:c>
      <x:c r="J1125" s="20" t="n">
        <x:v>0.1</x:v>
      </x:c>
      <x:c r="K1125" s="4" t="inlineStr">
        <x:is>
          <x:t xml:space="preserve">Debit Card</x:t>
        </x:is>
      </x:c>
      <x:c r="L1125" s="19" t="n">
        <x:v>478.1</x:v>
      </x:c>
      <x:c r="M1125" s="19" t="n">
        <x:v>47.81</x:v>
      </x:c>
      <x:c r="N1125" s="19" t="n">
        <x:v>430.29</x:v>
      </x:c>
      <x:c r="O1125" s="4" t="n">
        <x:f>YEAR(C1125)</x:f>
        <x:v>2025</x:v>
      </x:c>
      <x:c r="P1125" s="4" t="str">
        <x:f>TEXT(C1125,"yyyy-mm")</x:f>
        <x:v>2025-11</x:v>
      </x:c>
      <x:c r="Q1125" s="4" t="str">
        <x:f>TEXT(C1125,"mmmm")</x:f>
        <x:v>November</x:v>
      </x:c>
    </x:row>
    <x:row r="1126" ht="20" customHeight="1">
      <x:c r="A1126" s="4" t="inlineStr">
        <x:is>
          <x:t xml:space="preserve">LINE-01137</x:t>
        </x:is>
      </x:c>
      <x:c r="B1126" s="4" t="inlineStr">
        <x:is>
          <x:t xml:space="preserve">ORD-2025-0705</x:t>
        </x:is>
      </x:c>
      <x:c r="C1126" s="17" t="n">
        <x:v>45977</x:v>
      </x:c>
      <x:c r="D1126" s="4" t="inlineStr">
        <x:is>
          <x:t xml:space="preserve">CUS-0210</x:t>
        </x:is>
      </x:c>
      <x:c r="E1126" s="4" t="inlineStr">
        <x:is>
          <x:t xml:space="preserve">External SSD</x:t>
        </x:is>
      </x:c>
      <x:c r="F1126" s="4" t="inlineStr">
        <x:is>
          <x:t xml:space="preserve">Storage</x:t>
        </x:is>
      </x:c>
      <x:c r="G1126" s="4" t="inlineStr">
        <x:is>
          <x:t xml:space="preserve">Seattle</x:t>
        </x:is>
      </x:c>
      <x:c r="H1126" s="18" t="n">
        <x:v>2</x:v>
      </x:c>
      <x:c r="I1126" s="19" t="n">
        <x:v>158.78</x:v>
      </x:c>
      <x:c r="J1126" s="20" t="n">
        <x:v>0.1</x:v>
      </x:c>
      <x:c r="K1126" s="4" t="inlineStr">
        <x:is>
          <x:t xml:space="preserve">Debit Card</x:t>
        </x:is>
      </x:c>
      <x:c r="L1126" s="19" t="n">
        <x:v>317.56</x:v>
      </x:c>
      <x:c r="M1126" s="19" t="n">
        <x:v>31.76</x:v>
      </x:c>
      <x:c r="N1126" s="19" t="n">
        <x:v>285.8</x:v>
      </x:c>
      <x:c r="O1126" s="4" t="n">
        <x:f>YEAR(C1126)</x:f>
        <x:v>2025</x:v>
      </x:c>
      <x:c r="P1126" s="4" t="str">
        <x:f>TEXT(C1126,"yyyy-mm")</x:f>
        <x:v>2025-11</x:v>
      </x:c>
      <x:c r="Q1126" s="4" t="str">
        <x:f>TEXT(C1126,"mmmm")</x:f>
        <x:v>November</x:v>
      </x:c>
    </x:row>
    <x:row r="1127" ht="20" customHeight="1">
      <x:c r="A1127" s="4" t="inlineStr">
        <x:is>
          <x:t xml:space="preserve">LINE-01138</x:t>
        </x:is>
      </x:c>
      <x:c r="B1127" s="4" t="inlineStr">
        <x:is>
          <x:t xml:space="preserve">ORD-2025-0705</x:t>
        </x:is>
      </x:c>
      <x:c r="C1127" s="17" t="n">
        <x:v>45977</x:v>
      </x:c>
      <x:c r="D1127" s="4" t="inlineStr">
        <x:is>
          <x:t xml:space="preserve">CUS-0210</x:t>
        </x:is>
      </x:c>
      <x:c r="E1127" s="4" t="inlineStr">
        <x:is>
          <x:t xml:space="preserve">Laptop</x:t>
        </x:is>
      </x:c>
      <x:c r="F1127" s="4" t="inlineStr">
        <x:is>
          <x:t xml:space="preserve">Computers</x:t>
        </x:is>
      </x:c>
      <x:c r="G1127" s="4" t="inlineStr">
        <x:is>
          <x:t xml:space="preserve">Seattle</x:t>
        </x:is>
      </x:c>
      <x:c r="H1127" s="18" t="n">
        <x:v>2</x:v>
      </x:c>
      <x:c r="I1127" s="19" t="n">
        <x:v>995.02</x:v>
      </x:c>
      <x:c r="J1127" s="20" t="n">
        <x:v>0.1</x:v>
      </x:c>
      <x:c r="K1127" s="4" t="inlineStr">
        <x:is>
          <x:t xml:space="preserve">Debit Card</x:t>
        </x:is>
      </x:c>
      <x:c r="L1127" s="19" t="n">
        <x:v>1990.04</x:v>
      </x:c>
      <x:c r="M1127" s="19" t="n">
        <x:v>199</x:v>
      </x:c>
      <x:c r="N1127" s="19" t="n">
        <x:v>1791.04</x:v>
      </x:c>
      <x:c r="O1127" s="4" t="n">
        <x:f>YEAR(C1127)</x:f>
        <x:v>2025</x:v>
      </x:c>
      <x:c r="P1127" s="4" t="str">
        <x:f>TEXT(C1127,"yyyy-mm")</x:f>
        <x:v>2025-11</x:v>
      </x:c>
      <x:c r="Q1127" s="4" t="str">
        <x:f>TEXT(C1127,"mmmm")</x:f>
        <x:v>November</x:v>
      </x:c>
    </x:row>
    <x:row r="1128" ht="20" customHeight="1">
      <x:c r="A1128" s="4" t="inlineStr">
        <x:is>
          <x:t xml:space="preserve">LINE-01139</x:t>
        </x:is>
      </x:c>
      <x:c r="B1128" s="4" t="inlineStr">
        <x:is>
          <x:t xml:space="preserve">ORD-2025-0706</x:t>
        </x:is>
      </x:c>
      <x:c r="C1128" s="17" t="n">
        <x:v>45945</x:v>
      </x:c>
      <x:c r="D1128" s="4" t="inlineStr">
        <x:is>
          <x:t xml:space="preserve">CUS-0331</x:t>
        </x:is>
      </x:c>
      <x:c r="E1128" s="4" t="inlineStr">
        <x:is>
          <x:t xml:space="preserve">USB Flash Drive</x:t>
        </x:is>
      </x:c>
      <x:c r="F1128" s="4" t="inlineStr">
        <x:is>
          <x:t xml:space="preserve">Storage</x:t>
        </x:is>
      </x:c>
      <x:c r="G1128" s="4" t="inlineStr">
        <x:is>
          <x:t xml:space="preserve">New York</x:t>
        </x:is>
      </x:c>
      <x:c r="H1128" s="18" t="n">
        <x:v>2</x:v>
      </x:c>
      <x:c r="I1128" s="19" t="n">
        <x:v>31.24</x:v>
      </x:c>
      <x:c r="J1128" s="20" t="n">
        <x:v>0.15</x:v>
      </x:c>
      <x:c r="K1128" s="4" t="inlineStr">
        <x:is>
          <x:t xml:space="preserve">Credit Card</x:t>
        </x:is>
      </x:c>
      <x:c r="L1128" s="19" t="n">
        <x:v>62.48</x:v>
      </x:c>
      <x:c r="M1128" s="19" t="n">
        <x:v>9.369999999999999</x:v>
      </x:c>
      <x:c r="N1128" s="19" t="n">
        <x:v>53.11</x:v>
      </x:c>
      <x:c r="O1128" s="4" t="n">
        <x:f>YEAR(C1128)</x:f>
        <x:v>2025</x:v>
      </x:c>
      <x:c r="P1128" s="4" t="str">
        <x:f>TEXT(C1128,"yyyy-mm")</x:f>
        <x:v>2025-10</x:v>
      </x:c>
      <x:c r="Q1128" s="4" t="str">
        <x:f>TEXT(C1128,"mmmm")</x:f>
        <x:v>October</x:v>
      </x:c>
    </x:row>
    <x:row r="1129" ht="20" customHeight="1">
      <x:c r="A1129" s="4" t="inlineStr">
        <x:is>
          <x:t xml:space="preserve">LINE-01140</x:t>
        </x:is>
      </x:c>
      <x:c r="B1129" s="4" t="inlineStr">
        <x:is>
          <x:t xml:space="preserve">ORD-2025-0707</x:t>
        </x:is>
      </x:c>
      <x:c r="C1129" s="17" t="n">
        <x:v>45925</x:v>
      </x:c>
      <x:c r="D1129" s="4" t="inlineStr">
        <x:is>
          <x:t xml:space="preserve">CUS-0097</x:t>
        </x:is>
      </x:c>
      <x:c r="E1129" s="4" t="inlineStr">
        <x:is>
          <x:t xml:space="preserve">External SSD</x:t>
        </x:is>
      </x:c>
      <x:c r="F1129" s="4" t="inlineStr">
        <x:is>
          <x:t xml:space="preserve">Storage</x:t>
        </x:is>
      </x:c>
      <x:c r="G1129" s="4" t="inlineStr">
        <x:is>
          <x:t xml:space="preserve">Seattle</x:t>
        </x:is>
      </x:c>
      <x:c r="H1129" s="18" t="n">
        <x:v>1</x:v>
      </x:c>
      <x:c r="I1129" s="19" t="n">
        <x:v>138.46</x:v>
      </x:c>
      <x:c r="J1129" s="20" t="n">
        <x:v>0.1</x:v>
      </x:c>
      <x:c r="K1129" s="4" t="inlineStr">
        <x:is>
          <x:t xml:space="preserve">Credit Card</x:t>
        </x:is>
      </x:c>
      <x:c r="L1129" s="19" t="n">
        <x:v>138.46</x:v>
      </x:c>
      <x:c r="M1129" s="19" t="n">
        <x:v>13.85</x:v>
      </x:c>
      <x:c r="N1129" s="19" t="n">
        <x:v>124.61</x:v>
      </x:c>
      <x:c r="O1129" s="4" t="n">
        <x:f>YEAR(C1129)</x:f>
        <x:v>2025</x:v>
      </x:c>
      <x:c r="P1129" s="4" t="str">
        <x:f>TEXT(C1129,"yyyy-mm")</x:f>
        <x:v>2025-09</x:v>
      </x:c>
      <x:c r="Q1129" s="4" t="str">
        <x:f>TEXT(C1129,"mmmm")</x:f>
        <x:v>September</x:v>
      </x:c>
    </x:row>
    <x:row r="1130" ht="20" customHeight="1">
      <x:c r="A1130" s="4" t="inlineStr">
        <x:is>
          <x:t xml:space="preserve">LINE-01141</x:t>
        </x:is>
      </x:c>
      <x:c r="B1130" s="4" t="inlineStr">
        <x:is>
          <x:t xml:space="preserve">ORD-2025-0708</x:t>
        </x:is>
      </x:c>
      <x:c r="C1130" s="17" t="n">
        <x:v>45783</x:v>
      </x:c>
      <x:c r="D1130" s="4" t="inlineStr">
        <x:is>
          <x:t xml:space="preserve">CUS-0297</x:t>
        </x:is>
      </x:c>
      <x:c r="E1130" s="4" t="inlineStr">
        <x:is>
          <x:t xml:space="preserve">USB Flash Drive</x:t>
        </x:is>
      </x:c>
      <x:c r="F1130" s="4" t="inlineStr">
        <x:is>
          <x:t xml:space="preserve">Storage</x:t>
        </x:is>
      </x:c>
      <x:c r="G1130" s="4" t="inlineStr">
        <x:is>
          <x:t xml:space="preserve">Seattle</x:t>
        </x:is>
      </x:c>
      <x:c r="H1130" s="18" t="n">
        <x:v>2</x:v>
      </x:c>
      <x:c r="I1130" s="19" t="n">
        <x:v>27.82</x:v>
      </x:c>
      <x:c r="J1130" s="20" t="n">
        <x:v>0.1</x:v>
      </x:c>
      <x:c r="K1130" s="4" t="inlineStr">
        <x:is>
          <x:t xml:space="preserve">Credit Card</x:t>
        </x:is>
      </x:c>
      <x:c r="L1130" s="19" t="n">
        <x:v>55.64</x:v>
      </x:c>
      <x:c r="M1130" s="19" t="n">
        <x:v>5.56</x:v>
      </x:c>
      <x:c r="N1130" s="19" t="n">
        <x:v>50.08</x:v>
      </x:c>
      <x:c r="O1130" s="4" t="n">
        <x:f>YEAR(C1130)</x:f>
        <x:v>2025</x:v>
      </x:c>
      <x:c r="P1130" s="4" t="str">
        <x:f>TEXT(C1130,"yyyy-mm")</x:f>
        <x:v>2025-05</x:v>
      </x:c>
      <x:c r="Q1130" s="4" t="str">
        <x:f>TEXT(C1130,"mmmm")</x:f>
        <x:v>May</x:v>
      </x:c>
    </x:row>
    <x:row r="1131" ht="20" customHeight="1">
      <x:c r="A1131" s="4" t="inlineStr">
        <x:is>
          <x:t xml:space="preserve">LINE-01142</x:t>
        </x:is>
      </x:c>
      <x:c r="B1131" s="4" t="inlineStr">
        <x:is>
          <x:t xml:space="preserve">ORD-2025-0708</x:t>
        </x:is>
      </x:c>
      <x:c r="C1131" s="17" t="n">
        <x:v>45783</x:v>
      </x:c>
      <x:c r="D1131" s="4" t="inlineStr">
        <x:is>
          <x:t xml:space="preserve">CUS-0297</x:t>
        </x:is>
      </x:c>
      <x:c r="E1131" s="4" t="inlineStr">
        <x:is>
          <x:t xml:space="preserve">Webcam</x:t>
        </x:is>
      </x:c>
      <x:c r="F1131" s="4" t="inlineStr">
        <x:is>
          <x:t xml:space="preserve">Accessories</x:t>
        </x:is>
      </x:c>
      <x:c r="G1131" s="4" t="inlineStr">
        <x:is>
          <x:t xml:space="preserve">Seattle</x:t>
        </x:is>
      </x:c>
      <x:c r="H1131" s="18" t="n">
        <x:v>1</x:v>
      </x:c>
      <x:c r="I1131" s="19" t="n">
        <x:v>89.09</x:v>
      </x:c>
      <x:c r="J1131" s="20" t="n">
        <x:v>0</x:v>
      </x:c>
      <x:c r="K1131" s="4" t="inlineStr">
        <x:is>
          <x:t xml:space="preserve">Credit Card</x:t>
        </x:is>
      </x:c>
      <x:c r="L1131" s="19" t="n">
        <x:v>89.09</x:v>
      </x:c>
      <x:c r="M1131" s="19" t="n">
        <x:v>0</x:v>
      </x:c>
      <x:c r="N1131" s="19" t="n">
        <x:v>89.09</x:v>
      </x:c>
      <x:c r="O1131" s="4" t="n">
        <x:f>YEAR(C1131)</x:f>
        <x:v>2025</x:v>
      </x:c>
      <x:c r="P1131" s="4" t="str">
        <x:f>TEXT(C1131,"yyyy-mm")</x:f>
        <x:v>2025-05</x:v>
      </x:c>
      <x:c r="Q1131" s="4" t="str">
        <x:f>TEXT(C1131,"mmmm")</x:f>
        <x:v>May</x:v>
      </x:c>
    </x:row>
    <x:row r="1132" ht="20" customHeight="1">
      <x:c r="A1132" s="4" t="inlineStr">
        <x:is>
          <x:t xml:space="preserve">LINE-01143</x:t>
        </x:is>
      </x:c>
      <x:c r="B1132" s="4" t="inlineStr">
        <x:is>
          <x:t xml:space="preserve">ORD-2025-0709</x:t>
        </x:is>
      </x:c>
      <x:c r="C1132" s="17" t="n">
        <x:v>45928</x:v>
      </x:c>
      <x:c r="D1132" s="4" t="inlineStr">
        <x:is>
          <x:t xml:space="preserve">CUS-0163</x:t>
        </x:is>
      </x:c>
      <x:c r="E1132" s="4" t="inlineStr">
        <x:is>
          <x:t xml:space="preserve">Monitor</x:t>
        </x:is>
      </x:c>
      <x:c r="F1132" s="4" t="inlineStr">
        <x:is>
          <x:t xml:space="preserve">Computers</x:t>
        </x:is>
      </x:c>
      <x:c r="G1132" s="4" t="inlineStr">
        <x:is>
          <x:t xml:space="preserve">Seattle</x:t>
        </x:is>
      </x:c>
      <x:c r="H1132" s="18" t="n">
        <x:v>2</x:v>
      </x:c>
      <x:c r="I1132" s="19" t="n">
        <x:v>270.38</x:v>
      </x:c>
      <x:c r="J1132" s="20" t="n">
        <x:v>0</x:v>
      </x:c>
      <x:c r="K1132" s="4" t="inlineStr">
        <x:is>
          <x:t xml:space="preserve">PayPal</x:t>
        </x:is>
      </x:c>
      <x:c r="L1132" s="19" t="n">
        <x:v>540.76</x:v>
      </x:c>
      <x:c r="M1132" s="19" t="n">
        <x:v>0</x:v>
      </x:c>
      <x:c r="N1132" s="19" t="n">
        <x:v>540.76</x:v>
      </x:c>
      <x:c r="O1132" s="4" t="n">
        <x:f>YEAR(C1132)</x:f>
        <x:v>2025</x:v>
      </x:c>
      <x:c r="P1132" s="4" t="str">
        <x:f>TEXT(C1132,"yyyy-mm")</x:f>
        <x:v>2025-09</x:v>
      </x:c>
      <x:c r="Q1132" s="4" t="str">
        <x:f>TEXT(C1132,"mmmm")</x:f>
        <x:v>September</x:v>
      </x:c>
    </x:row>
    <x:row r="1133" ht="20" customHeight="1">
      <x:c r="A1133" s="4" t="inlineStr">
        <x:is>
          <x:t xml:space="preserve">LINE-01144</x:t>
        </x:is>
      </x:c>
      <x:c r="B1133" s="4" t="inlineStr">
        <x:is>
          <x:t xml:space="preserve">ORD-2025-0710</x:t>
        </x:is>
      </x:c>
      <x:c r="C1133" s="17" t="n">
        <x:v>45703</x:v>
      </x:c>
      <x:c r="D1133" s="4" t="inlineStr">
        <x:is>
          <x:t xml:space="preserve">CUS-0079</x:t>
        </x:is>
      </x:c>
      <x:c r="E1133" s="4" t="inlineStr">
        <x:is>
          <x:t xml:space="preserve">Laptop</x:t>
        </x:is>
      </x:c>
      <x:c r="F1133" s="4" t="inlineStr">
        <x:is>
          <x:t xml:space="preserve">Computers</x:t>
        </x:is>
      </x:c>
      <x:c r="G1133" s="4" t="inlineStr">
        <x:is>
          <x:t xml:space="preserve">Austin</x:t>
        </x:is>
      </x:c>
      <x:c r="H1133" s="18" t="n">
        <x:v>5</x:v>
      </x:c>
      <x:c r="I1133" s="19" t="n">
        <x:v>901.58</x:v>
      </x:c>
      <x:c r="J1133" s="20" t="n">
        <x:v>0.1</x:v>
      </x:c>
      <x:c r="K1133" s="4" t="inlineStr">
        <x:is>
          <x:t xml:space="preserve">Bank Transfer</x:t>
        </x:is>
      </x:c>
      <x:c r="L1133" s="19" t="n">
        <x:v>4507.9</x:v>
      </x:c>
      <x:c r="M1133" s="19" t="n">
        <x:v>450.79</x:v>
      </x:c>
      <x:c r="N1133" s="19" t="n">
        <x:v>4057.11</x:v>
      </x:c>
      <x:c r="O1133" s="4" t="n">
        <x:f>YEAR(C1133)</x:f>
        <x:v>2025</x:v>
      </x:c>
      <x:c r="P1133" s="4" t="str">
        <x:f>TEXT(C1133,"yyyy-mm")</x:f>
        <x:v>2025-02</x:v>
      </x:c>
      <x:c r="Q1133" s="4" t="str">
        <x:f>TEXT(C1133,"mmmm")</x:f>
        <x:v>February</x:v>
      </x:c>
    </x:row>
    <x:row r="1134" ht="20" customHeight="1">
      <x:c r="A1134" s="4" t="inlineStr">
        <x:is>
          <x:t xml:space="preserve">LINE-01145</x:t>
        </x:is>
      </x:c>
      <x:c r="B1134" s="4" t="inlineStr">
        <x:is>
          <x:t xml:space="preserve">ORD-2025-0710</x:t>
        </x:is>
      </x:c>
      <x:c r="C1134" s="17" t="n">
        <x:v>45703</x:v>
      </x:c>
      <x:c r="D1134" s="4" t="inlineStr">
        <x:is>
          <x:t xml:space="preserve">CUS-0079</x:t>
        </x:is>
      </x:c>
      <x:c r="E1134" s="4" t="inlineStr">
        <x:is>
          <x:t xml:space="preserve">USB Flash Drive</x:t>
        </x:is>
      </x:c>
      <x:c r="F1134" s="4" t="inlineStr">
        <x:is>
          <x:t xml:space="preserve">Storage</x:t>
        </x:is>
      </x:c>
      <x:c r="G1134" s="4" t="inlineStr">
        <x:is>
          <x:t xml:space="preserve">Austin</x:t>
        </x:is>
      </x:c>
      <x:c r="H1134" s="18" t="n">
        <x:v>1</x:v>
      </x:c>
      <x:c r="I1134" s="19" t="n">
        <x:v>28.07</x:v>
      </x:c>
      <x:c r="J1134" s="20" t="n">
        <x:v>0</x:v>
      </x:c>
      <x:c r="K1134" s="4" t="inlineStr">
        <x:is>
          <x:t xml:space="preserve">Bank Transfer</x:t>
        </x:is>
      </x:c>
      <x:c r="L1134" s="19" t="n">
        <x:v>28.07</x:v>
      </x:c>
      <x:c r="M1134" s="19" t="n">
        <x:v>0</x:v>
      </x:c>
      <x:c r="N1134" s="19" t="n">
        <x:v>28.07</x:v>
      </x:c>
      <x:c r="O1134" s="4" t="n">
        <x:f>YEAR(C1134)</x:f>
        <x:v>2025</x:v>
      </x:c>
      <x:c r="P1134" s="4" t="str">
        <x:f>TEXT(C1134,"yyyy-mm")</x:f>
        <x:v>2025-02</x:v>
      </x:c>
      <x:c r="Q1134" s="4" t="str">
        <x:f>TEXT(C1134,"mmmm")</x:f>
        <x:v>February</x:v>
      </x:c>
    </x:row>
    <x:row r="1135" ht="20" customHeight="1">
      <x:c r="A1135" s="4" t="inlineStr">
        <x:is>
          <x:t xml:space="preserve">LINE-01146</x:t>
        </x:is>
      </x:c>
      <x:c r="B1135" s="4" t="inlineStr">
        <x:is>
          <x:t xml:space="preserve">ORD-2025-0711</x:t>
        </x:is>
      </x:c>
      <x:c r="C1135" s="17" t="n">
        <x:v>45823</x:v>
      </x:c>
      <x:c r="D1135" s="4" t="inlineStr">
        <x:is>
          <x:t xml:space="preserve">CUS-0133</x:t>
        </x:is>
      </x:c>
      <x:c r="E1135" s="4" t="inlineStr">
        <x:is>
          <x:t xml:space="preserve">Wireless Mouse</x:t>
        </x:is>
      </x:c>
      <x:c r="F1135" s="4" t="inlineStr">
        <x:is>
          <x:t xml:space="preserve">Accessories</x:t>
        </x:is>
      </x:c>
      <x:c r="G1135" s="4" t="inlineStr">
        <x:is>
          <x:t xml:space="preserve">Seattle</x:t>
        </x:is>
      </x:c>
      <x:c r="H1135" s="18" t="n">
        <x:v>3</x:v>
      </x:c>
      <x:c r="I1135" s="19" t="n">
        <x:v>45.62</x:v>
      </x:c>
      <x:c r="J1135" s="20" t="n">
        <x:v>0.05</x:v>
      </x:c>
      <x:c r="K1135" s="4" t="inlineStr">
        <x:is>
          <x:t xml:space="preserve">Credit Card</x:t>
        </x:is>
      </x:c>
      <x:c r="L1135" s="19" t="n">
        <x:v>136.86</x:v>
      </x:c>
      <x:c r="M1135" s="19" t="n">
        <x:v>6.84</x:v>
      </x:c>
      <x:c r="N1135" s="19" t="n">
        <x:v>130.02</x:v>
      </x:c>
      <x:c r="O1135" s="4" t="n">
        <x:f>YEAR(C1135)</x:f>
        <x:v>2025</x:v>
      </x:c>
      <x:c r="P1135" s="4" t="str">
        <x:f>TEXT(C1135,"yyyy-mm")</x:f>
        <x:v>2025-06</x:v>
      </x:c>
      <x:c r="Q1135" s="4" t="str">
        <x:f>TEXT(C1135,"mmmm")</x:f>
        <x:v>June</x:v>
      </x:c>
    </x:row>
    <x:row r="1136" ht="20" customHeight="1">
      <x:c r="A1136" s="4" t="inlineStr">
        <x:is>
          <x:t xml:space="preserve">LINE-01147</x:t>
        </x:is>
      </x:c>
      <x:c r="B1136" s="4" t="inlineStr">
        <x:is>
          <x:t xml:space="preserve">ORD-2025-0712</x:t>
        </x:is>
      </x:c>
      <x:c r="C1136" s="17" t="n">
        <x:v>45916</x:v>
      </x:c>
      <x:c r="D1136" s="4" t="inlineStr">
        <x:is>
          <x:t xml:space="preserve">CUS-0198</x:t>
        </x:is>
      </x:c>
      <x:c r="E1136" s="4" t="inlineStr">
        <x:is>
          <x:t xml:space="preserve">Bluetooth Speaker</x:t>
        </x:is>
      </x:c>
      <x:c r="F1136" s="4" t="inlineStr">
        <x:is>
          <x:t xml:space="preserve">Audio</x:t>
        </x:is>
      </x:c>
      <x:c r="G1136" s="4" t="inlineStr">
        <x:is>
          <x:t xml:space="preserve">New York</x:t>
        </x:is>
      </x:c>
      <x:c r="H1136" s="18" t="n">
        <x:v>2</x:v>
      </x:c>
      <x:c r="I1136" s="19" t="n">
        <x:v>102.35</x:v>
      </x:c>
      <x:c r="J1136" s="20" t="n">
        <x:v>0</x:v>
      </x:c>
      <x:c r="K1136" s="4" t="inlineStr">
        <x:is>
          <x:t xml:space="preserve">PayPal</x:t>
        </x:is>
      </x:c>
      <x:c r="L1136" s="19" t="n">
        <x:v>204.7</x:v>
      </x:c>
      <x:c r="M1136" s="19" t="n">
        <x:v>0</x:v>
      </x:c>
      <x:c r="N1136" s="19" t="n">
        <x:v>204.7</x:v>
      </x:c>
      <x:c r="O1136" s="4" t="n">
        <x:f>YEAR(C1136)</x:f>
        <x:v>2025</x:v>
      </x:c>
      <x:c r="P1136" s="4" t="str">
        <x:f>TEXT(C1136,"yyyy-mm")</x:f>
        <x:v>2025-09</x:v>
      </x:c>
      <x:c r="Q1136" s="4" t="str">
        <x:f>TEXT(C1136,"mmmm")</x:f>
        <x:v>September</x:v>
      </x:c>
    </x:row>
    <x:row r="1137" ht="20" customHeight="1">
      <x:c r="A1137" s="4" t="inlineStr">
        <x:is>
          <x:t xml:space="preserve">LINE-01148</x:t>
        </x:is>
      </x:c>
      <x:c r="B1137" s="4" t="inlineStr">
        <x:is>
          <x:t xml:space="preserve">ORD-2025-0713</x:t>
        </x:is>
      </x:c>
      <x:c r="C1137" s="17" t="n">
        <x:v>45982</x:v>
      </x:c>
      <x:c r="D1137" s="4" t="inlineStr">
        <x:is>
          <x:t xml:space="preserve">CUS-0120</x:t>
        </x:is>
      </x:c>
      <x:c r="E1137" s="4" t="inlineStr">
        <x:is>
          <x:t xml:space="preserve">USB Flash Drive</x:t>
        </x:is>
      </x:c>
      <x:c r="F1137" s="4" t="inlineStr">
        <x:is>
          <x:t xml:space="preserve">Storage</x:t>
        </x:is>
      </x:c>
      <x:c r="G1137" s="4" t="inlineStr">
        <x:is>
          <x:t xml:space="preserve">New York</x:t>
        </x:is>
      </x:c>
      <x:c r="H1137" s="18" t="n">
        <x:v>1</x:v>
      </x:c>
      <x:c r="I1137" s="19" t="n">
        <x:v>31.26</x:v>
      </x:c>
      <x:c r="J1137" s="20" t="n">
        <x:v>0.05</x:v>
      </x:c>
      <x:c r="K1137" s="4" t="inlineStr">
        <x:is>
          <x:t xml:space="preserve">PayPal</x:t>
        </x:is>
      </x:c>
      <x:c r="L1137" s="19" t="n">
        <x:v>31.26</x:v>
      </x:c>
      <x:c r="M1137" s="19" t="n">
        <x:v>1.56</x:v>
      </x:c>
      <x:c r="N1137" s="19" t="n">
        <x:v>29.7</x:v>
      </x:c>
      <x:c r="O1137" s="4" t="n">
        <x:f>YEAR(C1137)</x:f>
        <x:v>2025</x:v>
      </x:c>
      <x:c r="P1137" s="4" t="str">
        <x:f>TEXT(C1137,"yyyy-mm")</x:f>
        <x:v>2025-11</x:v>
      </x:c>
      <x:c r="Q1137" s="4" t="str">
        <x:f>TEXT(C1137,"mmmm")</x:f>
        <x:v>November</x:v>
      </x:c>
    </x:row>
    <x:row r="1138" ht="20" customHeight="1">
      <x:c r="A1138" s="4" t="inlineStr">
        <x:is>
          <x:t xml:space="preserve">LINE-01149</x:t>
        </x:is>
      </x:c>
      <x:c r="B1138" s="4" t="inlineStr">
        <x:is>
          <x:t xml:space="preserve">ORD-2025-0713</x:t>
        </x:is>
      </x:c>
      <x:c r="C1138" s="17" t="n">
        <x:v>45982</x:v>
      </x:c>
      <x:c r="D1138" s="4" t="inlineStr">
        <x:is>
          <x:t xml:space="preserve">CUS-0120</x:t>
        </x:is>
      </x:c>
      <x:c r="E1138" s="4" t="inlineStr">
        <x:is>
          <x:t xml:space="preserve">Office Chair</x:t>
        </x:is>
      </x:c>
      <x:c r="F1138" s="4" t="inlineStr">
        <x:is>
          <x:t xml:space="preserve">Furniture</x:t>
        </x:is>
      </x:c>
      <x:c r="G1138" s="4" t="inlineStr">
        <x:is>
          <x:t xml:space="preserve">New York</x:t>
        </x:is>
      </x:c>
      <x:c r="H1138" s="18" t="n">
        <x:v>1</x:v>
      </x:c>
      <x:c r="I1138" s="19" t="n">
        <x:v>242.62</x:v>
      </x:c>
      <x:c r="J1138" s="20" t="n">
        <x:v>0</x:v>
      </x:c>
      <x:c r="K1138" s="4" t="inlineStr">
        <x:is>
          <x:t xml:space="preserve">PayPal</x:t>
        </x:is>
      </x:c>
      <x:c r="L1138" s="19" t="n">
        <x:v>242.62</x:v>
      </x:c>
      <x:c r="M1138" s="19" t="n">
        <x:v>0</x:v>
      </x:c>
      <x:c r="N1138" s="19" t="n">
        <x:v>242.62</x:v>
      </x:c>
      <x:c r="O1138" s="4" t="n">
        <x:f>YEAR(C1138)</x:f>
        <x:v>2025</x:v>
      </x:c>
      <x:c r="P1138" s="4" t="str">
        <x:f>TEXT(C1138,"yyyy-mm")</x:f>
        <x:v>2025-11</x:v>
      </x:c>
      <x:c r="Q1138" s="4" t="str">
        <x:f>TEXT(C1138,"mmmm")</x:f>
        <x:v>November</x:v>
      </x:c>
    </x:row>
    <x:row r="1139" ht="20" customHeight="1">
      <x:c r="A1139" s="4" t="inlineStr">
        <x:is>
          <x:t xml:space="preserve">LINE-01150</x:t>
        </x:is>
      </x:c>
      <x:c r="B1139" s="4" t="inlineStr">
        <x:is>
          <x:t xml:space="preserve">ORD-2025-0714</x:t>
        </x:is>
      </x:c>
      <x:c r="C1139" s="17" t="n">
        <x:v>45983</x:v>
      </x:c>
      <x:c r="D1139" s="4" t="inlineStr">
        <x:is>
          <x:t xml:space="preserve">CUS-0257</x:t>
        </x:is>
      </x:c>
      <x:c r="E1139" s="4" t="inlineStr">
        <x:is>
          <x:t xml:space="preserve">Keyboard</x:t>
        </x:is>
      </x:c>
      <x:c r="F1139" s="4" t="inlineStr">
        <x:is>
          <x:t xml:space="preserve">Accessories</x:t>
        </x:is>
      </x:c>
      <x:c r="G1139" s="4" t="inlineStr">
        <x:is>
          <x:t xml:space="preserve">Unknown</x:t>
        </x:is>
      </x:c>
      <x:c r="H1139" s="18" t="n">
        <x:v>3</x:v>
      </x:c>
      <x:c r="I1139" s="19" t="n">
        <x:v>75.45</x:v>
      </x:c>
      <x:c r="J1139" s="20" t="n">
        <x:v>0</x:v>
      </x:c>
      <x:c r="K1139" s="4" t="inlineStr">
        <x:is>
          <x:t xml:space="preserve">Debit Card</x:t>
        </x:is>
      </x:c>
      <x:c r="L1139" s="19" t="n">
        <x:v>226.35</x:v>
      </x:c>
      <x:c r="M1139" s="19" t="n">
        <x:v>0</x:v>
      </x:c>
      <x:c r="N1139" s="19" t="n">
        <x:v>226.35</x:v>
      </x:c>
      <x:c r="O1139" s="4" t="n">
        <x:f>YEAR(C1139)</x:f>
        <x:v>2025</x:v>
      </x:c>
      <x:c r="P1139" s="4" t="str">
        <x:f>TEXT(C1139,"yyyy-mm")</x:f>
        <x:v>2025-11</x:v>
      </x:c>
      <x:c r="Q1139" s="4" t="str">
        <x:f>TEXT(C1139,"mmmm")</x:f>
        <x:v>November</x:v>
      </x:c>
    </x:row>
    <x:row r="1140" ht="20" customHeight="1">
      <x:c r="A1140" s="4" t="inlineStr">
        <x:is>
          <x:t xml:space="preserve">LINE-01151</x:t>
        </x:is>
      </x:c>
      <x:c r="B1140" s="4" t="inlineStr">
        <x:is>
          <x:t xml:space="preserve">ORD-2025-0715</x:t>
        </x:is>
      </x:c>
      <x:c r="C1140" s="17" t="n">
        <x:v>45942</x:v>
      </x:c>
      <x:c r="D1140" s="4" t="inlineStr">
        <x:is>
          <x:t xml:space="preserve">CUS-0232</x:t>
        </x:is>
      </x:c>
      <x:c r="E1140" s="4" t="inlineStr">
        <x:is>
          <x:t xml:space="preserve">USB Flash Drive</x:t>
        </x:is>
      </x:c>
      <x:c r="F1140" s="4" t="inlineStr">
        <x:is>
          <x:t xml:space="preserve">Storage</x:t>
        </x:is>
      </x:c>
      <x:c r="G1140" s="4" t="inlineStr">
        <x:is>
          <x:t xml:space="preserve">New York</x:t>
        </x:is>
      </x:c>
      <x:c r="H1140" s="18" t="n">
        <x:v>2</x:v>
      </x:c>
      <x:c r="I1140" s="19" t="n">
        <x:v>28.4</x:v>
      </x:c>
      <x:c r="J1140" s="20" t="n">
        <x:v>0</x:v>
      </x:c>
      <x:c r="K1140" s="4" t="inlineStr">
        <x:is>
          <x:t xml:space="preserve">Credit Card</x:t>
        </x:is>
      </x:c>
      <x:c r="L1140" s="19" t="n">
        <x:v>56.8</x:v>
      </x:c>
      <x:c r="M1140" s="19" t="n">
        <x:v>0</x:v>
      </x:c>
      <x:c r="N1140" s="19" t="n">
        <x:v>56.8</x:v>
      </x:c>
      <x:c r="O1140" s="4" t="n">
        <x:f>YEAR(C1140)</x:f>
        <x:v>2025</x:v>
      </x:c>
      <x:c r="P1140" s="4" t="str">
        <x:f>TEXT(C1140,"yyyy-mm")</x:f>
        <x:v>2025-10</x:v>
      </x:c>
      <x:c r="Q1140" s="4" t="str">
        <x:f>TEXT(C1140,"mmmm")</x:f>
        <x:v>October</x:v>
      </x:c>
    </x:row>
    <x:row r="1141" ht="20" customHeight="1">
      <x:c r="A1141" s="4" t="inlineStr">
        <x:is>
          <x:t xml:space="preserve">LINE-01152</x:t>
        </x:is>
      </x:c>
      <x:c r="B1141" s="4" t="inlineStr">
        <x:is>
          <x:t xml:space="preserve">ORD-2025-0715</x:t>
        </x:is>
      </x:c>
      <x:c r="C1141" s="17" t="n">
        <x:v>45942</x:v>
      </x:c>
      <x:c r="D1141" s="4" t="inlineStr">
        <x:is>
          <x:t xml:space="preserve">CUS-0232</x:t>
        </x:is>
      </x:c>
      <x:c r="E1141" s="4" t="inlineStr">
        <x:is>
          <x:t xml:space="preserve">USB-C Hub</x:t>
        </x:is>
      </x:c>
      <x:c r="F1141" s="4" t="inlineStr">
        <x:is>
          <x:t xml:space="preserve">Accessories</x:t>
        </x:is>
      </x:c>
      <x:c r="G1141" s="4" t="inlineStr">
        <x:is>
          <x:t xml:space="preserve">New York</x:t>
        </x:is>
      </x:c>
      <x:c r="H1141" s="18" t="n">
        <x:v>4</x:v>
      </x:c>
      <x:c r="I1141" s="19" t="n">
        <x:v>62.64</x:v>
      </x:c>
      <x:c r="J1141" s="20" t="n">
        <x:v>0</x:v>
      </x:c>
      <x:c r="K1141" s="4" t="inlineStr">
        <x:is>
          <x:t xml:space="preserve">Credit Card</x:t>
        </x:is>
      </x:c>
      <x:c r="L1141" s="19" t="n">
        <x:v>250.56</x:v>
      </x:c>
      <x:c r="M1141" s="19" t="n">
        <x:v>0</x:v>
      </x:c>
      <x:c r="N1141" s="19" t="n">
        <x:v>250.56</x:v>
      </x:c>
      <x:c r="O1141" s="4" t="n">
        <x:f>YEAR(C1141)</x:f>
        <x:v>2025</x:v>
      </x:c>
      <x:c r="P1141" s="4" t="str">
        <x:f>TEXT(C1141,"yyyy-mm")</x:f>
        <x:v>2025-10</x:v>
      </x:c>
      <x:c r="Q1141" s="4" t="str">
        <x:f>TEXT(C1141,"mmmm")</x:f>
        <x:v>October</x:v>
      </x:c>
    </x:row>
    <x:row r="1142" ht="20" customHeight="1">
      <x:c r="A1142" s="4" t="inlineStr">
        <x:is>
          <x:t xml:space="preserve">LINE-01153</x:t>
        </x:is>
      </x:c>
      <x:c r="B1142" s="4" t="inlineStr">
        <x:is>
          <x:t xml:space="preserve">ORD-2025-0716</x:t>
        </x:is>
      </x:c>
      <x:c r="C1142" s="17" t="n">
        <x:v>46006</x:v>
      </x:c>
      <x:c r="D1142" s="4" t="inlineStr">
        <x:is>
          <x:t xml:space="preserve">CUS-0195</x:t>
        </x:is>
      </x:c>
      <x:c r="E1142" s="4" t="inlineStr">
        <x:is>
          <x:t xml:space="preserve">External SSD</x:t>
        </x:is>
      </x:c>
      <x:c r="F1142" s="4" t="inlineStr">
        <x:is>
          <x:t xml:space="preserve">Storage</x:t>
        </x:is>
      </x:c>
      <x:c r="G1142" s="4" t="inlineStr">
        <x:is>
          <x:t xml:space="preserve">Austin</x:t>
        </x:is>
      </x:c>
      <x:c r="H1142" s="18" t="n">
        <x:v>1</x:v>
      </x:c>
      <x:c r="I1142" s="19" t="n">
        <x:v>155.74</x:v>
      </x:c>
      <x:c r="J1142" s="20" t="n">
        <x:v>0.05</x:v>
      </x:c>
      <x:c r="K1142" s="4" t="inlineStr">
        <x:is>
          <x:t xml:space="preserve">Debit Card</x:t>
        </x:is>
      </x:c>
      <x:c r="L1142" s="19" t="n">
        <x:v>155.74</x:v>
      </x:c>
      <x:c r="M1142" s="19" t="n">
        <x:v>7.79</x:v>
      </x:c>
      <x:c r="N1142" s="19" t="n">
        <x:v>147.95</x:v>
      </x:c>
      <x:c r="O1142" s="4" t="n">
        <x:f>YEAR(C1142)</x:f>
        <x:v>2025</x:v>
      </x:c>
      <x:c r="P1142" s="4" t="str">
        <x:f>TEXT(C1142,"yyyy-mm")</x:f>
        <x:v>2025-12</x:v>
      </x:c>
      <x:c r="Q1142" s="4" t="str">
        <x:f>TEXT(C1142,"mmmm")</x:f>
        <x:v>December</x:v>
      </x:c>
    </x:row>
    <x:row r="1143" ht="20" customHeight="1">
      <x:c r="A1143" s="4" t="inlineStr">
        <x:is>
          <x:t xml:space="preserve">LINE-01154</x:t>
        </x:is>
      </x:c>
      <x:c r="B1143" s="4" t="inlineStr">
        <x:is>
          <x:t xml:space="preserve">ORD-2025-0716</x:t>
        </x:is>
      </x:c>
      <x:c r="C1143" s="17" t="n">
        <x:v>46006</x:v>
      </x:c>
      <x:c r="D1143" s="4" t="inlineStr">
        <x:is>
          <x:t xml:space="preserve">CUS-0195</x:t>
        </x:is>
      </x:c>
      <x:c r="E1143" s="4" t="inlineStr">
        <x:is>
          <x:t xml:space="preserve">USB-C Hub</x:t>
        </x:is>
      </x:c>
      <x:c r="F1143" s="4" t="inlineStr">
        <x:is>
          <x:t xml:space="preserve">Accessories</x:t>
        </x:is>
      </x:c>
      <x:c r="G1143" s="4" t="inlineStr">
        <x:is>
          <x:t xml:space="preserve">Austin</x:t>
        </x:is>
      </x:c>
      <x:c r="H1143" s="18" t="n">
        <x:v>1</x:v>
      </x:c>
      <x:c r="I1143" s="19" t="n">
        <x:v>63.91</x:v>
      </x:c>
      <x:c r="J1143" s="20" t="n">
        <x:v>0</x:v>
      </x:c>
      <x:c r="K1143" s="4" t="inlineStr">
        <x:is>
          <x:t xml:space="preserve">Debit Card</x:t>
        </x:is>
      </x:c>
      <x:c r="L1143" s="19" t="n">
        <x:v>63.91</x:v>
      </x:c>
      <x:c r="M1143" s="19" t="n">
        <x:v>0</x:v>
      </x:c>
      <x:c r="N1143" s="19" t="n">
        <x:v>63.91</x:v>
      </x:c>
      <x:c r="O1143" s="4" t="n">
        <x:f>YEAR(C1143)</x:f>
        <x:v>2025</x:v>
      </x:c>
      <x:c r="P1143" s="4" t="str">
        <x:f>TEXT(C1143,"yyyy-mm")</x:f>
        <x:v>2025-12</x:v>
      </x:c>
      <x:c r="Q1143" s="4" t="str">
        <x:f>TEXT(C1143,"mmmm")</x:f>
        <x:v>December</x:v>
      </x:c>
    </x:row>
    <x:row r="1144" ht="20" customHeight="1">
      <x:c r="A1144" s="4" t="inlineStr">
        <x:is>
          <x:t xml:space="preserve">LINE-01155</x:t>
        </x:is>
      </x:c>
      <x:c r="B1144" s="4" t="inlineStr">
        <x:is>
          <x:t xml:space="preserve">ORD-2025-0717</x:t>
        </x:is>
      </x:c>
      <x:c r="C1144" s="17" t="n">
        <x:v>45729</x:v>
      </x:c>
      <x:c r="D1144" s="4" t="inlineStr">
        <x:is>
          <x:t xml:space="preserve">CUS-0285</x:t>
        </x:is>
      </x:c>
      <x:c r="E1144" s="4" t="inlineStr">
        <x:is>
          <x:t xml:space="preserve">External SSD</x:t>
        </x:is>
      </x:c>
      <x:c r="F1144" s="4" t="inlineStr">
        <x:is>
          <x:t xml:space="preserve">Storage</x:t>
        </x:is>
      </x:c>
      <x:c r="G1144" s="4" t="inlineStr">
        <x:is>
          <x:t xml:space="preserve">Austin</x:t>
        </x:is>
      </x:c>
      <x:c r="H1144" s="18" t="n">
        <x:v>5</x:v>
      </x:c>
      <x:c r="I1144" s="19" t="n">
        <x:v>145.64</x:v>
      </x:c>
      <x:c r="J1144" s="20" t="n">
        <x:v>0.05</x:v>
      </x:c>
      <x:c r="K1144" s="4" t="inlineStr">
        <x:is>
          <x:t xml:space="preserve">Bank Transfer</x:t>
        </x:is>
      </x:c>
      <x:c r="L1144" s="19" t="n">
        <x:v>728.2</x:v>
      </x:c>
      <x:c r="M1144" s="19" t="n">
        <x:v>36.41</x:v>
      </x:c>
      <x:c r="N1144" s="19" t="n">
        <x:v>691.79</x:v>
      </x:c>
      <x:c r="O1144" s="4" t="n">
        <x:f>YEAR(C1144)</x:f>
        <x:v>2025</x:v>
      </x:c>
      <x:c r="P1144" s="4" t="str">
        <x:f>TEXT(C1144,"yyyy-mm")</x:f>
        <x:v>2025-03</x:v>
      </x:c>
      <x:c r="Q1144" s="4" t="str">
        <x:f>TEXT(C1144,"mmmm")</x:f>
        <x:v>March</x:v>
      </x:c>
    </x:row>
    <x:row r="1145" ht="20" customHeight="1">
      <x:c r="A1145" s="4" t="inlineStr">
        <x:is>
          <x:t xml:space="preserve">LINE-01156</x:t>
        </x:is>
      </x:c>
      <x:c r="B1145" s="4" t="inlineStr">
        <x:is>
          <x:t xml:space="preserve">ORD-2025-0718</x:t>
        </x:is>
      </x:c>
      <x:c r="C1145" s="17" t="n">
        <x:v>45833</x:v>
      </x:c>
      <x:c r="D1145" s="4" t="inlineStr">
        <x:is>
          <x:t xml:space="preserve">CUS-0326</x:t>
        </x:is>
      </x:c>
      <x:c r="E1145" s="4" t="inlineStr">
        <x:is>
          <x:t xml:space="preserve">Office Chair</x:t>
        </x:is>
      </x:c>
      <x:c r="F1145" s="4" t="inlineStr">
        <x:is>
          <x:t xml:space="preserve">Furniture</x:t>
        </x:is>
      </x:c>
      <x:c r="G1145" s="4" t="inlineStr">
        <x:is>
          <x:t xml:space="preserve">Austin</x:t>
        </x:is>
      </x:c>
      <x:c r="H1145" s="18" t="n">
        <x:v>5</x:v>
      </x:c>
      <x:c r="I1145" s="19" t="n">
        <x:v>233.92</x:v>
      </x:c>
      <x:c r="J1145" s="20" t="n">
        <x:v>0.05</x:v>
      </x:c>
      <x:c r="K1145" s="4" t="inlineStr">
        <x:is>
          <x:t xml:space="preserve">Bank Transfer</x:t>
        </x:is>
      </x:c>
      <x:c r="L1145" s="19" t="n">
        <x:v>1169.6</x:v>
      </x:c>
      <x:c r="M1145" s="19" t="n">
        <x:v>58.48</x:v>
      </x:c>
      <x:c r="N1145" s="19" t="n">
        <x:v>1111.12</x:v>
      </x:c>
      <x:c r="O1145" s="4" t="n">
        <x:f>YEAR(C1145)</x:f>
        <x:v>2025</x:v>
      </x:c>
      <x:c r="P1145" s="4" t="str">
        <x:f>TEXT(C1145,"yyyy-mm")</x:f>
        <x:v>2025-06</x:v>
      </x:c>
      <x:c r="Q1145" s="4" t="str">
        <x:f>TEXT(C1145,"mmmm")</x:f>
        <x:v>June</x:v>
      </x:c>
    </x:row>
    <x:row r="1146" ht="20" customHeight="1">
      <x:c r="A1146" s="4" t="inlineStr">
        <x:is>
          <x:t xml:space="preserve">LINE-01157</x:t>
        </x:is>
      </x:c>
      <x:c r="B1146" s="4" t="inlineStr">
        <x:is>
          <x:t xml:space="preserve">ORD-2025-0719</x:t>
        </x:is>
      </x:c>
      <x:c r="C1146" s="17" t="n">
        <x:v>45964</x:v>
      </x:c>
      <x:c r="D1146" s="4" t="inlineStr">
        <x:is>
          <x:t xml:space="preserve">CUS-0169</x:t>
        </x:is>
      </x:c>
      <x:c r="E1146" s="4" t="inlineStr">
        <x:is>
          <x:t xml:space="preserve">Laptop</x:t>
        </x:is>
      </x:c>
      <x:c r="F1146" s="4" t="inlineStr">
        <x:is>
          <x:t xml:space="preserve">Computers</x:t>
        </x:is>
      </x:c>
      <x:c r="G1146" s="4" t="inlineStr">
        <x:is>
          <x:t xml:space="preserve">New York</x:t>
        </x:is>
      </x:c>
      <x:c r="H1146" s="18" t="n">
        <x:v>2</x:v>
      </x:c>
      <x:c r="I1146" s="19" t="n">
        <x:v>1011.02</x:v>
      </x:c>
      <x:c r="J1146" s="20" t="n">
        <x:v>0.05</x:v>
      </x:c>
      <x:c r="K1146" s="4" t="inlineStr">
        <x:is>
          <x:t xml:space="preserve">Debit Card</x:t>
        </x:is>
      </x:c>
      <x:c r="L1146" s="19" t="n">
        <x:v>2022.04</x:v>
      </x:c>
      <x:c r="M1146" s="19" t="n">
        <x:v>101.1</x:v>
      </x:c>
      <x:c r="N1146" s="19" t="n">
        <x:v>1920.94</x:v>
      </x:c>
      <x:c r="O1146" s="4" t="n">
        <x:f>YEAR(C1146)</x:f>
        <x:v>2025</x:v>
      </x:c>
      <x:c r="P1146" s="4" t="str">
        <x:f>TEXT(C1146,"yyyy-mm")</x:f>
        <x:v>2025-11</x:v>
      </x:c>
      <x:c r="Q1146" s="4" t="str">
        <x:f>TEXT(C1146,"mmmm")</x:f>
        <x:v>November</x:v>
      </x:c>
    </x:row>
    <x:row r="1147" ht="20" customHeight="1">
      <x:c r="A1147" s="4" t="inlineStr">
        <x:is>
          <x:t xml:space="preserve">LINE-01158</x:t>
        </x:is>
      </x:c>
      <x:c r="B1147" s="4" t="inlineStr">
        <x:is>
          <x:t xml:space="preserve">ORD-2025-0719</x:t>
        </x:is>
      </x:c>
      <x:c r="C1147" s="17" t="n">
        <x:v>45964</x:v>
      </x:c>
      <x:c r="D1147" s="4" t="inlineStr">
        <x:is>
          <x:t xml:space="preserve">CUS-0169</x:t>
        </x:is>
      </x:c>
      <x:c r="E1147" s="4" t="inlineStr">
        <x:is>
          <x:t xml:space="preserve">USB Flash Drive</x:t>
        </x:is>
      </x:c>
      <x:c r="F1147" s="4" t="inlineStr">
        <x:is>
          <x:t xml:space="preserve">Storage</x:t>
        </x:is>
      </x:c>
      <x:c r="G1147" s="4" t="inlineStr">
        <x:is>
          <x:t xml:space="preserve">New York</x:t>
        </x:is>
      </x:c>
      <x:c r="H1147" s="18" t="n">
        <x:v>2</x:v>
      </x:c>
      <x:c r="I1147" s="19" t="n">
        <x:v>31.9</x:v>
      </x:c>
      <x:c r="J1147" s="20" t="n">
        <x:v>0.1</x:v>
      </x:c>
      <x:c r="K1147" s="4" t="inlineStr">
        <x:is>
          <x:t xml:space="preserve">Debit Card</x:t>
        </x:is>
      </x:c>
      <x:c r="L1147" s="19" t="n">
        <x:v>63.8</x:v>
      </x:c>
      <x:c r="M1147" s="19" t="n">
        <x:v>6.38</x:v>
      </x:c>
      <x:c r="N1147" s="19" t="n">
        <x:v>57.42</x:v>
      </x:c>
      <x:c r="O1147" s="4" t="n">
        <x:f>YEAR(C1147)</x:f>
        <x:v>2025</x:v>
      </x:c>
      <x:c r="P1147" s="4" t="str">
        <x:f>TEXT(C1147,"yyyy-mm")</x:f>
        <x:v>2025-11</x:v>
      </x:c>
      <x:c r="Q1147" s="4" t="str">
        <x:f>TEXT(C1147,"mmmm")</x:f>
        <x:v>November</x:v>
      </x:c>
    </x:row>
    <x:row r="1148" ht="20" customHeight="1">
      <x:c r="A1148" s="4" t="inlineStr">
        <x:is>
          <x:t xml:space="preserve">LINE-01159</x:t>
        </x:is>
      </x:c>
      <x:c r="B1148" s="4" t="inlineStr">
        <x:is>
          <x:t xml:space="preserve">ORD-2025-0720</x:t>
        </x:is>
      </x:c>
      <x:c r="C1148" s="17" t="n">
        <x:v>45859</x:v>
      </x:c>
      <x:c r="D1148" s="4" t="inlineStr">
        <x:is>
          <x:t xml:space="preserve">CUS-0276</x:t>
        </x:is>
      </x:c>
      <x:c r="E1148" s="4" t="inlineStr">
        <x:is>
          <x:t xml:space="preserve">Office Chair</x:t>
        </x:is>
      </x:c>
      <x:c r="F1148" s="4" t="inlineStr">
        <x:is>
          <x:t xml:space="preserve">Furniture</x:t>
        </x:is>
      </x:c>
      <x:c r="G1148" s="4" t="inlineStr">
        <x:is>
          <x:t xml:space="preserve">New York</x:t>
        </x:is>
      </x:c>
      <x:c r="H1148" s="18" t="n">
        <x:v>2</x:v>
      </x:c>
      <x:c r="I1148" s="19" t="n">
        <x:v>234.35</x:v>
      </x:c>
      <x:c r="J1148" s="20" t="n">
        <x:v>0.1</x:v>
      </x:c>
      <x:c r="K1148" s="4" t="inlineStr">
        <x:is>
          <x:t xml:space="preserve">Credit Card</x:t>
        </x:is>
      </x:c>
      <x:c r="L1148" s="19" t="n">
        <x:v>468.7</x:v>
      </x:c>
      <x:c r="M1148" s="19" t="n">
        <x:v>46.87</x:v>
      </x:c>
      <x:c r="N1148" s="19" t="n">
        <x:v>421.83</x:v>
      </x:c>
      <x:c r="O1148" s="4" t="n">
        <x:f>YEAR(C1148)</x:f>
        <x:v>2025</x:v>
      </x:c>
      <x:c r="P1148" s="4" t="str">
        <x:f>TEXT(C1148,"yyyy-mm")</x:f>
        <x:v>2025-07</x:v>
      </x:c>
      <x:c r="Q1148" s="4" t="str">
        <x:f>TEXT(C1148,"mmmm")</x:f>
        <x:v>July</x:v>
      </x:c>
    </x:row>
    <x:row r="1149" ht="20" customHeight="1">
      <x:c r="A1149" s="4" t="inlineStr">
        <x:is>
          <x:t xml:space="preserve">LINE-01160</x:t>
        </x:is>
      </x:c>
      <x:c r="B1149" s="4" t="inlineStr">
        <x:is>
          <x:t xml:space="preserve">ORD-2025-0720</x:t>
        </x:is>
      </x:c>
      <x:c r="C1149" s="17" t="n">
        <x:v>45859</x:v>
      </x:c>
      <x:c r="D1149" s="4" t="inlineStr">
        <x:is>
          <x:t xml:space="preserve">CUS-0276</x:t>
        </x:is>
      </x:c>
      <x:c r="E1149" s="4" t="inlineStr">
        <x:is>
          <x:t xml:space="preserve">Bluetooth Speaker</x:t>
        </x:is>
      </x:c>
      <x:c r="F1149" s="4" t="inlineStr">
        <x:is>
          <x:t xml:space="preserve">Audio</x:t>
        </x:is>
      </x:c>
      <x:c r="G1149" s="4" t="inlineStr">
        <x:is>
          <x:t xml:space="preserve">New York</x:t>
        </x:is>
      </x:c>
      <x:c r="H1149" s="18" t="n">
        <x:v>3</x:v>
      </x:c>
      <x:c r="I1149" s="19" t="n">
        <x:v>107.5</x:v>
      </x:c>
      <x:c r="J1149" s="20" t="n">
        <x:v>0</x:v>
      </x:c>
      <x:c r="K1149" s="4" t="inlineStr">
        <x:is>
          <x:t xml:space="preserve">Credit Card</x:t>
        </x:is>
      </x:c>
      <x:c r="L1149" s="19" t="n">
        <x:v>322.5</x:v>
      </x:c>
      <x:c r="M1149" s="19" t="n">
        <x:v>0</x:v>
      </x:c>
      <x:c r="N1149" s="19" t="n">
        <x:v>322.5</x:v>
      </x:c>
      <x:c r="O1149" s="4" t="n">
        <x:f>YEAR(C1149)</x:f>
        <x:v>2025</x:v>
      </x:c>
      <x:c r="P1149" s="4" t="str">
        <x:f>TEXT(C1149,"yyyy-mm")</x:f>
        <x:v>2025-07</x:v>
      </x:c>
      <x:c r="Q1149" s="4" t="str">
        <x:f>TEXT(C1149,"mmmm")</x:f>
        <x:v>July</x:v>
      </x:c>
    </x:row>
    <x:row r="1150" ht="20" customHeight="1">
      <x:c r="A1150" s="4" t="inlineStr">
        <x:is>
          <x:t xml:space="preserve">LINE-01161</x:t>
        </x:is>
      </x:c>
      <x:c r="B1150" s="4" t="inlineStr">
        <x:is>
          <x:t xml:space="preserve">ORD-2025-0721</x:t>
        </x:is>
      </x:c>
      <x:c r="C1150" s="17" t="n">
        <x:v>46014</x:v>
      </x:c>
      <x:c r="D1150" s="4" t="inlineStr">
        <x:is>
          <x:t xml:space="preserve">CUS-0005</x:t>
        </x:is>
      </x:c>
      <x:c r="E1150" s="4" t="inlineStr">
        <x:is>
          <x:t xml:space="preserve">Wireless Mouse</x:t>
        </x:is>
      </x:c>
      <x:c r="F1150" s="4" t="inlineStr">
        <x:is>
          <x:t xml:space="preserve">Accessories</x:t>
        </x:is>
      </x:c>
      <x:c r="G1150" s="4" t="inlineStr">
        <x:is>
          <x:t xml:space="preserve">New York</x:t>
        </x:is>
      </x:c>
      <x:c r="H1150" s="18" t="n">
        <x:v>2</x:v>
      </x:c>
      <x:c r="I1150" s="19" t="n">
        <x:v>45.075</x:v>
      </x:c>
      <x:c r="J1150" s="20" t="n">
        <x:v>0</x:v>
      </x:c>
      <x:c r="K1150" s="4" t="inlineStr">
        <x:is>
          <x:t xml:space="preserve">Bank Transfer</x:t>
        </x:is>
      </x:c>
      <x:c r="L1150" s="19" t="n">
        <x:v>90.15000000000001</x:v>
      </x:c>
      <x:c r="M1150" s="19" t="n">
        <x:v>0</x:v>
      </x:c>
      <x:c r="N1150" s="19" t="n">
        <x:v>90.15000000000001</x:v>
      </x:c>
      <x:c r="O1150" s="4" t="n">
        <x:f>YEAR(C1150)</x:f>
        <x:v>2025</x:v>
      </x:c>
      <x:c r="P1150" s="4" t="str">
        <x:f>TEXT(C1150,"yyyy-mm")</x:f>
        <x:v>2025-12</x:v>
      </x:c>
      <x:c r="Q1150" s="4" t="str">
        <x:f>TEXT(C1150,"mmmm")</x:f>
        <x:v>December</x:v>
      </x:c>
    </x:row>
    <x:row r="1151" ht="20" customHeight="1">
      <x:c r="A1151" s="4" t="inlineStr">
        <x:is>
          <x:t xml:space="preserve">LINE-01162</x:t>
        </x:is>
      </x:c>
      <x:c r="B1151" s="4" t="inlineStr">
        <x:is>
          <x:t xml:space="preserve">ORD-2025-0722</x:t>
        </x:is>
      </x:c>
      <x:c r="C1151" s="17" t="n">
        <x:v>45801</x:v>
      </x:c>
      <x:c r="D1151" s="4" t="inlineStr">
        <x:is>
          <x:t xml:space="preserve">CUS-0349</x:t>
        </x:is>
      </x:c>
      <x:c r="E1151" s="4" t="inlineStr">
        <x:is>
          <x:t xml:space="preserve">USB Flash Drive</x:t>
        </x:is>
      </x:c>
      <x:c r="F1151" s="4" t="inlineStr">
        <x:is>
          <x:t xml:space="preserve">Storage</x:t>
        </x:is>
      </x:c>
      <x:c r="G1151" s="4" t="inlineStr">
        <x:is>
          <x:t xml:space="preserve">San Francisco</x:t>
        </x:is>
      </x:c>
      <x:c r="H1151" s="18" t="n">
        <x:v>2</x:v>
      </x:c>
      <x:c r="I1151" s="19" t="n">
        <x:v>31.48</x:v>
      </x:c>
      <x:c r="J1151" s="20" t="n">
        <x:v>0</x:v>
      </x:c>
      <x:c r="K1151" s="4" t="inlineStr">
        <x:is>
          <x:t xml:space="preserve">PayPal</x:t>
        </x:is>
      </x:c>
      <x:c r="L1151" s="19" t="n">
        <x:v>62.96</x:v>
      </x:c>
      <x:c r="M1151" s="19" t="n">
        <x:v>0</x:v>
      </x:c>
      <x:c r="N1151" s="19" t="n">
        <x:v>62.96</x:v>
      </x:c>
      <x:c r="O1151" s="4" t="n">
        <x:f>YEAR(C1151)</x:f>
        <x:v>2025</x:v>
      </x:c>
      <x:c r="P1151" s="4" t="str">
        <x:f>TEXT(C1151,"yyyy-mm")</x:f>
        <x:v>2025-05</x:v>
      </x:c>
      <x:c r="Q1151" s="4" t="str">
        <x:f>TEXT(C1151,"mmmm")</x:f>
        <x:v>May</x:v>
      </x:c>
    </x:row>
    <x:row r="1152" ht="20" customHeight="1">
      <x:c r="A1152" s="4" t="inlineStr">
        <x:is>
          <x:t xml:space="preserve">LINE-01163</x:t>
        </x:is>
      </x:c>
      <x:c r="B1152" s="4" t="inlineStr">
        <x:is>
          <x:t xml:space="preserve">ORD-2025-0723</x:t>
        </x:is>
      </x:c>
      <x:c r="C1152" s="17" t="n">
        <x:v>45910</x:v>
      </x:c>
      <x:c r="D1152" s="4" t="inlineStr">
        <x:is>
          <x:t xml:space="preserve">CUS-0186</x:t>
        </x:is>
      </x:c>
      <x:c r="E1152" s="4" t="inlineStr">
        <x:is>
          <x:t xml:space="preserve">Desk Lamp</x:t>
        </x:is>
      </x:c>
      <x:c r="F1152" s="4" t="inlineStr">
        <x:is>
          <x:t xml:space="preserve">Furniture</x:t>
        </x:is>
      </x:c>
      <x:c r="G1152" s="4" t="inlineStr">
        <x:is>
          <x:t xml:space="preserve">New York</x:t>
        </x:is>
      </x:c>
      <x:c r="H1152" s="18" t="n">
        <x:v>3</x:v>
      </x:c>
      <x:c r="I1152" s="19" t="n">
        <x:v>52.44</x:v>
      </x:c>
      <x:c r="J1152" s="20" t="n">
        <x:v>0</x:v>
      </x:c>
      <x:c r="K1152" s="4" t="inlineStr">
        <x:is>
          <x:t xml:space="preserve">PayPal</x:t>
        </x:is>
      </x:c>
      <x:c r="L1152" s="19" t="n">
        <x:v>157.32</x:v>
      </x:c>
      <x:c r="M1152" s="19" t="n">
        <x:v>0</x:v>
      </x:c>
      <x:c r="N1152" s="19" t="n">
        <x:v>157.32</x:v>
      </x:c>
      <x:c r="O1152" s="4" t="n">
        <x:f>YEAR(C1152)</x:f>
        <x:v>2025</x:v>
      </x:c>
      <x:c r="P1152" s="4" t="str">
        <x:f>TEXT(C1152,"yyyy-mm")</x:f>
        <x:v>2025-09</x:v>
      </x:c>
      <x:c r="Q1152" s="4" t="str">
        <x:f>TEXT(C1152,"mmmm")</x:f>
        <x:v>September</x:v>
      </x:c>
    </x:row>
    <x:row r="1153" ht="20" customHeight="1">
      <x:c r="A1153" s="4" t="inlineStr">
        <x:is>
          <x:t xml:space="preserve">LINE-01164</x:t>
        </x:is>
      </x:c>
      <x:c r="B1153" s="4" t="inlineStr">
        <x:is>
          <x:t xml:space="preserve">ORD-2025-0724</x:t>
        </x:is>
      </x:c>
      <x:c r="C1153" s="17" t="n">
        <x:v>45984</x:v>
      </x:c>
      <x:c r="D1153" s="4" t="inlineStr">
        <x:is>
          <x:t xml:space="preserve">CUS-0203</x:t>
        </x:is>
      </x:c>
      <x:c r="E1153" s="4" t="inlineStr">
        <x:is>
          <x:t xml:space="preserve">Bluetooth Speaker</x:t>
        </x:is>
      </x:c>
      <x:c r="F1153" s="4" t="inlineStr">
        <x:is>
          <x:t xml:space="preserve">Audio</x:t>
        </x:is>
      </x:c>
      <x:c r="G1153" s="4" t="inlineStr">
        <x:is>
          <x:t xml:space="preserve">New York</x:t>
        </x:is>
      </x:c>
      <x:c r="H1153" s="18" t="n">
        <x:v>2</x:v>
      </x:c>
      <x:c r="I1153" s="19" t="n">
        <x:v>112.81</x:v>
      </x:c>
      <x:c r="J1153" s="20" t="n">
        <x:v>0.05</x:v>
      </x:c>
      <x:c r="K1153" s="4" t="inlineStr">
        <x:is>
          <x:t xml:space="preserve">PayPal</x:t>
        </x:is>
      </x:c>
      <x:c r="L1153" s="19" t="n">
        <x:v>225.62</x:v>
      </x:c>
      <x:c r="M1153" s="19" t="n">
        <x:v>11.28</x:v>
      </x:c>
      <x:c r="N1153" s="19" t="n">
        <x:v>214.34</x:v>
      </x:c>
      <x:c r="O1153" s="4" t="n">
        <x:f>YEAR(C1153)</x:f>
        <x:v>2025</x:v>
      </x:c>
      <x:c r="P1153" s="4" t="str">
        <x:f>TEXT(C1153,"yyyy-mm")</x:f>
        <x:v>2025-11</x:v>
      </x:c>
      <x:c r="Q1153" s="4" t="str">
        <x:f>TEXT(C1153,"mmmm")</x:f>
        <x:v>November</x:v>
      </x:c>
    </x:row>
    <x:row r="1154" ht="20" customHeight="1">
      <x:c r="A1154" s="4" t="inlineStr">
        <x:is>
          <x:t xml:space="preserve">LINE-01165</x:t>
        </x:is>
      </x:c>
      <x:c r="B1154" s="4" t="inlineStr">
        <x:is>
          <x:t xml:space="preserve">ORD-2025-0724</x:t>
        </x:is>
      </x:c>
      <x:c r="C1154" s="17" t="n">
        <x:v>45984</x:v>
      </x:c>
      <x:c r="D1154" s="4" t="inlineStr">
        <x:is>
          <x:t xml:space="preserve">CUS-0203</x:t>
        </x:is>
      </x:c>
      <x:c r="E1154" s="4" t="inlineStr">
        <x:is>
          <x:t xml:space="preserve">Keyboard</x:t>
        </x:is>
      </x:c>
      <x:c r="F1154" s="4" t="inlineStr">
        <x:is>
          <x:t xml:space="preserve">Accessories</x:t>
        </x:is>
      </x:c>
      <x:c r="G1154" s="4" t="inlineStr">
        <x:is>
          <x:t xml:space="preserve">New York</x:t>
        </x:is>
      </x:c>
      <x:c r="H1154" s="18" t="n">
        <x:v>3</x:v>
      </x:c>
      <x:c r="I1154" s="19" t="n">
        <x:v>75.78</x:v>
      </x:c>
      <x:c r="J1154" s="20" t="n">
        <x:v>0</x:v>
      </x:c>
      <x:c r="K1154" s="4" t="inlineStr">
        <x:is>
          <x:t xml:space="preserve">PayPal</x:t>
        </x:is>
      </x:c>
      <x:c r="L1154" s="19" t="n">
        <x:v>227.34</x:v>
      </x:c>
      <x:c r="M1154" s="19" t="n">
        <x:v>0</x:v>
      </x:c>
      <x:c r="N1154" s="19" t="n">
        <x:v>227.34</x:v>
      </x:c>
      <x:c r="O1154" s="4" t="n">
        <x:f>YEAR(C1154)</x:f>
        <x:v>2025</x:v>
      </x:c>
      <x:c r="P1154" s="4" t="str">
        <x:f>TEXT(C1154,"yyyy-mm")</x:f>
        <x:v>2025-11</x:v>
      </x:c>
      <x:c r="Q1154" s="4" t="str">
        <x:f>TEXT(C1154,"mmmm")</x:f>
        <x:v>November</x:v>
      </x:c>
    </x:row>
    <x:row r="1155" ht="20" customHeight="1">
      <x:c r="A1155" s="4" t="inlineStr">
        <x:is>
          <x:t xml:space="preserve">LINE-01166</x:t>
        </x:is>
      </x:c>
      <x:c r="B1155" s="4" t="inlineStr">
        <x:is>
          <x:t xml:space="preserve">ORD-2025-0725</x:t>
        </x:is>
      </x:c>
      <x:c r="C1155" s="17" t="n">
        <x:v>45723</x:v>
      </x:c>
      <x:c r="D1155" s="4" t="inlineStr">
        <x:is>
          <x:t xml:space="preserve">CUS-0034</x:t>
        </x:is>
      </x:c>
      <x:c r="E1155" s="4" t="inlineStr">
        <x:is>
          <x:t xml:space="preserve">Wireless Mouse</x:t>
        </x:is>
      </x:c>
      <x:c r="F1155" s="4" t="inlineStr">
        <x:is>
          <x:t xml:space="preserve">Accessories</x:t>
        </x:is>
      </x:c>
      <x:c r="G1155" s="4" t="inlineStr">
        <x:is>
          <x:t xml:space="preserve">Chicago</x:t>
        </x:is>
      </x:c>
      <x:c r="H1155" s="18" t="n">
        <x:v>1</x:v>
      </x:c>
      <x:c r="I1155" s="19" t="n">
        <x:v>46.28</x:v>
      </x:c>
      <x:c r="J1155" s="20" t="n">
        <x:v>0.2</x:v>
      </x:c>
      <x:c r="K1155" s="4" t="inlineStr">
        <x:is>
          <x:t xml:space="preserve">PayPal</x:t>
        </x:is>
      </x:c>
      <x:c r="L1155" s="19" t="n">
        <x:v>46.28</x:v>
      </x:c>
      <x:c r="M1155" s="19" t="n">
        <x:v>9.26</x:v>
      </x:c>
      <x:c r="N1155" s="19" t="n">
        <x:v>37.02</x:v>
      </x:c>
      <x:c r="O1155" s="4" t="n">
        <x:f>YEAR(C1155)</x:f>
        <x:v>2025</x:v>
      </x:c>
      <x:c r="P1155" s="4" t="str">
        <x:f>TEXT(C1155,"yyyy-mm")</x:f>
        <x:v>2025-03</x:v>
      </x:c>
      <x:c r="Q1155" s="4" t="str">
        <x:f>TEXT(C1155,"mmmm")</x:f>
        <x:v>March</x:v>
      </x:c>
    </x:row>
    <x:row r="1156" ht="20" customHeight="1">
      <x:c r="A1156" s="4" t="inlineStr">
        <x:is>
          <x:t xml:space="preserve">LINE-01167</x:t>
        </x:is>
      </x:c>
      <x:c r="B1156" s="4" t="inlineStr">
        <x:is>
          <x:t xml:space="preserve">ORD-2025-0725</x:t>
        </x:is>
      </x:c>
      <x:c r="C1156" s="17" t="n">
        <x:v>45723</x:v>
      </x:c>
      <x:c r="D1156" s="4" t="inlineStr">
        <x:is>
          <x:t xml:space="preserve">CUS-0034</x:t>
        </x:is>
      </x:c>
      <x:c r="E1156" s="4" t="inlineStr">
        <x:is>
          <x:t xml:space="preserve">External SSD</x:t>
        </x:is>
      </x:c>
      <x:c r="F1156" s="4" t="inlineStr">
        <x:is>
          <x:t xml:space="preserve">Storage</x:t>
        </x:is>
      </x:c>
      <x:c r="G1156" s="4" t="inlineStr">
        <x:is>
          <x:t xml:space="preserve">Chicago</x:t>
        </x:is>
      </x:c>
      <x:c r="H1156" s="18" t="n">
        <x:v>3</x:v>
      </x:c>
      <x:c r="I1156" s="19" t="n">
        <x:v>150.79</x:v>
      </x:c>
      <x:c r="J1156" s="20" t="n">
        <x:v>0</x:v>
      </x:c>
      <x:c r="K1156" s="4" t="inlineStr">
        <x:is>
          <x:t xml:space="preserve">PayPal</x:t>
        </x:is>
      </x:c>
      <x:c r="L1156" s="19" t="n">
        <x:v>452.37</x:v>
      </x:c>
      <x:c r="M1156" s="19" t="n">
        <x:v>0</x:v>
      </x:c>
      <x:c r="N1156" s="19" t="n">
        <x:v>452.37</x:v>
      </x:c>
      <x:c r="O1156" s="4" t="n">
        <x:f>YEAR(C1156)</x:f>
        <x:v>2025</x:v>
      </x:c>
      <x:c r="P1156" s="4" t="str">
        <x:f>TEXT(C1156,"yyyy-mm")</x:f>
        <x:v>2025-03</x:v>
      </x:c>
      <x:c r="Q1156" s="4" t="str">
        <x:f>TEXT(C1156,"mmmm")</x:f>
        <x:v>March</x:v>
      </x:c>
    </x:row>
    <x:row r="1157" ht="20" customHeight="1">
      <x:c r="A1157" s="4" t="inlineStr">
        <x:is>
          <x:t xml:space="preserve">LINE-01168</x:t>
        </x:is>
      </x:c>
      <x:c r="B1157" s="4" t="inlineStr">
        <x:is>
          <x:t xml:space="preserve">ORD-2025-0725</x:t>
        </x:is>
      </x:c>
      <x:c r="C1157" s="17" t="n">
        <x:v>45723</x:v>
      </x:c>
      <x:c r="D1157" s="4" t="inlineStr">
        <x:is>
          <x:t xml:space="preserve">CUS-0034</x:t>
        </x:is>
      </x:c>
      <x:c r="E1157" s="4" t="inlineStr">
        <x:is>
          <x:t xml:space="preserve">USB-C Hub</x:t>
        </x:is>
      </x:c>
      <x:c r="F1157" s="4" t="inlineStr">
        <x:is>
          <x:t xml:space="preserve">Accessories</x:t>
        </x:is>
      </x:c>
      <x:c r="G1157" s="4" t="inlineStr">
        <x:is>
          <x:t xml:space="preserve">Chicago</x:t>
        </x:is>
      </x:c>
      <x:c r="H1157" s="18" t="n">
        <x:v>2</x:v>
      </x:c>
      <x:c r="I1157" s="19" t="n">
        <x:v>64.52</x:v>
      </x:c>
      <x:c r="J1157" s="20" t="n">
        <x:v>0.15</x:v>
      </x:c>
      <x:c r="K1157" s="4" t="inlineStr">
        <x:is>
          <x:t xml:space="preserve">PayPal</x:t>
        </x:is>
      </x:c>
      <x:c r="L1157" s="19" t="n">
        <x:v>129.04</x:v>
      </x:c>
      <x:c r="M1157" s="19" t="n">
        <x:v>19.36</x:v>
      </x:c>
      <x:c r="N1157" s="19" t="n">
        <x:v>109.68</x:v>
      </x:c>
      <x:c r="O1157" s="4" t="n">
        <x:f>YEAR(C1157)</x:f>
        <x:v>2025</x:v>
      </x:c>
      <x:c r="P1157" s="4" t="str">
        <x:f>TEXT(C1157,"yyyy-mm")</x:f>
        <x:v>2025-03</x:v>
      </x:c>
      <x:c r="Q1157" s="4" t="str">
        <x:f>TEXT(C1157,"mmmm")</x:f>
        <x:v>March</x:v>
      </x:c>
    </x:row>
    <x:row r="1158" ht="20" customHeight="1">
      <x:c r="A1158" s="4" t="inlineStr">
        <x:is>
          <x:t xml:space="preserve">LINE-01169</x:t>
        </x:is>
      </x:c>
      <x:c r="B1158" s="4" t="inlineStr">
        <x:is>
          <x:t xml:space="preserve">ORD-2025-0726</x:t>
        </x:is>
      </x:c>
      <x:c r="C1158" s="17" t="n">
        <x:v>45986</x:v>
      </x:c>
      <x:c r="D1158" s="4" t="inlineStr">
        <x:is>
          <x:t xml:space="preserve">CUS-0345</x:t>
        </x:is>
      </x:c>
      <x:c r="E1158" s="4" t="inlineStr">
        <x:is>
          <x:t xml:space="preserve">Webcam</x:t>
        </x:is>
      </x:c>
      <x:c r="F1158" s="4" t="inlineStr">
        <x:is>
          <x:t xml:space="preserve">Accessories</x:t>
        </x:is>
      </x:c>
      <x:c r="G1158" s="4" t="inlineStr">
        <x:is>
          <x:t xml:space="preserve">San Francisco</x:t>
        </x:is>
      </x:c>
      <x:c r="H1158" s="18" t="n">
        <x:v>1</x:v>
      </x:c>
      <x:c r="I1158" s="19" t="n">
        <x:v>92.59</x:v>
      </x:c>
      <x:c r="J1158" s="20" t="n">
        <x:v>0.05</x:v>
      </x:c>
      <x:c r="K1158" s="4" t="inlineStr">
        <x:is>
          <x:t xml:space="preserve">Credit Card</x:t>
        </x:is>
      </x:c>
      <x:c r="L1158" s="19" t="n">
        <x:v>92.59</x:v>
      </x:c>
      <x:c r="M1158" s="19" t="n">
        <x:v>4.63</x:v>
      </x:c>
      <x:c r="N1158" s="19" t="n">
        <x:v>87.95999999999999</x:v>
      </x:c>
      <x:c r="O1158" s="4" t="n">
        <x:f>YEAR(C1158)</x:f>
        <x:v>2025</x:v>
      </x:c>
      <x:c r="P1158" s="4" t="str">
        <x:f>TEXT(C1158,"yyyy-mm")</x:f>
        <x:v>2025-11</x:v>
      </x:c>
      <x:c r="Q1158" s="4" t="str">
        <x:f>TEXT(C1158,"mmmm")</x:f>
        <x:v>November</x:v>
      </x:c>
    </x:row>
    <x:row r="1159" ht="20" customHeight="1">
      <x:c r="A1159" s="4" t="inlineStr">
        <x:is>
          <x:t xml:space="preserve">LINE-01170</x:t>
        </x:is>
      </x:c>
      <x:c r="B1159" s="4" t="inlineStr">
        <x:is>
          <x:t xml:space="preserve">ORD-2025-0726</x:t>
        </x:is>
      </x:c>
      <x:c r="C1159" s="17" t="n">
        <x:v>45986</x:v>
      </x:c>
      <x:c r="D1159" s="4" t="inlineStr">
        <x:is>
          <x:t xml:space="preserve">CUS-0345</x:t>
        </x:is>
      </x:c>
      <x:c r="E1159" s="4" t="inlineStr">
        <x:is>
          <x:t xml:space="preserve">Headphones</x:t>
        </x:is>
      </x:c>
      <x:c r="F1159" s="4" t="inlineStr">
        <x:is>
          <x:t xml:space="preserve">Audio</x:t>
        </x:is>
      </x:c>
      <x:c r="G1159" s="4" t="inlineStr">
        <x:is>
          <x:t xml:space="preserve">San Francisco</x:t>
        </x:is>
      </x:c>
      <x:c r="H1159" s="18" t="n">
        <x:v>1</x:v>
      </x:c>
      <x:c r="I1159" s="19" t="n">
        <x:v>135.39</x:v>
      </x:c>
      <x:c r="J1159" s="20" t="n">
        <x:v>0.15</x:v>
      </x:c>
      <x:c r="K1159" s="4" t="inlineStr">
        <x:is>
          <x:t xml:space="preserve">Credit Card</x:t>
        </x:is>
      </x:c>
      <x:c r="L1159" s="19" t="n">
        <x:v>135.39</x:v>
      </x:c>
      <x:c r="M1159" s="19" t="n">
        <x:v>20.31</x:v>
      </x:c>
      <x:c r="N1159" s="19" t="n">
        <x:v>115.08</x:v>
      </x:c>
      <x:c r="O1159" s="4" t="n">
        <x:f>YEAR(C1159)</x:f>
        <x:v>2025</x:v>
      </x:c>
      <x:c r="P1159" s="4" t="str">
        <x:f>TEXT(C1159,"yyyy-mm")</x:f>
        <x:v>2025-11</x:v>
      </x:c>
      <x:c r="Q1159" s="4" t="str">
        <x:f>TEXT(C1159,"mmmm")</x:f>
        <x:v>November</x:v>
      </x:c>
    </x:row>
    <x:row r="1160" ht="20" customHeight="1">
      <x:c r="A1160" s="4" t="inlineStr">
        <x:is>
          <x:t xml:space="preserve">LINE-01171</x:t>
        </x:is>
      </x:c>
      <x:c r="B1160" s="4" t="inlineStr">
        <x:is>
          <x:t xml:space="preserve">ORD-2025-0726</x:t>
        </x:is>
      </x:c>
      <x:c r="C1160" s="17" t="n">
        <x:v>45986</x:v>
      </x:c>
      <x:c r="D1160" s="4" t="inlineStr">
        <x:is>
          <x:t xml:space="preserve">CUS-0345</x:t>
        </x:is>
      </x:c>
      <x:c r="E1160" s="4" t="inlineStr">
        <x:is>
          <x:t xml:space="preserve">Office Chair</x:t>
        </x:is>
      </x:c>
      <x:c r="F1160" s="4" t="inlineStr">
        <x:is>
          <x:t xml:space="preserve">Furniture</x:t>
        </x:is>
      </x:c>
      <x:c r="G1160" s="4" t="inlineStr">
        <x:is>
          <x:t xml:space="preserve">San Francisco</x:t>
        </x:is>
      </x:c>
      <x:c r="H1160" s="18" t="n">
        <x:v>1</x:v>
      </x:c>
      <x:c r="I1160" s="19" t="n">
        <x:v>231.47</x:v>
      </x:c>
      <x:c r="J1160" s="20" t="n">
        <x:v>0</x:v>
      </x:c>
      <x:c r="K1160" s="4" t="inlineStr">
        <x:is>
          <x:t xml:space="preserve">Credit Card</x:t>
        </x:is>
      </x:c>
      <x:c r="L1160" s="19" t="n">
        <x:v>231.47</x:v>
      </x:c>
      <x:c r="M1160" s="19" t="n">
        <x:v>0</x:v>
      </x:c>
      <x:c r="N1160" s="19" t="n">
        <x:v>231.47</x:v>
      </x:c>
      <x:c r="O1160" s="4" t="n">
        <x:f>YEAR(C1160)</x:f>
        <x:v>2025</x:v>
      </x:c>
      <x:c r="P1160" s="4" t="str">
        <x:f>TEXT(C1160,"yyyy-mm")</x:f>
        <x:v>2025-11</x:v>
      </x:c>
      <x:c r="Q1160" s="4" t="str">
        <x:f>TEXT(C1160,"mmmm")</x:f>
        <x:v>November</x:v>
      </x:c>
    </x:row>
    <x:row r="1161" ht="20" customHeight="1">
      <x:c r="A1161" s="4" t="inlineStr">
        <x:is>
          <x:t xml:space="preserve">LINE-01172</x:t>
        </x:is>
      </x:c>
      <x:c r="B1161" s="4" t="inlineStr">
        <x:is>
          <x:t xml:space="preserve">ORD-2025-0727</x:t>
        </x:is>
      </x:c>
      <x:c r="C1161" s="17" t="n">
        <x:v>45887</x:v>
      </x:c>
      <x:c r="D1161" s="4" t="inlineStr">
        <x:is>
          <x:t xml:space="preserve">CUS-0162</x:t>
        </x:is>
      </x:c>
      <x:c r="E1161" s="4" t="inlineStr">
        <x:is>
          <x:t xml:space="preserve">Monitor</x:t>
        </x:is>
      </x:c>
      <x:c r="F1161" s="4" t="inlineStr">
        <x:is>
          <x:t xml:space="preserve">Computers</x:t>
        </x:is>
      </x:c>
      <x:c r="G1161" s="4" t="inlineStr">
        <x:is>
          <x:t xml:space="preserve">New York</x:t>
        </x:is>
      </x:c>
      <x:c r="H1161" s="18" t="n">
        <x:v>4</x:v>
      </x:c>
      <x:c r="I1161" s="19" t="n">
        <x:v>293.78</x:v>
      </x:c>
      <x:c r="J1161" s="20" t="n">
        <x:v>0.2</x:v>
      </x:c>
      <x:c r="K1161" s="4" t="inlineStr">
        <x:is>
          <x:t xml:space="preserve">Bank Transfer</x:t>
        </x:is>
      </x:c>
      <x:c r="L1161" s="19" t="n">
        <x:v>1175.12</x:v>
      </x:c>
      <x:c r="M1161" s="19" t="n">
        <x:v>235.02</x:v>
      </x:c>
      <x:c r="N1161" s="19" t="n">
        <x:v>940.1</x:v>
      </x:c>
      <x:c r="O1161" s="4" t="n">
        <x:f>YEAR(C1161)</x:f>
        <x:v>2025</x:v>
      </x:c>
      <x:c r="P1161" s="4" t="str">
        <x:f>TEXT(C1161,"yyyy-mm")</x:f>
        <x:v>2025-08</x:v>
      </x:c>
      <x:c r="Q1161" s="4" t="str">
        <x:f>TEXT(C1161,"mmmm")</x:f>
        <x:v>August</x:v>
      </x:c>
    </x:row>
    <x:row r="1162" ht="20" customHeight="1">
      <x:c r="A1162" s="4" t="inlineStr">
        <x:is>
          <x:t xml:space="preserve">LINE-01173</x:t>
        </x:is>
      </x:c>
      <x:c r="B1162" s="4" t="inlineStr">
        <x:is>
          <x:t xml:space="preserve">ORD-2025-0728</x:t>
        </x:is>
      </x:c>
      <x:c r="C1162" s="17" t="n">
        <x:v>45773</x:v>
      </x:c>
      <x:c r="D1162" s="4" t="inlineStr">
        <x:is>
          <x:t xml:space="preserve">CUS-0217</x:t>
        </x:is>
      </x:c>
      <x:c r="E1162" s="4" t="inlineStr">
        <x:is>
          <x:t xml:space="preserve">Webcam</x:t>
        </x:is>
      </x:c>
      <x:c r="F1162" s="4" t="inlineStr">
        <x:is>
          <x:t xml:space="preserve">Accessories</x:t>
        </x:is>
      </x:c>
      <x:c r="G1162" s="4" t="inlineStr">
        <x:is>
          <x:t xml:space="preserve">New York</x:t>
        </x:is>
      </x:c>
      <x:c r="H1162" s="18" t="n">
        <x:v>1</x:v>
      </x:c>
      <x:c r="I1162" s="19" t="n">
        <x:v>91.81</x:v>
      </x:c>
      <x:c r="J1162" s="20" t="n">
        <x:v>0</x:v>
      </x:c>
      <x:c r="K1162" s="4" t="inlineStr">
        <x:is>
          <x:t xml:space="preserve">Debit Card</x:t>
        </x:is>
      </x:c>
      <x:c r="L1162" s="19" t="n">
        <x:v>91.81</x:v>
      </x:c>
      <x:c r="M1162" s="19" t="n">
        <x:v>0</x:v>
      </x:c>
      <x:c r="N1162" s="19" t="n">
        <x:v>91.81</x:v>
      </x:c>
      <x:c r="O1162" s="4" t="n">
        <x:f>YEAR(C1162)</x:f>
        <x:v>2025</x:v>
      </x:c>
      <x:c r="P1162" s="4" t="str">
        <x:f>TEXT(C1162,"yyyy-mm")</x:f>
        <x:v>2025-04</x:v>
      </x:c>
      <x:c r="Q1162" s="4" t="str">
        <x:f>TEXT(C1162,"mmmm")</x:f>
        <x:v>April</x:v>
      </x:c>
    </x:row>
    <x:row r="1163" ht="20" customHeight="1">
      <x:c r="A1163" s="4" t="inlineStr">
        <x:is>
          <x:t xml:space="preserve">LINE-01174</x:t>
        </x:is>
      </x:c>
      <x:c r="B1163" s="4" t="inlineStr">
        <x:is>
          <x:t xml:space="preserve">ORD-2025-0729</x:t>
        </x:is>
      </x:c>
      <x:c r="C1163" s="17" t="n">
        <x:v>45903</x:v>
      </x:c>
      <x:c r="D1163" s="4" t="inlineStr">
        <x:is>
          <x:t xml:space="preserve">CUS-0222</x:t>
        </x:is>
      </x:c>
      <x:c r="E1163" s="4" t="inlineStr">
        <x:is>
          <x:t xml:space="preserve">Wireless Mouse</x:t>
        </x:is>
      </x:c>
      <x:c r="F1163" s="4" t="inlineStr">
        <x:is>
          <x:t xml:space="preserve">Accessories</x:t>
        </x:is>
      </x:c>
      <x:c r="G1163" s="4" t="inlineStr">
        <x:is>
          <x:t xml:space="preserve">New York</x:t>
        </x:is>
      </x:c>
      <x:c r="H1163" s="18" t="n">
        <x:v>2</x:v>
      </x:c>
      <x:c r="I1163" s="19" t="n">
        <x:v>48.3</x:v>
      </x:c>
      <x:c r="J1163" s="20" t="n">
        <x:v>0.1</x:v>
      </x:c>
      <x:c r="K1163" s="4" t="inlineStr">
        <x:is>
          <x:t xml:space="preserve">PayPal</x:t>
        </x:is>
      </x:c>
      <x:c r="L1163" s="19" t="n">
        <x:v>96.59999999999999</x:v>
      </x:c>
      <x:c r="M1163" s="19" t="n">
        <x:v>9.66</x:v>
      </x:c>
      <x:c r="N1163" s="19" t="n">
        <x:v>86.94</x:v>
      </x:c>
      <x:c r="O1163" s="4" t="n">
        <x:f>YEAR(C1163)</x:f>
        <x:v>2025</x:v>
      </x:c>
      <x:c r="P1163" s="4" t="str">
        <x:f>TEXT(C1163,"yyyy-mm")</x:f>
        <x:v>2025-09</x:v>
      </x:c>
      <x:c r="Q1163" s="4" t="str">
        <x:f>TEXT(C1163,"mmmm")</x:f>
        <x:v>September</x:v>
      </x:c>
    </x:row>
    <x:row r="1164" ht="20" customHeight="1">
      <x:c r="A1164" s="4" t="inlineStr">
        <x:is>
          <x:t xml:space="preserve">LINE-01175</x:t>
        </x:is>
      </x:c>
      <x:c r="B1164" s="4" t="inlineStr">
        <x:is>
          <x:t xml:space="preserve">ORD-2025-0729</x:t>
        </x:is>
      </x:c>
      <x:c r="C1164" s="17" t="n">
        <x:v>45903</x:v>
      </x:c>
      <x:c r="D1164" s="4" t="inlineStr">
        <x:is>
          <x:t xml:space="preserve">CUS-0222</x:t>
        </x:is>
      </x:c>
      <x:c r="E1164" s="4" t="inlineStr">
        <x:is>
          <x:t xml:space="preserve">Monitor</x:t>
        </x:is>
      </x:c>
      <x:c r="F1164" s="4" t="inlineStr">
        <x:is>
          <x:t xml:space="preserve">Computers</x:t>
        </x:is>
      </x:c>
      <x:c r="G1164" s="4" t="inlineStr">
        <x:is>
          <x:t xml:space="preserve">New York</x:t>
        </x:is>
      </x:c>
      <x:c r="H1164" s="18" t="n">
        <x:v>3</x:v>
      </x:c>
      <x:c r="I1164" s="19" t="n">
        <x:v>280.88</x:v>
      </x:c>
      <x:c r="J1164" s="20" t="n">
        <x:v>0</x:v>
      </x:c>
      <x:c r="K1164" s="4" t="inlineStr">
        <x:is>
          <x:t xml:space="preserve">PayPal</x:t>
        </x:is>
      </x:c>
      <x:c r="L1164" s="19" t="n">
        <x:v>842.64</x:v>
      </x:c>
      <x:c r="M1164" s="19" t="n">
        <x:v>0</x:v>
      </x:c>
      <x:c r="N1164" s="19" t="n">
        <x:v>842.64</x:v>
      </x:c>
      <x:c r="O1164" s="4" t="n">
        <x:f>YEAR(C1164)</x:f>
        <x:v>2025</x:v>
      </x:c>
      <x:c r="P1164" s="4" t="str">
        <x:f>TEXT(C1164,"yyyy-mm")</x:f>
        <x:v>2025-09</x:v>
      </x:c>
      <x:c r="Q1164" s="4" t="str">
        <x:f>TEXT(C1164,"mmmm")</x:f>
        <x:v>September</x:v>
      </x:c>
    </x:row>
    <x:row r="1165" ht="20" customHeight="1">
      <x:c r="A1165" s="4" t="inlineStr">
        <x:is>
          <x:t xml:space="preserve">LINE-01176</x:t>
        </x:is>
      </x:c>
      <x:c r="B1165" s="4" t="inlineStr">
        <x:is>
          <x:t xml:space="preserve">ORD-2025-0730</x:t>
        </x:is>
      </x:c>
      <x:c r="C1165" s="17" t="n">
        <x:v>45695</x:v>
      </x:c>
      <x:c r="D1165" s="4" t="inlineStr">
        <x:is>
          <x:t xml:space="preserve">CUS-0308</x:t>
        </x:is>
      </x:c>
      <x:c r="E1165" s="4" t="inlineStr">
        <x:is>
          <x:t xml:space="preserve">Office Chair</x:t>
        </x:is>
      </x:c>
      <x:c r="F1165" s="4" t="inlineStr">
        <x:is>
          <x:t xml:space="preserve">Furniture</x:t>
        </x:is>
      </x:c>
      <x:c r="G1165" s="4" t="inlineStr">
        <x:is>
          <x:t xml:space="preserve">Boston</x:t>
        </x:is>
      </x:c>
      <x:c r="H1165" s="18" t="n">
        <x:v>2</x:v>
      </x:c>
      <x:c r="I1165" s="19" t="n">
        <x:v>224.08</x:v>
      </x:c>
      <x:c r="J1165" s="20" t="n">
        <x:v>0</x:v>
      </x:c>
      <x:c r="K1165" s="4" t="inlineStr">
        <x:is>
          <x:t xml:space="preserve">Bank Transfer</x:t>
        </x:is>
      </x:c>
      <x:c r="L1165" s="19" t="n">
        <x:v>448.16</x:v>
      </x:c>
      <x:c r="M1165" s="19" t="n">
        <x:v>0</x:v>
      </x:c>
      <x:c r="N1165" s="19" t="n">
        <x:v>448.16</x:v>
      </x:c>
      <x:c r="O1165" s="4" t="n">
        <x:f>YEAR(C1165)</x:f>
        <x:v>2025</x:v>
      </x:c>
      <x:c r="P1165" s="4" t="str">
        <x:f>TEXT(C1165,"yyyy-mm")</x:f>
        <x:v>2025-02</x:v>
      </x:c>
      <x:c r="Q1165" s="4" t="str">
        <x:f>TEXT(C1165,"mmmm")</x:f>
        <x:v>February</x:v>
      </x:c>
    </x:row>
    <x:row r="1166" ht="20" customHeight="1">
      <x:c r="A1166" s="4" t="inlineStr">
        <x:is>
          <x:t xml:space="preserve">LINE-01177</x:t>
        </x:is>
      </x:c>
      <x:c r="B1166" s="4" t="inlineStr">
        <x:is>
          <x:t xml:space="preserve">ORD-2025-0730</x:t>
        </x:is>
      </x:c>
      <x:c r="C1166" s="17" t="n">
        <x:v>45695</x:v>
      </x:c>
      <x:c r="D1166" s="4" t="inlineStr">
        <x:is>
          <x:t xml:space="preserve">CUS-0308</x:t>
        </x:is>
      </x:c>
      <x:c r="E1166" s="4" t="inlineStr">
        <x:is>
          <x:t xml:space="preserve">Bluetooth Speaker</x:t>
        </x:is>
      </x:c>
      <x:c r="F1166" s="4" t="inlineStr">
        <x:is>
          <x:t xml:space="preserve">Audio</x:t>
        </x:is>
      </x:c>
      <x:c r="G1166" s="4" t="inlineStr">
        <x:is>
          <x:t xml:space="preserve">Boston</x:t>
        </x:is>
      </x:c>
      <x:c r="H1166" s="18" t="n">
        <x:v>1</x:v>
      </x:c>
      <x:c r="I1166" s="19" t="n">
        <x:v>106.71</x:v>
      </x:c>
      <x:c r="J1166" s="20" t="n">
        <x:v>0.1</x:v>
      </x:c>
      <x:c r="K1166" s="4" t="inlineStr">
        <x:is>
          <x:t xml:space="preserve">Bank Transfer</x:t>
        </x:is>
      </x:c>
      <x:c r="L1166" s="19" t="n">
        <x:v>106.71</x:v>
      </x:c>
      <x:c r="M1166" s="19" t="n">
        <x:v>10.67</x:v>
      </x:c>
      <x:c r="N1166" s="19" t="n">
        <x:v>96.04000000000001</x:v>
      </x:c>
      <x:c r="O1166" s="4" t="n">
        <x:f>YEAR(C1166)</x:f>
        <x:v>2025</x:v>
      </x:c>
      <x:c r="P1166" s="4" t="str">
        <x:f>TEXT(C1166,"yyyy-mm")</x:f>
        <x:v>2025-02</x:v>
      </x:c>
      <x:c r="Q1166" s="4" t="str">
        <x:f>TEXT(C1166,"mmmm")</x:f>
        <x:v>February</x:v>
      </x:c>
    </x:row>
    <x:row r="1167" ht="20" customHeight="1">
      <x:c r="A1167" s="4" t="inlineStr">
        <x:is>
          <x:t xml:space="preserve">LINE-01178</x:t>
        </x:is>
      </x:c>
      <x:c r="B1167" s="4" t="inlineStr">
        <x:is>
          <x:t xml:space="preserve">ORD-2025-0731</x:t>
        </x:is>
      </x:c>
      <x:c r="C1167" s="17" t="n">
        <x:v>45691</x:v>
      </x:c>
      <x:c r="D1167" s="4" t="inlineStr">
        <x:is>
          <x:t xml:space="preserve">CUS-0066</x:t>
        </x:is>
      </x:c>
      <x:c r="E1167" s="4" t="inlineStr">
        <x:is>
          <x:t xml:space="preserve">USB Flash Drive</x:t>
        </x:is>
      </x:c>
      <x:c r="F1167" s="4" t="inlineStr">
        <x:is>
          <x:t xml:space="preserve">Storage</x:t>
        </x:is>
      </x:c>
      <x:c r="G1167" s="4" t="inlineStr">
        <x:is>
          <x:t xml:space="preserve">New York</x:t>
        </x:is>
      </x:c>
      <x:c r="H1167" s="18" t="n">
        <x:v>2</x:v>
      </x:c>
      <x:c r="I1167" s="19" t="n">
        <x:v>27.92</x:v>
      </x:c>
      <x:c r="J1167" s="20" t="n">
        <x:v>0.05</x:v>
      </x:c>
      <x:c r="K1167" s="4" t="inlineStr">
        <x:is>
          <x:t xml:space="preserve">Bank Transfer</x:t>
        </x:is>
      </x:c>
      <x:c r="L1167" s="19" t="n">
        <x:v>55.84</x:v>
      </x:c>
      <x:c r="M1167" s="19" t="n">
        <x:v>2.79</x:v>
      </x:c>
      <x:c r="N1167" s="19" t="n">
        <x:v>53.05</x:v>
      </x:c>
      <x:c r="O1167" s="4" t="n">
        <x:f>YEAR(C1167)</x:f>
        <x:v>2025</x:v>
      </x:c>
      <x:c r="P1167" s="4" t="str">
        <x:f>TEXT(C1167,"yyyy-mm")</x:f>
        <x:v>2025-02</x:v>
      </x:c>
      <x:c r="Q1167" s="4" t="str">
        <x:f>TEXT(C1167,"mmmm")</x:f>
        <x:v>February</x:v>
      </x:c>
    </x:row>
    <x:row r="1168" ht="20" customHeight="1">
      <x:c r="A1168" s="4" t="inlineStr">
        <x:is>
          <x:t xml:space="preserve">LINE-01179</x:t>
        </x:is>
      </x:c>
      <x:c r="B1168" s="4" t="inlineStr">
        <x:is>
          <x:t xml:space="preserve">ORD-2025-0732</x:t>
        </x:is>
      </x:c>
      <x:c r="C1168" s="17" t="n">
        <x:v>45944</x:v>
      </x:c>
      <x:c r="D1168" s="4" t="inlineStr">
        <x:is>
          <x:t xml:space="preserve">CUS-0027</x:t>
        </x:is>
      </x:c>
      <x:c r="E1168" s="4" t="inlineStr">
        <x:is>
          <x:t xml:space="preserve">USB Flash Drive</x:t>
        </x:is>
      </x:c>
      <x:c r="F1168" s="4" t="inlineStr">
        <x:is>
          <x:t xml:space="preserve">Storage</x:t>
        </x:is>
      </x:c>
      <x:c r="G1168" s="4" t="inlineStr">
        <x:is>
          <x:t xml:space="preserve">Austin</x:t>
        </x:is>
      </x:c>
      <x:c r="H1168" s="18" t="n">
        <x:v>3</x:v>
      </x:c>
      <x:c r="I1168" s="19" t="n">
        <x:v>28.72</x:v>
      </x:c>
      <x:c r="J1168" s="20" t="n">
        <x:v>0.05</x:v>
      </x:c>
      <x:c r="K1168" s="4" t="inlineStr">
        <x:is>
          <x:t xml:space="preserve">Bank Transfer</x:t>
        </x:is>
      </x:c>
      <x:c r="L1168" s="19" t="n">
        <x:v>86.16</x:v>
      </x:c>
      <x:c r="M1168" s="19" t="n">
        <x:v>4.31</x:v>
      </x:c>
      <x:c r="N1168" s="19" t="n">
        <x:v>81.84999999999999</x:v>
      </x:c>
      <x:c r="O1168" s="4" t="n">
        <x:f>YEAR(C1168)</x:f>
        <x:v>2025</x:v>
      </x:c>
      <x:c r="P1168" s="4" t="str">
        <x:f>TEXT(C1168,"yyyy-mm")</x:f>
        <x:v>2025-10</x:v>
      </x:c>
      <x:c r="Q1168" s="4" t="str">
        <x:f>TEXT(C1168,"mmmm")</x:f>
        <x:v>October</x:v>
      </x:c>
    </x:row>
    <x:row r="1169" ht="20" customHeight="1">
      <x:c r="A1169" s="4" t="inlineStr">
        <x:is>
          <x:t xml:space="preserve">LINE-01180</x:t>
        </x:is>
      </x:c>
      <x:c r="B1169" s="4" t="inlineStr">
        <x:is>
          <x:t xml:space="preserve">ORD-2025-0733</x:t>
        </x:is>
      </x:c>
      <x:c r="C1169" s="17" t="n">
        <x:v>45995</x:v>
      </x:c>
      <x:c r="D1169" s="4" t="inlineStr">
        <x:is>
          <x:t xml:space="preserve">CUS-0320</x:t>
        </x:is>
      </x:c>
      <x:c r="E1169" s="4" t="inlineStr">
        <x:is>
          <x:t xml:space="preserve">Headphones</x:t>
        </x:is>
      </x:c>
      <x:c r="F1169" s="4" t="inlineStr">
        <x:is>
          <x:t xml:space="preserve">Audio</x:t>
        </x:is>
      </x:c>
      <x:c r="G1169" s="4" t="inlineStr">
        <x:is>
          <x:t xml:space="preserve">New York</x:t>
        </x:is>
      </x:c>
      <x:c r="H1169" s="18" t="n">
        <x:v>4</x:v>
      </x:c>
      <x:c r="I1169" s="19" t="n">
        <x:v>132.48</x:v>
      </x:c>
      <x:c r="J1169" s="20" t="n">
        <x:v>0</x:v>
      </x:c>
      <x:c r="K1169" s="4" t="inlineStr">
        <x:is>
          <x:t xml:space="preserve">Bank Transfer</x:t>
        </x:is>
      </x:c>
      <x:c r="L1169" s="19" t="n">
        <x:v>529.92</x:v>
      </x:c>
      <x:c r="M1169" s="19" t="n">
        <x:v>0</x:v>
      </x:c>
      <x:c r="N1169" s="19" t="n">
        <x:v>529.92</x:v>
      </x:c>
      <x:c r="O1169" s="4" t="n">
        <x:f>YEAR(C1169)</x:f>
        <x:v>2025</x:v>
      </x:c>
      <x:c r="P1169" s="4" t="str">
        <x:f>TEXT(C1169,"yyyy-mm")</x:f>
        <x:v>2025-12</x:v>
      </x:c>
      <x:c r="Q1169" s="4" t="str">
        <x:f>TEXT(C1169,"mmmm")</x:f>
        <x:v>December</x:v>
      </x:c>
    </x:row>
    <x:row r="1170" ht="20" customHeight="1">
      <x:c r="A1170" s="4" t="inlineStr">
        <x:is>
          <x:t xml:space="preserve">LINE-01181</x:t>
        </x:is>
      </x:c>
      <x:c r="B1170" s="4" t="inlineStr">
        <x:is>
          <x:t xml:space="preserve">ORD-2025-0734</x:t>
        </x:is>
      </x:c>
      <x:c r="C1170" s="17" t="n">
        <x:v>46003</x:v>
      </x:c>
      <x:c r="D1170" s="4" t="inlineStr">
        <x:is>
          <x:t xml:space="preserve">CUS-0014</x:t>
        </x:is>
      </x:c>
      <x:c r="E1170" s="4" t="inlineStr">
        <x:is>
          <x:t xml:space="preserve">Monitor</x:t>
        </x:is>
      </x:c>
      <x:c r="F1170" s="4" t="inlineStr">
        <x:is>
          <x:t xml:space="preserve">Computers</x:t>
        </x:is>
      </x:c>
      <x:c r="G1170" s="4" t="inlineStr">
        <x:is>
          <x:t xml:space="preserve">Seattle</x:t>
        </x:is>
      </x:c>
      <x:c r="H1170" s="18" t="n">
        <x:v>1</x:v>
      </x:c>
      <x:c r="I1170" s="19" t="n">
        <x:v>289.56</x:v>
      </x:c>
      <x:c r="J1170" s="20" t="n">
        <x:v>0.05</x:v>
      </x:c>
      <x:c r="K1170" s="4" t="inlineStr">
        <x:is>
          <x:t xml:space="preserve">PayPal</x:t>
        </x:is>
      </x:c>
      <x:c r="L1170" s="19" t="n">
        <x:v>289.56</x:v>
      </x:c>
      <x:c r="M1170" s="19" t="n">
        <x:v>14.48</x:v>
      </x:c>
      <x:c r="N1170" s="19" t="n">
        <x:v>275.08</x:v>
      </x:c>
      <x:c r="O1170" s="4" t="n">
        <x:f>YEAR(C1170)</x:f>
        <x:v>2025</x:v>
      </x:c>
      <x:c r="P1170" s="4" t="str">
        <x:f>TEXT(C1170,"yyyy-mm")</x:f>
        <x:v>2025-12</x:v>
      </x:c>
      <x:c r="Q1170" s="4" t="str">
        <x:f>TEXT(C1170,"mmmm")</x:f>
        <x:v>December</x:v>
      </x:c>
    </x:row>
    <x:row r="1171" ht="20" customHeight="1">
      <x:c r="A1171" s="4" t="inlineStr">
        <x:is>
          <x:t xml:space="preserve">LINE-01182</x:t>
        </x:is>
      </x:c>
      <x:c r="B1171" s="4" t="inlineStr">
        <x:is>
          <x:t xml:space="preserve">ORD-2025-0734</x:t>
        </x:is>
      </x:c>
      <x:c r="C1171" s="17" t="n">
        <x:v>46003</x:v>
      </x:c>
      <x:c r="D1171" s="4" t="inlineStr">
        <x:is>
          <x:t xml:space="preserve">CUS-0014</x:t>
        </x:is>
      </x:c>
      <x:c r="E1171" s="4" t="inlineStr">
        <x:is>
          <x:t xml:space="preserve">Desk Lamp</x:t>
        </x:is>
      </x:c>
      <x:c r="F1171" s="4" t="inlineStr">
        <x:is>
          <x:t xml:space="preserve">Furniture</x:t>
        </x:is>
      </x:c>
      <x:c r="G1171" s="4" t="inlineStr">
        <x:is>
          <x:t xml:space="preserve">Seattle</x:t>
        </x:is>
      </x:c>
      <x:c r="H1171" s="18" t="n">
        <x:v>3</x:v>
      </x:c>
      <x:c r="I1171" s="19" t="n">
        <x:v>58.56</x:v>
      </x:c>
      <x:c r="J1171" s="20" t="n">
        <x:v>0</x:v>
      </x:c>
      <x:c r="K1171" s="4" t="inlineStr">
        <x:is>
          <x:t xml:space="preserve">PayPal</x:t>
        </x:is>
      </x:c>
      <x:c r="L1171" s="19" t="n">
        <x:v>175.68</x:v>
      </x:c>
      <x:c r="M1171" s="19" t="n">
        <x:v>0</x:v>
      </x:c>
      <x:c r="N1171" s="19" t="n">
        <x:v>175.68</x:v>
      </x:c>
      <x:c r="O1171" s="4" t="n">
        <x:f>YEAR(C1171)</x:f>
        <x:v>2025</x:v>
      </x:c>
      <x:c r="P1171" s="4" t="str">
        <x:f>TEXT(C1171,"yyyy-mm")</x:f>
        <x:v>2025-12</x:v>
      </x:c>
      <x:c r="Q1171" s="4" t="str">
        <x:f>TEXT(C1171,"mmmm")</x:f>
        <x:v>December</x:v>
      </x:c>
    </x:row>
    <x:row r="1172" ht="20" customHeight="1">
      <x:c r="A1172" s="4" t="inlineStr">
        <x:is>
          <x:t xml:space="preserve">LINE-01183</x:t>
        </x:is>
      </x:c>
      <x:c r="B1172" s="4" t="inlineStr">
        <x:is>
          <x:t xml:space="preserve">ORD-2025-0735</x:t>
        </x:is>
      </x:c>
      <x:c r="C1172" s="17" t="n">
        <x:v>45918</x:v>
      </x:c>
      <x:c r="D1172" s="4" t="inlineStr">
        <x:is>
          <x:t xml:space="preserve">CUS-0132</x:t>
        </x:is>
      </x:c>
      <x:c r="E1172" s="4" t="inlineStr">
        <x:is>
          <x:t xml:space="preserve">USB Flash Drive</x:t>
        </x:is>
      </x:c>
      <x:c r="F1172" s="4" t="inlineStr">
        <x:is>
          <x:t xml:space="preserve">Storage</x:t>
        </x:is>
      </x:c>
      <x:c r="G1172" s="4" t="inlineStr">
        <x:is>
          <x:t xml:space="preserve">Austin</x:t>
        </x:is>
      </x:c>
      <x:c r="H1172" s="18" t="n">
        <x:v>2</x:v>
      </x:c>
      <x:c r="I1172" s="19" t="n">
        <x:v>28.77</x:v>
      </x:c>
      <x:c r="J1172" s="20" t="n">
        <x:v>0.1</x:v>
      </x:c>
      <x:c r="K1172" s="4" t="inlineStr">
        <x:is>
          <x:t xml:space="preserve">Bank Transfer</x:t>
        </x:is>
      </x:c>
      <x:c r="L1172" s="19" t="n">
        <x:v>57.54</x:v>
      </x:c>
      <x:c r="M1172" s="19" t="n">
        <x:v>5.75</x:v>
      </x:c>
      <x:c r="N1172" s="19" t="n">
        <x:v>51.79</x:v>
      </x:c>
      <x:c r="O1172" s="4" t="n">
        <x:f>YEAR(C1172)</x:f>
        <x:v>2025</x:v>
      </x:c>
      <x:c r="P1172" s="4" t="str">
        <x:f>TEXT(C1172,"yyyy-mm")</x:f>
        <x:v>2025-09</x:v>
      </x:c>
      <x:c r="Q1172" s="4" t="str">
        <x:f>TEXT(C1172,"mmmm")</x:f>
        <x:v>September</x:v>
      </x:c>
    </x:row>
    <x:row r="1173" ht="20" customHeight="1">
      <x:c r="A1173" s="4" t="inlineStr">
        <x:is>
          <x:t xml:space="preserve">LINE-01184</x:t>
        </x:is>
      </x:c>
      <x:c r="B1173" s="4" t="inlineStr">
        <x:is>
          <x:t xml:space="preserve">ORD-2025-0736</x:t>
        </x:is>
      </x:c>
      <x:c r="C1173" s="17" t="n">
        <x:v>45688</x:v>
      </x:c>
      <x:c r="D1173" s="4" t="inlineStr">
        <x:is>
          <x:t xml:space="preserve">CUS-0066</x:t>
        </x:is>
      </x:c>
      <x:c r="E1173" s="4" t="inlineStr">
        <x:is>
          <x:t xml:space="preserve">Office Chair</x:t>
        </x:is>
      </x:c>
      <x:c r="F1173" s="4" t="inlineStr">
        <x:is>
          <x:t xml:space="preserve">Furniture</x:t>
        </x:is>
      </x:c>
      <x:c r="G1173" s="4" t="inlineStr">
        <x:is>
          <x:t xml:space="preserve">Austin</x:t>
        </x:is>
      </x:c>
      <x:c r="H1173" s="18" t="n">
        <x:v>1</x:v>
      </x:c>
      <x:c r="I1173" s="19" t="n">
        <x:v>254.79</x:v>
      </x:c>
      <x:c r="J1173" s="20" t="n">
        <x:v>0.1</x:v>
      </x:c>
      <x:c r="K1173" s="4" t="inlineStr">
        <x:is>
          <x:t xml:space="preserve">Bank Transfer</x:t>
        </x:is>
      </x:c>
      <x:c r="L1173" s="19" t="n">
        <x:v>254.79</x:v>
      </x:c>
      <x:c r="M1173" s="19" t="n">
        <x:v>25.48</x:v>
      </x:c>
      <x:c r="N1173" s="19" t="n">
        <x:v>229.31</x:v>
      </x:c>
      <x:c r="O1173" s="4" t="n">
        <x:f>YEAR(C1173)</x:f>
        <x:v>2025</x:v>
      </x:c>
      <x:c r="P1173" s="4" t="str">
        <x:f>TEXT(C1173,"yyyy-mm")</x:f>
        <x:v>2025-01</x:v>
      </x:c>
      <x:c r="Q1173" s="4" t="str">
        <x:f>TEXT(C1173,"mmmm")</x:f>
        <x:v>January</x:v>
      </x:c>
    </x:row>
    <x:row r="1174" ht="20" customHeight="1">
      <x:c r="A1174" s="4" t="inlineStr">
        <x:is>
          <x:t xml:space="preserve">LINE-01185</x:t>
        </x:is>
      </x:c>
      <x:c r="B1174" s="4" t="inlineStr">
        <x:is>
          <x:t xml:space="preserve">ORD-2025-0736</x:t>
        </x:is>
      </x:c>
      <x:c r="C1174" s="17" t="n">
        <x:v>45688</x:v>
      </x:c>
      <x:c r="D1174" s="4" t="inlineStr">
        <x:is>
          <x:t xml:space="preserve">CUS-0066</x:t>
        </x:is>
      </x:c>
      <x:c r="E1174" s="4" t="inlineStr">
        <x:is>
          <x:t xml:space="preserve">Webcam</x:t>
        </x:is>
      </x:c>
      <x:c r="F1174" s="4" t="inlineStr">
        <x:is>
          <x:t xml:space="preserve">Accessories</x:t>
        </x:is>
      </x:c>
      <x:c r="G1174" s="4" t="inlineStr">
        <x:is>
          <x:t xml:space="preserve">Austin</x:t>
        </x:is>
      </x:c>
      <x:c r="H1174" s="18" t="n">
        <x:v>1</x:v>
      </x:c>
      <x:c r="I1174" s="19" t="n">
        <x:v>87.23999999999999</x:v>
      </x:c>
      <x:c r="J1174" s="20" t="n">
        <x:v>0</x:v>
      </x:c>
      <x:c r="K1174" s="4" t="inlineStr">
        <x:is>
          <x:t xml:space="preserve">Bank Transfer</x:t>
        </x:is>
      </x:c>
      <x:c r="L1174" s="19" t="n">
        <x:v>87.23999999999999</x:v>
      </x:c>
      <x:c r="M1174" s="19" t="n">
        <x:v>0</x:v>
      </x:c>
      <x:c r="N1174" s="19" t="n">
        <x:v>87.23999999999999</x:v>
      </x:c>
      <x:c r="O1174" s="4" t="n">
        <x:f>YEAR(C1174)</x:f>
        <x:v>2025</x:v>
      </x:c>
      <x:c r="P1174" s="4" t="str">
        <x:f>TEXT(C1174,"yyyy-mm")</x:f>
        <x:v>2025-01</x:v>
      </x:c>
      <x:c r="Q1174" s="4" t="str">
        <x:f>TEXT(C1174,"mmmm")</x:f>
        <x:v>January</x:v>
      </x:c>
    </x:row>
    <x:row r="1175" ht="20" customHeight="1">
      <x:c r="A1175" s="4" t="inlineStr">
        <x:is>
          <x:t xml:space="preserve">LINE-01186</x:t>
        </x:is>
      </x:c>
      <x:c r="B1175" s="4" t="inlineStr">
        <x:is>
          <x:t xml:space="preserve">ORD-2025-0737</x:t>
        </x:is>
      </x:c>
      <x:c r="C1175" s="17" t="n">
        <x:v>45846</x:v>
      </x:c>
      <x:c r="D1175" s="4" t="inlineStr">
        <x:is>
          <x:t xml:space="preserve">CUS-0005</x:t>
        </x:is>
      </x:c>
      <x:c r="E1175" s="4" t="inlineStr">
        <x:is>
          <x:t xml:space="preserve">External SSD</x:t>
        </x:is>
      </x:c>
      <x:c r="F1175" s="4" t="inlineStr">
        <x:is>
          <x:t xml:space="preserve">Storage</x:t>
        </x:is>
      </x:c>
      <x:c r="G1175" s="4" t="inlineStr">
        <x:is>
          <x:t xml:space="preserve">Boston</x:t>
        </x:is>
      </x:c>
      <x:c r="H1175" s="18" t="n">
        <x:v>3</x:v>
      </x:c>
      <x:c r="I1175" s="19" t="n">
        <x:v>151.43</x:v>
      </x:c>
      <x:c r="J1175" s="20" t="n">
        <x:v>0</x:v>
      </x:c>
      <x:c r="K1175" s="4" t="inlineStr">
        <x:is>
          <x:t xml:space="preserve">Debit Card</x:t>
        </x:is>
      </x:c>
      <x:c r="L1175" s="19" t="n">
        <x:v>454.29</x:v>
      </x:c>
      <x:c r="M1175" s="19" t="n">
        <x:v>0</x:v>
      </x:c>
      <x:c r="N1175" s="19" t="n">
        <x:v>454.29</x:v>
      </x:c>
      <x:c r="O1175" s="4" t="n">
        <x:f>YEAR(C1175)</x:f>
        <x:v>2025</x:v>
      </x:c>
      <x:c r="P1175" s="4" t="str">
        <x:f>TEXT(C1175,"yyyy-mm")</x:f>
        <x:v>2025-07</x:v>
      </x:c>
      <x:c r="Q1175" s="4" t="str">
        <x:f>TEXT(C1175,"mmmm")</x:f>
        <x:v>July</x:v>
      </x:c>
    </x:row>
    <x:row r="1176" ht="20" customHeight="1">
      <x:c r="A1176" s="4" t="inlineStr">
        <x:is>
          <x:t xml:space="preserve">LINE-01187</x:t>
        </x:is>
      </x:c>
      <x:c r="B1176" s="4" t="inlineStr">
        <x:is>
          <x:t xml:space="preserve">ORD-2025-0738</x:t>
        </x:is>
      </x:c>
      <x:c r="C1176" s="17" t="n">
        <x:v>45834</x:v>
      </x:c>
      <x:c r="D1176" s="4" t="inlineStr">
        <x:is>
          <x:t xml:space="preserve">CUS-0101</x:t>
        </x:is>
      </x:c>
      <x:c r="E1176" s="4" t="inlineStr">
        <x:is>
          <x:t xml:space="preserve">Webcam</x:t>
        </x:is>
      </x:c>
      <x:c r="F1176" s="4" t="inlineStr">
        <x:is>
          <x:t xml:space="preserve">Accessories</x:t>
        </x:is>
      </x:c>
      <x:c r="G1176" s="4" t="inlineStr">
        <x:is>
          <x:t xml:space="preserve">Chicago</x:t>
        </x:is>
      </x:c>
      <x:c r="H1176" s="18" t="n">
        <x:v>2</x:v>
      </x:c>
      <x:c r="I1176" s="19" t="n">
        <x:v>92.8</x:v>
      </x:c>
      <x:c r="J1176" s="20" t="n">
        <x:v>0.2</x:v>
      </x:c>
      <x:c r="K1176" s="4" t="inlineStr">
        <x:is>
          <x:t xml:space="preserve">Debit Card</x:t>
        </x:is>
      </x:c>
      <x:c r="L1176" s="19" t="n">
        <x:v>185.6</x:v>
      </x:c>
      <x:c r="M1176" s="19" t="n">
        <x:v>37.12</x:v>
      </x:c>
      <x:c r="N1176" s="19" t="n">
        <x:v>148.48</x:v>
      </x:c>
      <x:c r="O1176" s="4" t="n">
        <x:f>YEAR(C1176)</x:f>
        <x:v>2025</x:v>
      </x:c>
      <x:c r="P1176" s="4" t="str">
        <x:f>TEXT(C1176,"yyyy-mm")</x:f>
        <x:v>2025-06</x:v>
      </x:c>
      <x:c r="Q1176" s="4" t="str">
        <x:f>TEXT(C1176,"mmmm")</x:f>
        <x:v>June</x:v>
      </x:c>
    </x:row>
    <x:row r="1177" ht="20" customHeight="1">
      <x:c r="A1177" s="4" t="inlineStr">
        <x:is>
          <x:t xml:space="preserve">LINE-01188</x:t>
        </x:is>
      </x:c>
      <x:c r="B1177" s="4" t="inlineStr">
        <x:is>
          <x:t xml:space="preserve">ORD-2025-0738</x:t>
        </x:is>
      </x:c>
      <x:c r="C1177" s="17" t="n">
        <x:v>45834</x:v>
      </x:c>
      <x:c r="D1177" s="4" t="inlineStr">
        <x:is>
          <x:t xml:space="preserve">CUS-0101</x:t>
        </x:is>
      </x:c>
      <x:c r="E1177" s="4" t="inlineStr">
        <x:is>
          <x:t xml:space="preserve">Wireless Mouse</x:t>
        </x:is>
      </x:c>
      <x:c r="F1177" s="4" t="inlineStr">
        <x:is>
          <x:t xml:space="preserve">Accessories</x:t>
        </x:is>
      </x:c>
      <x:c r="G1177" s="4" t="inlineStr">
        <x:is>
          <x:t xml:space="preserve">Chicago</x:t>
        </x:is>
      </x:c>
      <x:c r="H1177" s="18" t="n">
        <x:v>2</x:v>
      </x:c>
      <x:c r="I1177" s="19" t="n">
        <x:v>43.78</x:v>
      </x:c>
      <x:c r="J1177" s="20" t="n">
        <x:v>0.05</x:v>
      </x:c>
      <x:c r="K1177" s="4" t="inlineStr">
        <x:is>
          <x:t xml:space="preserve">Debit Card</x:t>
        </x:is>
      </x:c>
      <x:c r="L1177" s="19" t="n">
        <x:v>87.56</x:v>
      </x:c>
      <x:c r="M1177" s="19" t="n">
        <x:v>4.38</x:v>
      </x:c>
      <x:c r="N1177" s="19" t="n">
        <x:v>83.18000000000001</x:v>
      </x:c>
      <x:c r="O1177" s="4" t="n">
        <x:f>YEAR(C1177)</x:f>
        <x:v>2025</x:v>
      </x:c>
      <x:c r="P1177" s="4" t="str">
        <x:f>TEXT(C1177,"yyyy-mm")</x:f>
        <x:v>2025-06</x:v>
      </x:c>
      <x:c r="Q1177" s="4" t="str">
        <x:f>TEXT(C1177,"mmmm")</x:f>
        <x:v>June</x:v>
      </x:c>
    </x:row>
    <x:row r="1178" ht="20" customHeight="1">
      <x:c r="A1178" s="4" t="inlineStr">
        <x:is>
          <x:t xml:space="preserve">LINE-01189</x:t>
        </x:is>
      </x:c>
      <x:c r="B1178" s="4" t="inlineStr">
        <x:is>
          <x:t xml:space="preserve">ORD-2025-0739</x:t>
        </x:is>
      </x:c>
      <x:c r="C1178" s="17" t="n">
        <x:v>45829</x:v>
      </x:c>
      <x:c r="D1178" s="4" t="inlineStr">
        <x:is>
          <x:t xml:space="preserve">CUS-0316</x:t>
        </x:is>
      </x:c>
      <x:c r="E1178" s="4" t="inlineStr">
        <x:is>
          <x:t xml:space="preserve">Monitor</x:t>
        </x:is>
      </x:c>
      <x:c r="F1178" s="4" t="inlineStr">
        <x:is>
          <x:t xml:space="preserve">Computers</x:t>
        </x:is>
      </x:c>
      <x:c r="G1178" s="4" t="inlineStr">
        <x:is>
          <x:t xml:space="preserve">Austin</x:t>
        </x:is>
      </x:c>
      <x:c r="H1178" s="18" t="n">
        <x:v>2</x:v>
      </x:c>
      <x:c r="I1178" s="19" t="n">
        <x:v>292.96</x:v>
      </x:c>
      <x:c r="J1178" s="20" t="n">
        <x:v>0</x:v>
      </x:c>
      <x:c r="K1178" s="4" t="inlineStr">
        <x:is>
          <x:t xml:space="preserve">Bank Transfer</x:t>
        </x:is>
      </x:c>
      <x:c r="L1178" s="19" t="n">
        <x:v>585.92</x:v>
      </x:c>
      <x:c r="M1178" s="19" t="n">
        <x:v>0</x:v>
      </x:c>
      <x:c r="N1178" s="19" t="n">
        <x:v>585.92</x:v>
      </x:c>
      <x:c r="O1178" s="4" t="n">
        <x:f>YEAR(C1178)</x:f>
        <x:v>2025</x:v>
      </x:c>
      <x:c r="P1178" s="4" t="str">
        <x:f>TEXT(C1178,"yyyy-mm")</x:f>
        <x:v>2025-06</x:v>
      </x:c>
      <x:c r="Q1178" s="4" t="str">
        <x:f>TEXT(C1178,"mmmm")</x:f>
        <x:v>June</x:v>
      </x:c>
    </x:row>
    <x:row r="1179" ht="20" customHeight="1">
      <x:c r="A1179" s="4" t="inlineStr">
        <x:is>
          <x:t xml:space="preserve">LINE-01190</x:t>
        </x:is>
      </x:c>
      <x:c r="B1179" s="4" t="inlineStr">
        <x:is>
          <x:t xml:space="preserve">ORD-2025-0740</x:t>
        </x:is>
      </x:c>
      <x:c r="C1179" s="17" t="n">
        <x:v>45770</x:v>
      </x:c>
      <x:c r="D1179" s="4" t="inlineStr">
        <x:is>
          <x:t xml:space="preserve">CUS-0002</x:t>
        </x:is>
      </x:c>
      <x:c r="E1179" s="4" t="inlineStr">
        <x:is>
          <x:t xml:space="preserve">Bluetooth Speaker</x:t>
        </x:is>
      </x:c>
      <x:c r="F1179" s="4" t="inlineStr">
        <x:is>
          <x:t xml:space="preserve">Audio</x:t>
        </x:is>
      </x:c>
      <x:c r="G1179" s="4" t="inlineStr">
        <x:is>
          <x:t xml:space="preserve">San Francisco</x:t>
        </x:is>
      </x:c>
      <x:c r="H1179" s="18" t="n">
        <x:v>1</x:v>
      </x:c>
      <x:c r="I1179" s="19" t="n">
        <x:v>109.66</x:v>
      </x:c>
      <x:c r="J1179" s="20" t="n">
        <x:v>0.1</x:v>
      </x:c>
      <x:c r="K1179" s="4" t="inlineStr">
        <x:is>
          <x:t xml:space="preserve">Debit Card</x:t>
        </x:is>
      </x:c>
      <x:c r="L1179" s="19" t="n">
        <x:v>109.66</x:v>
      </x:c>
      <x:c r="M1179" s="19" t="n">
        <x:v>10.97</x:v>
      </x:c>
      <x:c r="N1179" s="19" t="n">
        <x:v>98.69</x:v>
      </x:c>
      <x:c r="O1179" s="4" t="n">
        <x:f>YEAR(C1179)</x:f>
        <x:v>2025</x:v>
      </x:c>
      <x:c r="P1179" s="4" t="str">
        <x:f>TEXT(C1179,"yyyy-mm")</x:f>
        <x:v>2025-04</x:v>
      </x:c>
      <x:c r="Q1179" s="4" t="str">
        <x:f>TEXT(C1179,"mmmm")</x:f>
        <x:v>April</x:v>
      </x:c>
    </x:row>
    <x:row r="1180" ht="20" customHeight="1">
      <x:c r="A1180" s="4" t="inlineStr">
        <x:is>
          <x:t xml:space="preserve">LINE-01191</x:t>
        </x:is>
      </x:c>
      <x:c r="B1180" s="4" t="inlineStr">
        <x:is>
          <x:t xml:space="preserve">ORD-2025-0740</x:t>
        </x:is>
      </x:c>
      <x:c r="C1180" s="17" t="n">
        <x:v>45770</x:v>
      </x:c>
      <x:c r="D1180" s="4" t="inlineStr">
        <x:is>
          <x:t xml:space="preserve">CUS-0002</x:t>
        </x:is>
      </x:c>
      <x:c r="E1180" s="4" t="inlineStr">
        <x:is>
          <x:t xml:space="preserve">USB Flash Drive</x:t>
        </x:is>
      </x:c>
      <x:c r="F1180" s="4" t="inlineStr">
        <x:is>
          <x:t xml:space="preserve">Storage</x:t>
        </x:is>
      </x:c>
      <x:c r="G1180" s="4" t="inlineStr">
        <x:is>
          <x:t xml:space="preserve">San Francisco</x:t>
        </x:is>
      </x:c>
      <x:c r="H1180" s="18" t="n">
        <x:v>3</x:v>
      </x:c>
      <x:c r="I1180" s="19" t="n">
        <x:v>31.47</x:v>
      </x:c>
      <x:c r="J1180" s="20" t="n">
        <x:v>0</x:v>
      </x:c>
      <x:c r="K1180" s="4" t="inlineStr">
        <x:is>
          <x:t xml:space="preserve">Debit Card</x:t>
        </x:is>
      </x:c>
      <x:c r="L1180" s="19" t="n">
        <x:v>94.41</x:v>
      </x:c>
      <x:c r="M1180" s="19" t="n">
        <x:v>0</x:v>
      </x:c>
      <x:c r="N1180" s="19" t="n">
        <x:v>94.41</x:v>
      </x:c>
      <x:c r="O1180" s="4" t="n">
        <x:f>YEAR(C1180)</x:f>
        <x:v>2025</x:v>
      </x:c>
      <x:c r="P1180" s="4" t="str">
        <x:f>TEXT(C1180,"yyyy-mm")</x:f>
        <x:v>2025-04</x:v>
      </x:c>
      <x:c r="Q1180" s="4" t="str">
        <x:f>TEXT(C1180,"mmmm")</x:f>
        <x:v>April</x:v>
      </x:c>
    </x:row>
    <x:row r="1181" ht="20" customHeight="1">
      <x:c r="A1181" s="4" t="inlineStr">
        <x:is>
          <x:t xml:space="preserve">LINE-01192</x:t>
        </x:is>
      </x:c>
      <x:c r="B1181" s="4" t="inlineStr">
        <x:is>
          <x:t xml:space="preserve">ORD-2025-0741</x:t>
        </x:is>
      </x:c>
      <x:c r="C1181" s="17" t="n">
        <x:v>45862</x:v>
      </x:c>
      <x:c r="D1181" s="4" t="inlineStr">
        <x:is>
          <x:t xml:space="preserve">CUS-0095</x:t>
        </x:is>
      </x:c>
      <x:c r="E1181" s="4" t="inlineStr">
        <x:is>
          <x:t xml:space="preserve">Webcam</x:t>
        </x:is>
      </x:c>
      <x:c r="F1181" s="4" t="inlineStr">
        <x:is>
          <x:t xml:space="preserve">Accessories</x:t>
        </x:is>
      </x:c>
      <x:c r="G1181" s="4" t="inlineStr">
        <x:is>
          <x:t xml:space="preserve">New York</x:t>
        </x:is>
      </x:c>
      <x:c r="H1181" s="18" t="n">
        <x:v>1</x:v>
      </x:c>
      <x:c r="I1181" s="19" t="n">
        <x:v>84.45999999999999</x:v>
      </x:c>
      <x:c r="J1181" s="20" t="n">
        <x:v>0</x:v>
      </x:c>
      <x:c r="K1181" s="4" t="inlineStr">
        <x:is>
          <x:t xml:space="preserve">PayPal</x:t>
        </x:is>
      </x:c>
      <x:c r="L1181" s="19" t="n">
        <x:v>84.45999999999999</x:v>
      </x:c>
      <x:c r="M1181" s="19" t="n">
        <x:v>0</x:v>
      </x:c>
      <x:c r="N1181" s="19" t="n">
        <x:v>84.45999999999999</x:v>
      </x:c>
      <x:c r="O1181" s="4" t="n">
        <x:f>YEAR(C1181)</x:f>
        <x:v>2025</x:v>
      </x:c>
      <x:c r="P1181" s="4" t="str">
        <x:f>TEXT(C1181,"yyyy-mm")</x:f>
        <x:v>2025-07</x:v>
      </x:c>
      <x:c r="Q1181" s="4" t="str">
        <x:f>TEXT(C1181,"mmmm")</x:f>
        <x:v>July</x:v>
      </x:c>
    </x:row>
    <x:row r="1182" ht="20" customHeight="1">
      <x:c r="A1182" s="4" t="inlineStr">
        <x:is>
          <x:t xml:space="preserve">LINE-01193</x:t>
        </x:is>
      </x:c>
      <x:c r="B1182" s="4" t="inlineStr">
        <x:is>
          <x:t xml:space="preserve">ORD-2025-0742</x:t>
        </x:is>
      </x:c>
      <x:c r="C1182" s="17" t="n">
        <x:v>45757</x:v>
      </x:c>
      <x:c r="D1182" s="4" t="inlineStr">
        <x:is>
          <x:t xml:space="preserve">CUS-0324</x:t>
        </x:is>
      </x:c>
      <x:c r="E1182" s="4" t="inlineStr">
        <x:is>
          <x:t xml:space="preserve">Laptop</x:t>
        </x:is>
      </x:c>
      <x:c r="F1182" s="4" t="inlineStr">
        <x:is>
          <x:t xml:space="preserve">Computers</x:t>
        </x:is>
      </x:c>
      <x:c r="G1182" s="4" t="inlineStr">
        <x:is>
          <x:t xml:space="preserve">Boston</x:t>
        </x:is>
      </x:c>
      <x:c r="H1182" s="18" t="n">
        <x:v>1</x:v>
      </x:c>
      <x:c r="I1182" s="19" t="n">
        <x:v>917.1799999999999</x:v>
      </x:c>
      <x:c r="J1182" s="20" t="n">
        <x:v>0</x:v>
      </x:c>
      <x:c r="K1182" s="4" t="inlineStr">
        <x:is>
          <x:t xml:space="preserve">PayPal</x:t>
        </x:is>
      </x:c>
      <x:c r="L1182" s="19" t="n">
        <x:v>917.1799999999999</x:v>
      </x:c>
      <x:c r="M1182" s="19" t="n">
        <x:v>0</x:v>
      </x:c>
      <x:c r="N1182" s="19" t="n">
        <x:v>917.1799999999999</x:v>
      </x:c>
      <x:c r="O1182" s="4" t="n">
        <x:f>YEAR(C1182)</x:f>
        <x:v>2025</x:v>
      </x:c>
      <x:c r="P1182" s="4" t="str">
        <x:f>TEXT(C1182,"yyyy-mm")</x:f>
        <x:v>2025-04</x:v>
      </x:c>
      <x:c r="Q1182" s="4" t="str">
        <x:f>TEXT(C1182,"mmmm")</x:f>
        <x:v>April</x:v>
      </x:c>
    </x:row>
    <x:row r="1183" ht="20" customHeight="1">
      <x:c r="A1183" s="4" t="inlineStr">
        <x:is>
          <x:t xml:space="preserve">LINE-01194</x:t>
        </x:is>
      </x:c>
      <x:c r="B1183" s="4" t="inlineStr">
        <x:is>
          <x:t xml:space="preserve">ORD-2025-0743</x:t>
        </x:is>
      </x:c>
      <x:c r="C1183" s="17" t="n">
        <x:v>45792</x:v>
      </x:c>
      <x:c r="D1183" s="4" t="inlineStr">
        <x:is>
          <x:t xml:space="preserve">CUS-0090</x:t>
        </x:is>
      </x:c>
      <x:c r="E1183" s="4" t="inlineStr">
        <x:is>
          <x:t xml:space="preserve">Laptop</x:t>
        </x:is>
      </x:c>
      <x:c r="F1183" s="4" t="inlineStr">
        <x:is>
          <x:t xml:space="preserve">Computers</x:t>
        </x:is>
      </x:c>
      <x:c r="G1183" s="4" t="inlineStr">
        <x:is>
          <x:t xml:space="preserve">Austin</x:t>
        </x:is>
      </x:c>
      <x:c r="H1183" s="18" t="n">
        <x:v>1</x:v>
      </x:c>
      <x:c r="I1183" s="19" t="n">
        <x:v>913.79</x:v>
      </x:c>
      <x:c r="J1183" s="20" t="n">
        <x:v>0</x:v>
      </x:c>
      <x:c r="K1183" s="4" t="inlineStr">
        <x:is>
          <x:t xml:space="preserve">Debit Card</x:t>
        </x:is>
      </x:c>
      <x:c r="L1183" s="19" t="n">
        <x:v>913.79</x:v>
      </x:c>
      <x:c r="M1183" s="19" t="n">
        <x:v>0</x:v>
      </x:c>
      <x:c r="N1183" s="19" t="n">
        <x:v>913.79</x:v>
      </x:c>
      <x:c r="O1183" s="4" t="n">
        <x:f>YEAR(C1183)</x:f>
        <x:v>2025</x:v>
      </x:c>
      <x:c r="P1183" s="4" t="str">
        <x:f>TEXT(C1183,"yyyy-mm")</x:f>
        <x:v>2025-05</x:v>
      </x:c>
      <x:c r="Q1183" s="4" t="str">
        <x:f>TEXT(C1183,"mmmm")</x:f>
        <x:v>May</x:v>
      </x:c>
    </x:row>
    <x:row r="1184" ht="20" customHeight="1">
      <x:c r="A1184" s="4" t="inlineStr">
        <x:is>
          <x:t xml:space="preserve">LINE-01195</x:t>
        </x:is>
      </x:c>
      <x:c r="B1184" s="4" t="inlineStr">
        <x:is>
          <x:t xml:space="preserve">ORD-2025-0744</x:t>
        </x:is>
      </x:c>
      <x:c r="C1184" s="17" t="n">
        <x:v>46004</x:v>
      </x:c>
      <x:c r="D1184" s="4" t="inlineStr">
        <x:is>
          <x:t xml:space="preserve">CUS-0071</x:t>
        </x:is>
      </x:c>
      <x:c r="E1184" s="4" t="inlineStr">
        <x:is>
          <x:t xml:space="preserve">Wireless Mouse</x:t>
        </x:is>
      </x:c>
      <x:c r="F1184" s="4" t="inlineStr">
        <x:is>
          <x:t xml:space="preserve">Accessories</x:t>
        </x:is>
      </x:c>
      <x:c r="G1184" s="4" t="inlineStr">
        <x:is>
          <x:t xml:space="preserve">Seattle</x:t>
        </x:is>
      </x:c>
      <x:c r="H1184" s="18" t="n">
        <x:v>1</x:v>
      </x:c>
      <x:c r="I1184" s="19" t="n">
        <x:v>43.13</x:v>
      </x:c>
      <x:c r="J1184" s="20" t="n">
        <x:v>0.1</x:v>
      </x:c>
      <x:c r="K1184" s="4" t="inlineStr">
        <x:is>
          <x:t xml:space="preserve">Credit Card</x:t>
        </x:is>
      </x:c>
      <x:c r="L1184" s="19" t="n">
        <x:v>43.13</x:v>
      </x:c>
      <x:c r="M1184" s="19" t="n">
        <x:v>4.31</x:v>
      </x:c>
      <x:c r="N1184" s="19" t="n">
        <x:v>38.82</x:v>
      </x:c>
      <x:c r="O1184" s="4" t="n">
        <x:f>YEAR(C1184)</x:f>
        <x:v>2025</x:v>
      </x:c>
      <x:c r="P1184" s="4" t="str">
        <x:f>TEXT(C1184,"yyyy-mm")</x:f>
        <x:v>2025-12</x:v>
      </x:c>
      <x:c r="Q1184" s="4" t="str">
        <x:f>TEXT(C1184,"mmmm")</x:f>
        <x:v>December</x:v>
      </x:c>
    </x:row>
    <x:row r="1185" ht="20" customHeight="1">
      <x:c r="A1185" s="4" t="inlineStr">
        <x:is>
          <x:t xml:space="preserve">LINE-01196</x:t>
        </x:is>
      </x:c>
      <x:c r="B1185" s="4" t="inlineStr">
        <x:is>
          <x:t xml:space="preserve">ORD-2025-0745</x:t>
        </x:is>
      </x:c>
      <x:c r="C1185" s="17" t="n">
        <x:v>45996</x:v>
      </x:c>
      <x:c r="D1185" s="4" t="inlineStr">
        <x:is>
          <x:t xml:space="preserve">CUS-0088</x:t>
        </x:is>
      </x:c>
      <x:c r="E1185" s="4" t="inlineStr">
        <x:is>
          <x:t xml:space="preserve">Monitor</x:t>
        </x:is>
      </x:c>
      <x:c r="F1185" s="4" t="inlineStr">
        <x:is>
          <x:t xml:space="preserve">Computers</x:t>
        </x:is>
      </x:c>
      <x:c r="G1185" s="4" t="inlineStr">
        <x:is>
          <x:t xml:space="preserve">Boston</x:t>
        </x:is>
      </x:c>
      <x:c r="H1185" s="18" t="n">
        <x:v>4</x:v>
      </x:c>
      <x:c r="I1185" s="19" t="n">
        <x:v>263.46</x:v>
      </x:c>
      <x:c r="J1185" s="20" t="n">
        <x:v>0</x:v>
      </x:c>
      <x:c r="K1185" s="4" t="inlineStr">
        <x:is>
          <x:t xml:space="preserve">Bank Transfer</x:t>
        </x:is>
      </x:c>
      <x:c r="L1185" s="19" t="n">
        <x:v>1053.84</x:v>
      </x:c>
      <x:c r="M1185" s="19" t="n">
        <x:v>0</x:v>
      </x:c>
      <x:c r="N1185" s="19" t="n">
        <x:v>1053.84</x:v>
      </x:c>
      <x:c r="O1185" s="4" t="n">
        <x:f>YEAR(C1185)</x:f>
        <x:v>2025</x:v>
      </x:c>
      <x:c r="P1185" s="4" t="str">
        <x:f>TEXT(C1185,"yyyy-mm")</x:f>
        <x:v>2025-12</x:v>
      </x:c>
      <x:c r="Q1185" s="4" t="str">
        <x:f>TEXT(C1185,"mmmm")</x:f>
        <x:v>December</x:v>
      </x:c>
    </x:row>
    <x:row r="1186" ht="20" customHeight="1">
      <x:c r="A1186" s="4" t="inlineStr">
        <x:is>
          <x:t xml:space="preserve">LINE-01197</x:t>
        </x:is>
      </x:c>
      <x:c r="B1186" s="4" t="inlineStr">
        <x:is>
          <x:t xml:space="preserve">ORD-2025-0745</x:t>
        </x:is>
      </x:c>
      <x:c r="C1186" s="17" t="n">
        <x:v>45996</x:v>
      </x:c>
      <x:c r="D1186" s="4" t="inlineStr">
        <x:is>
          <x:t xml:space="preserve">CUS-0088</x:t>
        </x:is>
      </x:c>
      <x:c r="E1186" s="4" t="inlineStr">
        <x:is>
          <x:t xml:space="preserve">Desk Lamp</x:t>
        </x:is>
      </x:c>
      <x:c r="F1186" s="4" t="inlineStr">
        <x:is>
          <x:t xml:space="preserve">Furniture</x:t>
        </x:is>
      </x:c>
      <x:c r="G1186" s="4" t="inlineStr">
        <x:is>
          <x:t xml:space="preserve">Boston</x:t>
        </x:is>
      </x:c>
      <x:c r="H1186" s="18" t="n">
        <x:v>2</x:v>
      </x:c>
      <x:c r="I1186" s="19" t="n">
        <x:v>56.71</x:v>
      </x:c>
      <x:c r="J1186" s="20" t="n">
        <x:v>0</x:v>
      </x:c>
      <x:c r="K1186" s="4" t="inlineStr">
        <x:is>
          <x:t xml:space="preserve">Bank Transfer</x:t>
        </x:is>
      </x:c>
      <x:c r="L1186" s="19" t="n">
        <x:v>113.42</x:v>
      </x:c>
      <x:c r="M1186" s="19" t="n">
        <x:v>0</x:v>
      </x:c>
      <x:c r="N1186" s="19" t="n">
        <x:v>113.42</x:v>
      </x:c>
      <x:c r="O1186" s="4" t="n">
        <x:f>YEAR(C1186)</x:f>
        <x:v>2025</x:v>
      </x:c>
      <x:c r="P1186" s="4" t="str">
        <x:f>TEXT(C1186,"yyyy-mm")</x:f>
        <x:v>2025-12</x:v>
      </x:c>
      <x:c r="Q1186" s="4" t="str">
        <x:f>TEXT(C1186,"mmmm")</x:f>
        <x:v>December</x:v>
      </x:c>
    </x:row>
    <x:row r="1187" ht="20" customHeight="1">
      <x:c r="A1187" s="4" t="inlineStr">
        <x:is>
          <x:t xml:space="preserve">LINE-01198</x:t>
        </x:is>
      </x:c>
      <x:c r="B1187" s="4" t="inlineStr">
        <x:is>
          <x:t xml:space="preserve">ORD-2025-0745</x:t>
        </x:is>
      </x:c>
      <x:c r="C1187" s="17" t="n">
        <x:v>45996</x:v>
      </x:c>
      <x:c r="D1187" s="4" t="inlineStr">
        <x:is>
          <x:t xml:space="preserve">CUS-0088</x:t>
        </x:is>
      </x:c>
      <x:c r="E1187" s="4" t="inlineStr">
        <x:is>
          <x:t xml:space="preserve">Keyboard</x:t>
        </x:is>
      </x:c>
      <x:c r="F1187" s="4" t="inlineStr">
        <x:is>
          <x:t xml:space="preserve">Accessories</x:t>
        </x:is>
      </x:c>
      <x:c r="G1187" s="4" t="inlineStr">
        <x:is>
          <x:t xml:space="preserve">Boston</x:t>
        </x:is>
      </x:c>
      <x:c r="H1187" s="18" t="n">
        <x:v>2</x:v>
      </x:c>
      <x:c r="I1187" s="19" t="n">
        <x:v>76.63</x:v>
      </x:c>
      <x:c r="J1187" s="20" t="n">
        <x:v>0.15</x:v>
      </x:c>
      <x:c r="K1187" s="4" t="inlineStr">
        <x:is>
          <x:t xml:space="preserve">Bank Transfer</x:t>
        </x:is>
      </x:c>
      <x:c r="L1187" s="19" t="n">
        <x:v>153.26</x:v>
      </x:c>
      <x:c r="M1187" s="19" t="n">
        <x:v>22.99</x:v>
      </x:c>
      <x:c r="N1187" s="19" t="n">
        <x:v>130.27</x:v>
      </x:c>
      <x:c r="O1187" s="4" t="n">
        <x:f>YEAR(C1187)</x:f>
        <x:v>2025</x:v>
      </x:c>
      <x:c r="P1187" s="4" t="str">
        <x:f>TEXT(C1187,"yyyy-mm")</x:f>
        <x:v>2025-12</x:v>
      </x:c>
      <x:c r="Q1187" s="4" t="str">
        <x:f>TEXT(C1187,"mmmm")</x:f>
        <x:v>December</x:v>
      </x:c>
    </x:row>
    <x:row r="1188" ht="20" customHeight="1">
      <x:c r="A1188" s="4" t="inlineStr">
        <x:is>
          <x:t xml:space="preserve">LINE-01199</x:t>
        </x:is>
      </x:c>
      <x:c r="B1188" s="4" t="inlineStr">
        <x:is>
          <x:t xml:space="preserve">ORD-2025-0746</x:t>
        </x:is>
      </x:c>
      <x:c r="C1188" s="17" t="n">
        <x:v>45973</x:v>
      </x:c>
      <x:c r="D1188" s="4" t="inlineStr">
        <x:is>
          <x:t xml:space="preserve">CUS-0301</x:t>
        </x:is>
      </x:c>
      <x:c r="E1188" s="4" t="inlineStr">
        <x:is>
          <x:t xml:space="preserve">Webcam</x:t>
        </x:is>
      </x:c>
      <x:c r="F1188" s="4" t="inlineStr">
        <x:is>
          <x:t xml:space="preserve">Accessories</x:t>
        </x:is>
      </x:c>
      <x:c r="G1188" s="4" t="inlineStr">
        <x:is>
          <x:t xml:space="preserve">Chicago</x:t>
        </x:is>
      </x:c>
      <x:c r="H1188" s="18" t="n">
        <x:v>1</x:v>
      </x:c>
      <x:c r="I1188" s="19" t="n">
        <x:v>94.26000000000001</x:v>
      </x:c>
      <x:c r="J1188" s="20" t="n">
        <x:v>0.15</x:v>
      </x:c>
      <x:c r="K1188" s="4" t="inlineStr">
        <x:is>
          <x:t xml:space="preserve">PayPal</x:t>
        </x:is>
      </x:c>
      <x:c r="L1188" s="19" t="n">
        <x:v>94.26000000000001</x:v>
      </x:c>
      <x:c r="M1188" s="19" t="n">
        <x:v>14.14</x:v>
      </x:c>
      <x:c r="N1188" s="19" t="n">
        <x:v>80.12</x:v>
      </x:c>
      <x:c r="O1188" s="4" t="n">
        <x:f>YEAR(C1188)</x:f>
        <x:v>2025</x:v>
      </x:c>
      <x:c r="P1188" s="4" t="str">
        <x:f>TEXT(C1188,"yyyy-mm")</x:f>
        <x:v>2025-11</x:v>
      </x:c>
      <x:c r="Q1188" s="4" t="str">
        <x:f>TEXT(C1188,"mmmm")</x:f>
        <x:v>November</x:v>
      </x:c>
    </x:row>
    <x:row r="1189" ht="20" customHeight="1">
      <x:c r="A1189" s="4" t="inlineStr">
        <x:is>
          <x:t xml:space="preserve">LINE-01200</x:t>
        </x:is>
      </x:c>
      <x:c r="B1189" s="4" t="inlineStr">
        <x:is>
          <x:t xml:space="preserve">ORD-2025-0746</x:t>
        </x:is>
      </x:c>
      <x:c r="C1189" s="17" t="n">
        <x:v>45973</x:v>
      </x:c>
      <x:c r="D1189" s="4" t="inlineStr">
        <x:is>
          <x:t xml:space="preserve">CUS-0301</x:t>
        </x:is>
      </x:c>
      <x:c r="E1189" s="4" t="inlineStr">
        <x:is>
          <x:t xml:space="preserve">Wireless Mouse</x:t>
        </x:is>
      </x:c>
      <x:c r="F1189" s="4" t="inlineStr">
        <x:is>
          <x:t xml:space="preserve">Accessories</x:t>
        </x:is>
      </x:c>
      <x:c r="G1189" s="4" t="inlineStr">
        <x:is>
          <x:t xml:space="preserve">Chicago</x:t>
        </x:is>
      </x:c>
      <x:c r="H1189" s="18" t="n">
        <x:v>3</x:v>
      </x:c>
      <x:c r="I1189" s="19" t="n">
        <x:v>48.37</x:v>
      </x:c>
      <x:c r="J1189" s="20" t="n">
        <x:v>0.15</x:v>
      </x:c>
      <x:c r="K1189" s="4" t="inlineStr">
        <x:is>
          <x:t xml:space="preserve">PayPal</x:t>
        </x:is>
      </x:c>
      <x:c r="L1189" s="19" t="n">
        <x:v>145.11</x:v>
      </x:c>
      <x:c r="M1189" s="19" t="n">
        <x:v>21.77</x:v>
      </x:c>
      <x:c r="N1189" s="19" t="n">
        <x:v>123.34</x:v>
      </x:c>
      <x:c r="O1189" s="4" t="n">
        <x:f>YEAR(C1189)</x:f>
        <x:v>2025</x:v>
      </x:c>
      <x:c r="P1189" s="4" t="str">
        <x:f>TEXT(C1189,"yyyy-mm")</x:f>
        <x:v>2025-11</x:v>
      </x:c>
      <x:c r="Q1189" s="4" t="str">
        <x:f>TEXT(C1189,"mmmm")</x:f>
        <x:v>November</x:v>
      </x:c>
    </x:row>
    <x:row r="1190" ht="20" customHeight="1">
      <x:c r="A1190" s="4" t="inlineStr">
        <x:is>
          <x:t xml:space="preserve">LINE-01201</x:t>
        </x:is>
      </x:c>
      <x:c r="B1190" s="4" t="inlineStr">
        <x:is>
          <x:t xml:space="preserve">ORD-2025-0747</x:t>
        </x:is>
      </x:c>
      <x:c r="C1190" s="17" t="n">
        <x:v>45765</x:v>
      </x:c>
      <x:c r="D1190" s="4" t="inlineStr">
        <x:is>
          <x:t xml:space="preserve">CUS-0042</x:t>
        </x:is>
      </x:c>
      <x:c r="E1190" s="4" t="inlineStr">
        <x:is>
          <x:t xml:space="preserve">Headphones</x:t>
        </x:is>
      </x:c>
      <x:c r="F1190" s="4" t="inlineStr">
        <x:is>
          <x:t xml:space="preserve">Audio</x:t>
        </x:is>
      </x:c>
      <x:c r="G1190" s="4" t="inlineStr">
        <x:is>
          <x:t xml:space="preserve">Seattle</x:t>
        </x:is>
      </x:c>
      <x:c r="H1190" s="18" t="n">
        <x:v>3</x:v>
      </x:c>
      <x:c r="I1190" s="19" t="n">
        <x:v>133.02</x:v>
      </x:c>
      <x:c r="J1190" s="20" t="n">
        <x:v>0.05</x:v>
      </x:c>
      <x:c r="K1190" s="4" t="inlineStr">
        <x:is>
          <x:t xml:space="preserve">Credit Card</x:t>
        </x:is>
      </x:c>
      <x:c r="L1190" s="19" t="n">
        <x:v>399.06</x:v>
      </x:c>
      <x:c r="M1190" s="19" t="n">
        <x:v>19.95</x:v>
      </x:c>
      <x:c r="N1190" s="19" t="n">
        <x:v>379.11</x:v>
      </x:c>
      <x:c r="O1190" s="4" t="n">
        <x:f>YEAR(C1190)</x:f>
        <x:v>2025</x:v>
      </x:c>
      <x:c r="P1190" s="4" t="str">
        <x:f>TEXT(C1190,"yyyy-mm")</x:f>
        <x:v>2025-04</x:v>
      </x:c>
      <x:c r="Q1190" s="4" t="str">
        <x:f>TEXT(C1190,"mmmm")</x:f>
        <x:v>April</x:v>
      </x:c>
    </x:row>
    <x:row r="1191" ht="20" customHeight="1">
      <x:c r="A1191" s="4" t="inlineStr">
        <x:is>
          <x:t xml:space="preserve">LINE-01202</x:t>
        </x:is>
      </x:c>
      <x:c r="B1191" s="4" t="inlineStr">
        <x:is>
          <x:t xml:space="preserve">ORD-2025-0748</x:t>
        </x:is>
      </x:c>
      <x:c r="C1191" s="17" t="n">
        <x:v>45913</x:v>
      </x:c>
      <x:c r="D1191" s="4" t="inlineStr">
        <x:is>
          <x:t xml:space="preserve">CUS-0266</x:t>
        </x:is>
      </x:c>
      <x:c r="E1191" s="4" t="inlineStr">
        <x:is>
          <x:t xml:space="preserve">Webcam</x:t>
        </x:is>
      </x:c>
      <x:c r="F1191" s="4" t="inlineStr">
        <x:is>
          <x:t xml:space="preserve">Accessories</x:t>
        </x:is>
      </x:c>
      <x:c r="G1191" s="4" t="inlineStr">
        <x:is>
          <x:t xml:space="preserve">Seattle</x:t>
        </x:is>
      </x:c>
      <x:c r="H1191" s="18" t="n">
        <x:v>2</x:v>
      </x:c>
      <x:c r="I1191" s="19" t="n">
        <x:v>89.76000000000001</x:v>
      </x:c>
      <x:c r="J1191" s="20" t="n">
        <x:v>0.15</x:v>
      </x:c>
      <x:c r="K1191" s="4" t="inlineStr">
        <x:is>
          <x:t xml:space="preserve">Debit Card</x:t>
        </x:is>
      </x:c>
      <x:c r="L1191" s="19" t="n">
        <x:v>179.52</x:v>
      </x:c>
      <x:c r="M1191" s="19" t="n">
        <x:v>26.93</x:v>
      </x:c>
      <x:c r="N1191" s="19" t="n">
        <x:v>152.59</x:v>
      </x:c>
      <x:c r="O1191" s="4" t="n">
        <x:f>YEAR(C1191)</x:f>
        <x:v>2025</x:v>
      </x:c>
      <x:c r="P1191" s="4" t="str">
        <x:f>TEXT(C1191,"yyyy-mm")</x:f>
        <x:v>2025-09</x:v>
      </x:c>
      <x:c r="Q1191" s="4" t="str">
        <x:f>TEXT(C1191,"mmmm")</x:f>
        <x:v>September</x:v>
      </x:c>
    </x:row>
    <x:row r="1192" ht="20" customHeight="1">
      <x:c r="A1192" s="4" t="inlineStr">
        <x:is>
          <x:t xml:space="preserve">LINE-01203</x:t>
        </x:is>
      </x:c>
      <x:c r="B1192" s="4" t="inlineStr">
        <x:is>
          <x:t xml:space="preserve">ORD-2025-0749</x:t>
        </x:is>
      </x:c>
      <x:c r="C1192" s="17" t="n">
        <x:v>45900</x:v>
      </x:c>
      <x:c r="D1192" s="4" t="inlineStr">
        <x:is>
          <x:t xml:space="preserve">CUS-0138</x:t>
        </x:is>
      </x:c>
      <x:c r="E1192" s="4" t="inlineStr">
        <x:is>
          <x:t xml:space="preserve">USB Flash Drive</x:t>
        </x:is>
      </x:c>
      <x:c r="F1192" s="4" t="inlineStr">
        <x:is>
          <x:t xml:space="preserve">Storage</x:t>
        </x:is>
      </x:c>
      <x:c r="G1192" s="4" t="inlineStr">
        <x:is>
          <x:t xml:space="preserve">Boston</x:t>
        </x:is>
      </x:c>
      <x:c r="H1192" s="18" t="n">
        <x:v>1</x:v>
      </x:c>
      <x:c r="I1192" s="19" t="n">
        <x:v>28.65</x:v>
      </x:c>
      <x:c r="J1192" s="20" t="n">
        <x:v>0</x:v>
      </x:c>
      <x:c r="K1192" s="4" t="inlineStr">
        <x:is>
          <x:t xml:space="preserve">Bank Transfer</x:t>
        </x:is>
      </x:c>
      <x:c r="L1192" s="19" t="n">
        <x:v>28.65</x:v>
      </x:c>
      <x:c r="M1192" s="19" t="n">
        <x:v>0</x:v>
      </x:c>
      <x:c r="N1192" s="19" t="n">
        <x:v>28.65</x:v>
      </x:c>
      <x:c r="O1192" s="4" t="n">
        <x:f>YEAR(C1192)</x:f>
        <x:v>2025</x:v>
      </x:c>
      <x:c r="P1192" s="4" t="str">
        <x:f>TEXT(C1192,"yyyy-mm")</x:f>
        <x:v>2025-08</x:v>
      </x:c>
      <x:c r="Q1192" s="4" t="str">
        <x:f>TEXT(C1192,"mmmm")</x:f>
        <x:v>August</x:v>
      </x:c>
    </x:row>
    <x:row r="1193" ht="20" customHeight="1">
      <x:c r="A1193" s="4" t="inlineStr">
        <x:is>
          <x:t xml:space="preserve">LINE-01204</x:t>
        </x:is>
      </x:c>
      <x:c r="B1193" s="4" t="inlineStr">
        <x:is>
          <x:t xml:space="preserve">ORD-2025-0749</x:t>
        </x:is>
      </x:c>
      <x:c r="C1193" s="17" t="n">
        <x:v>45900</x:v>
      </x:c>
      <x:c r="D1193" s="4" t="inlineStr">
        <x:is>
          <x:t xml:space="preserve">CUS-0138</x:t>
        </x:is>
      </x:c>
      <x:c r="E1193" s="4" t="inlineStr">
        <x:is>
          <x:t xml:space="preserve">Office Chair</x:t>
        </x:is>
      </x:c>
      <x:c r="F1193" s="4" t="inlineStr">
        <x:is>
          <x:t xml:space="preserve">Furniture</x:t>
        </x:is>
      </x:c>
      <x:c r="G1193" s="4" t="inlineStr">
        <x:is>
          <x:t xml:space="preserve">Boston</x:t>
        </x:is>
      </x:c>
      <x:c r="H1193" s="18" t="n">
        <x:v>4</x:v>
      </x:c>
      <x:c r="I1193" s="19" t="n">
        <x:v>236</x:v>
      </x:c>
      <x:c r="J1193" s="20" t="n">
        <x:v>0</x:v>
      </x:c>
      <x:c r="K1193" s="4" t="inlineStr">
        <x:is>
          <x:t xml:space="preserve">Bank Transfer</x:t>
        </x:is>
      </x:c>
      <x:c r="L1193" s="19" t="n">
        <x:v>944</x:v>
      </x:c>
      <x:c r="M1193" s="19" t="n">
        <x:v>0</x:v>
      </x:c>
      <x:c r="N1193" s="19" t="n">
        <x:v>944</x:v>
      </x:c>
      <x:c r="O1193" s="4" t="n">
        <x:f>YEAR(C1193)</x:f>
        <x:v>2025</x:v>
      </x:c>
      <x:c r="P1193" s="4" t="str">
        <x:f>TEXT(C1193,"yyyy-mm")</x:f>
        <x:v>2025-08</x:v>
      </x:c>
      <x:c r="Q1193" s="4" t="str">
        <x:f>TEXT(C1193,"mmmm")</x:f>
        <x:v>August</x:v>
      </x:c>
    </x:row>
    <x:row r="1194" ht="20" customHeight="1">
      <x:c r="A1194" s="4" t="inlineStr">
        <x:is>
          <x:t xml:space="preserve">LINE-01205</x:t>
        </x:is>
      </x:c>
      <x:c r="B1194" s="4" t="inlineStr">
        <x:is>
          <x:t xml:space="preserve">ORD-2025-0750</x:t>
        </x:is>
      </x:c>
      <x:c r="C1194" s="17" t="n">
        <x:v>45851</x:v>
      </x:c>
      <x:c r="D1194" s="4" t="inlineStr">
        <x:is>
          <x:t xml:space="preserve">CUS-0293</x:t>
        </x:is>
      </x:c>
      <x:c r="E1194" s="4" t="inlineStr">
        <x:is>
          <x:t xml:space="preserve">Monitor</x:t>
        </x:is>
      </x:c>
      <x:c r="F1194" s="4" t="inlineStr">
        <x:is>
          <x:t xml:space="preserve">Computers</x:t>
        </x:is>
      </x:c>
      <x:c r="G1194" s="4" t="inlineStr">
        <x:is>
          <x:t xml:space="preserve">Chicago</x:t>
        </x:is>
      </x:c>
      <x:c r="H1194" s="18" t="n">
        <x:v>1</x:v>
      </x:c>
      <x:c r="I1194" s="19" t="n">
        <x:v>261.36</x:v>
      </x:c>
      <x:c r="J1194" s="20" t="n">
        <x:v>0</x:v>
      </x:c>
      <x:c r="K1194" s="4" t="inlineStr">
        <x:is>
          <x:t xml:space="preserve">PayPal</x:t>
        </x:is>
      </x:c>
      <x:c r="L1194" s="19" t="n">
        <x:v>261.36</x:v>
      </x:c>
      <x:c r="M1194" s="19" t="n">
        <x:v>0</x:v>
      </x:c>
      <x:c r="N1194" s="19" t="n">
        <x:v>261.36</x:v>
      </x:c>
      <x:c r="O1194" s="4" t="n">
        <x:f>YEAR(C1194)</x:f>
        <x:v>2025</x:v>
      </x:c>
      <x:c r="P1194" s="4" t="str">
        <x:f>TEXT(C1194,"yyyy-mm")</x:f>
        <x:v>2025-07</x:v>
      </x:c>
      <x:c r="Q1194" s="4" t="str">
        <x:f>TEXT(C1194,"mmmm")</x:f>
        <x:v>July</x:v>
      </x:c>
    </x:row>
    <x:row r="1195" ht="20" customHeight="1">
      <x:c r="A1195" s="4" t="inlineStr">
        <x:is>
          <x:t xml:space="preserve">LINE-01206</x:t>
        </x:is>
      </x:c>
      <x:c r="B1195" s="4" t="inlineStr">
        <x:is>
          <x:t xml:space="preserve">ORD-2025-0751</x:t>
        </x:is>
      </x:c>
      <x:c r="C1195" s="17" t="n">
        <x:v>45838</x:v>
      </x:c>
      <x:c r="D1195" s="4" t="inlineStr">
        <x:is>
          <x:t xml:space="preserve">CUS-0118</x:t>
        </x:is>
      </x:c>
      <x:c r="E1195" s="4" t="inlineStr">
        <x:is>
          <x:t xml:space="preserve">USB Flash Drive</x:t>
        </x:is>
      </x:c>
      <x:c r="F1195" s="4" t="inlineStr">
        <x:is>
          <x:t xml:space="preserve">Storage</x:t>
        </x:is>
      </x:c>
      <x:c r="G1195" s="4" t="inlineStr">
        <x:is>
          <x:t xml:space="preserve">Boston</x:t>
        </x:is>
      </x:c>
      <x:c r="H1195" s="18" t="n">
        <x:v>1</x:v>
      </x:c>
      <x:c r="I1195" s="19" t="n">
        <x:v>29.77</x:v>
      </x:c>
      <x:c r="J1195" s="20" t="n">
        <x:v>0</x:v>
      </x:c>
      <x:c r="K1195" s="4" t="inlineStr">
        <x:is>
          <x:t xml:space="preserve">Credit Card</x:t>
        </x:is>
      </x:c>
      <x:c r="L1195" s="19" t="n">
        <x:v>29.77</x:v>
      </x:c>
      <x:c r="M1195" s="19" t="n">
        <x:v>0</x:v>
      </x:c>
      <x:c r="N1195" s="19" t="n">
        <x:v>29.77</x:v>
      </x:c>
      <x:c r="O1195" s="4" t="n">
        <x:f>YEAR(C1195)</x:f>
        <x:v>2025</x:v>
      </x:c>
      <x:c r="P1195" s="4" t="str">
        <x:f>TEXT(C1195,"yyyy-mm")</x:f>
        <x:v>2025-06</x:v>
      </x:c>
      <x:c r="Q1195" s="4" t="str">
        <x:f>TEXT(C1195,"mmmm")</x:f>
        <x:v>June</x:v>
      </x:c>
    </x:row>
    <x:row r="1196" ht="20" customHeight="1">
      <x:c r="A1196" s="4" t="inlineStr">
        <x:is>
          <x:t xml:space="preserve">LINE-01207</x:t>
        </x:is>
      </x:c>
      <x:c r="B1196" s="4" t="inlineStr">
        <x:is>
          <x:t xml:space="preserve">ORD-2025-0752</x:t>
        </x:is>
      </x:c>
      <x:c r="C1196" s="17" t="n">
        <x:v>45846</x:v>
      </x:c>
      <x:c r="D1196" s="4" t="inlineStr">
        <x:is>
          <x:t xml:space="preserve">CUS-0255</x:t>
        </x:is>
      </x:c>
      <x:c r="E1196" s="4" t="inlineStr">
        <x:is>
          <x:t xml:space="preserve">Keyboard</x:t>
        </x:is>
      </x:c>
      <x:c r="F1196" s="4" t="inlineStr">
        <x:is>
          <x:t xml:space="preserve">Accessories</x:t>
        </x:is>
      </x:c>
      <x:c r="G1196" s="4" t="inlineStr">
        <x:is>
          <x:t xml:space="preserve">Austin</x:t>
        </x:is>
      </x:c>
      <x:c r="H1196" s="18" t="n">
        <x:v>2</x:v>
      </x:c>
      <x:c r="I1196" s="19" t="n">
        <x:v>72.19</x:v>
      </x:c>
      <x:c r="J1196" s="20" t="n">
        <x:v>0</x:v>
      </x:c>
      <x:c r="K1196" s="4" t="inlineStr">
        <x:is>
          <x:t xml:space="preserve">PayPal</x:t>
        </x:is>
      </x:c>
      <x:c r="L1196" s="19" t="n">
        <x:v>144.38</x:v>
      </x:c>
      <x:c r="M1196" s="19" t="n">
        <x:v>0</x:v>
      </x:c>
      <x:c r="N1196" s="19" t="n">
        <x:v>144.38</x:v>
      </x:c>
      <x:c r="O1196" s="4" t="n">
        <x:f>YEAR(C1196)</x:f>
        <x:v>2025</x:v>
      </x:c>
      <x:c r="P1196" s="4" t="str">
        <x:f>TEXT(C1196,"yyyy-mm")</x:f>
        <x:v>2025-07</x:v>
      </x:c>
      <x:c r="Q1196" s="4" t="str">
        <x:f>TEXT(C1196,"mmmm")</x:f>
        <x:v>July</x:v>
      </x:c>
    </x:row>
    <x:row r="1197" ht="20" customHeight="1">
      <x:c r="A1197" s="4" t="inlineStr">
        <x:is>
          <x:t xml:space="preserve">LINE-01208</x:t>
        </x:is>
      </x:c>
      <x:c r="B1197" s="4" t="inlineStr">
        <x:is>
          <x:t xml:space="preserve">ORD-2025-0753</x:t>
        </x:is>
      </x:c>
      <x:c r="C1197" s="17" t="n">
        <x:v>45700</x:v>
      </x:c>
      <x:c r="D1197" s="4" t="inlineStr">
        <x:is>
          <x:t xml:space="preserve">CUS-0151</x:t>
        </x:is>
      </x:c>
      <x:c r="E1197" s="4" t="inlineStr">
        <x:is>
          <x:t xml:space="preserve">Wireless Mouse</x:t>
        </x:is>
      </x:c>
      <x:c r="F1197" s="4" t="inlineStr">
        <x:is>
          <x:t xml:space="preserve">Accessories</x:t>
        </x:is>
      </x:c>
      <x:c r="G1197" s="4" t="inlineStr">
        <x:is>
          <x:t xml:space="preserve">Boston</x:t>
        </x:is>
      </x:c>
      <x:c r="H1197" s="18" t="n">
        <x:v>1</x:v>
      </x:c>
      <x:c r="I1197" s="19" t="n">
        <x:v>43.99</x:v>
      </x:c>
      <x:c r="J1197" s="20" t="n">
        <x:v>0.05</x:v>
      </x:c>
      <x:c r="K1197" s="4" t="inlineStr">
        <x:is>
          <x:t xml:space="preserve">Credit Card</x:t>
        </x:is>
      </x:c>
      <x:c r="L1197" s="19" t="n">
        <x:v>43.99</x:v>
      </x:c>
      <x:c r="M1197" s="19" t="n">
        <x:v>2.2</x:v>
      </x:c>
      <x:c r="N1197" s="19" t="n">
        <x:v>41.79</x:v>
      </x:c>
      <x:c r="O1197" s="4" t="n">
        <x:f>YEAR(C1197)</x:f>
        <x:v>2025</x:v>
      </x:c>
      <x:c r="P1197" s="4" t="str">
        <x:f>TEXT(C1197,"yyyy-mm")</x:f>
        <x:v>2025-02</x:v>
      </x:c>
      <x:c r="Q1197" s="4" t="str">
        <x:f>TEXT(C1197,"mmmm")</x:f>
        <x:v>February</x:v>
      </x:c>
    </x:row>
    <x:row r="1198" ht="20" customHeight="1">
      <x:c r="A1198" s="4" t="inlineStr">
        <x:is>
          <x:t xml:space="preserve">LINE-01209</x:t>
        </x:is>
      </x:c>
      <x:c r="B1198" s="4" t="inlineStr">
        <x:is>
          <x:t xml:space="preserve">ORD-2025-0753</x:t>
        </x:is>
      </x:c>
      <x:c r="C1198" s="17" t="n">
        <x:v>45700</x:v>
      </x:c>
      <x:c r="D1198" s="4" t="inlineStr">
        <x:is>
          <x:t xml:space="preserve">CUS-0151</x:t>
        </x:is>
      </x:c>
      <x:c r="E1198" s="4" t="inlineStr">
        <x:is>
          <x:t xml:space="preserve">Monitor</x:t>
        </x:is>
      </x:c>
      <x:c r="F1198" s="4" t="inlineStr">
        <x:is>
          <x:t xml:space="preserve">Computers</x:t>
        </x:is>
      </x:c>
      <x:c r="G1198" s="4" t="inlineStr">
        <x:is>
          <x:t xml:space="preserve">Boston</x:t>
        </x:is>
      </x:c>
      <x:c r="H1198" s="18" t="n">
        <x:v>1</x:v>
      </x:c>
      <x:c r="I1198" s="19" t="n">
        <x:v>287.84</x:v>
      </x:c>
      <x:c r="J1198" s="20" t="n">
        <x:v>0</x:v>
      </x:c>
      <x:c r="K1198" s="4" t="inlineStr">
        <x:is>
          <x:t xml:space="preserve">Credit Card</x:t>
        </x:is>
      </x:c>
      <x:c r="L1198" s="19" t="n">
        <x:v>287.84</x:v>
      </x:c>
      <x:c r="M1198" s="19" t="n">
        <x:v>0</x:v>
      </x:c>
      <x:c r="N1198" s="19" t="n">
        <x:v>287.84</x:v>
      </x:c>
      <x:c r="O1198" s="4" t="n">
        <x:f>YEAR(C1198)</x:f>
        <x:v>2025</x:v>
      </x:c>
      <x:c r="P1198" s="4" t="str">
        <x:f>TEXT(C1198,"yyyy-mm")</x:f>
        <x:v>2025-02</x:v>
      </x:c>
      <x:c r="Q1198" s="4" t="str">
        <x:f>TEXT(C1198,"mmmm")</x:f>
        <x:v>February</x:v>
      </x:c>
    </x:row>
    <x:row r="1199" ht="20" customHeight="1">
      <x:c r="A1199" s="4" t="inlineStr">
        <x:is>
          <x:t xml:space="preserve">LINE-01210</x:t>
        </x:is>
      </x:c>
      <x:c r="B1199" s="4" t="inlineStr">
        <x:is>
          <x:t xml:space="preserve">ORD-2025-0754</x:t>
        </x:is>
      </x:c>
      <x:c r="C1199" s="17" t="n">
        <x:v>46007</x:v>
      </x:c>
      <x:c r="D1199" s="4" t="inlineStr">
        <x:is>
          <x:t xml:space="preserve">CUS-0141</x:t>
        </x:is>
      </x:c>
      <x:c r="E1199" s="4" t="inlineStr">
        <x:is>
          <x:t xml:space="preserve">Desk Lamp</x:t>
        </x:is>
      </x:c>
      <x:c r="F1199" s="4" t="inlineStr">
        <x:is>
          <x:t xml:space="preserve">Furniture</x:t>
        </x:is>
      </x:c>
      <x:c r="G1199" s="4" t="inlineStr">
        <x:is>
          <x:t xml:space="preserve">Chicago</x:t>
        </x:is>
      </x:c>
      <x:c r="H1199" s="18" t="n">
        <x:v>1</x:v>
      </x:c>
      <x:c r="I1199" s="19" t="n">
        <x:v>53.24</x:v>
      </x:c>
      <x:c r="J1199" s="20" t="n">
        <x:v>0.1</x:v>
      </x:c>
      <x:c r="K1199" s="4" t="inlineStr">
        <x:is>
          <x:t xml:space="preserve">Debit Card</x:t>
        </x:is>
      </x:c>
      <x:c r="L1199" s="19" t="n">
        <x:v>53.24</x:v>
      </x:c>
      <x:c r="M1199" s="19" t="n">
        <x:v>5.32</x:v>
      </x:c>
      <x:c r="N1199" s="19" t="n">
        <x:v>47.92</x:v>
      </x:c>
      <x:c r="O1199" s="4" t="n">
        <x:f>YEAR(C1199)</x:f>
        <x:v>2025</x:v>
      </x:c>
      <x:c r="P1199" s="4" t="str">
        <x:f>TEXT(C1199,"yyyy-mm")</x:f>
        <x:v>2025-12</x:v>
      </x:c>
      <x:c r="Q1199" s="4" t="str">
        <x:f>TEXT(C1199,"mmmm")</x:f>
        <x:v>December</x:v>
      </x:c>
    </x:row>
    <x:row r="1200" ht="20" customHeight="1">
      <x:c r="A1200" s="4" t="inlineStr">
        <x:is>
          <x:t xml:space="preserve">LINE-01211</x:t>
        </x:is>
      </x:c>
      <x:c r="B1200" s="4" t="inlineStr">
        <x:is>
          <x:t xml:space="preserve">ORD-2025-0754</x:t>
        </x:is>
      </x:c>
      <x:c r="C1200" s="17" t="n">
        <x:v>46007</x:v>
      </x:c>
      <x:c r="D1200" s="4" t="inlineStr">
        <x:is>
          <x:t xml:space="preserve">CUS-0141</x:t>
        </x:is>
      </x:c>
      <x:c r="E1200" s="4" t="inlineStr">
        <x:is>
          <x:t xml:space="preserve">External SSD</x:t>
        </x:is>
      </x:c>
      <x:c r="F1200" s="4" t="inlineStr">
        <x:is>
          <x:t xml:space="preserve">Storage</x:t>
        </x:is>
      </x:c>
      <x:c r="G1200" s="4" t="inlineStr">
        <x:is>
          <x:t xml:space="preserve">Chicago</x:t>
        </x:is>
      </x:c>
      <x:c r="H1200" s="18" t="n">
        <x:v>3</x:v>
      </x:c>
      <x:c r="I1200" s="19" t="n">
        <x:v>147.69</x:v>
      </x:c>
      <x:c r="J1200" s="20" t="n">
        <x:v>0</x:v>
      </x:c>
      <x:c r="K1200" s="4" t="inlineStr">
        <x:is>
          <x:t xml:space="preserve">Debit Card</x:t>
        </x:is>
      </x:c>
      <x:c r="L1200" s="19" t="n">
        <x:v>443.07</x:v>
      </x:c>
      <x:c r="M1200" s="19" t="n">
        <x:v>0</x:v>
      </x:c>
      <x:c r="N1200" s="19" t="n">
        <x:v>443.07</x:v>
      </x:c>
      <x:c r="O1200" s="4" t="n">
        <x:f>YEAR(C1200)</x:f>
        <x:v>2025</x:v>
      </x:c>
      <x:c r="P1200" s="4" t="str">
        <x:f>TEXT(C1200,"yyyy-mm")</x:f>
        <x:v>2025-12</x:v>
      </x:c>
      <x:c r="Q1200" s="4" t="str">
        <x:f>TEXT(C1200,"mmmm")</x:f>
        <x:v>December</x:v>
      </x:c>
    </x:row>
    <x:row r="1201" ht="20" customHeight="1">
      <x:c r="A1201" s="4" t="inlineStr">
        <x:is>
          <x:t xml:space="preserve">LINE-01212</x:t>
        </x:is>
      </x:c>
      <x:c r="B1201" s="4" t="inlineStr">
        <x:is>
          <x:t xml:space="preserve">ORD-2025-0754</x:t>
        </x:is>
      </x:c>
      <x:c r="C1201" s="17" t="n">
        <x:v>46007</x:v>
      </x:c>
      <x:c r="D1201" s="4" t="inlineStr">
        <x:is>
          <x:t xml:space="preserve">CUS-0141</x:t>
        </x:is>
      </x:c>
      <x:c r="E1201" s="4" t="inlineStr">
        <x:is>
          <x:t xml:space="preserve">USB-C Hub</x:t>
        </x:is>
      </x:c>
      <x:c r="F1201" s="4" t="inlineStr">
        <x:is>
          <x:t xml:space="preserve">Accessories</x:t>
        </x:is>
      </x:c>
      <x:c r="G1201" s="4" t="inlineStr">
        <x:is>
          <x:t xml:space="preserve">Chicago</x:t>
        </x:is>
      </x:c>
      <x:c r="H1201" s="18" t="n">
        <x:v>2</x:v>
      </x:c>
      <x:c r="I1201" s="19" t="n">
        <x:v>66.62</x:v>
      </x:c>
      <x:c r="J1201" s="20" t="n">
        <x:v>0.05</x:v>
      </x:c>
      <x:c r="K1201" s="4" t="inlineStr">
        <x:is>
          <x:t xml:space="preserve">Debit Card</x:t>
        </x:is>
      </x:c>
      <x:c r="L1201" s="19" t="n">
        <x:v>133.24</x:v>
      </x:c>
      <x:c r="M1201" s="19" t="n">
        <x:v>6.66</x:v>
      </x:c>
      <x:c r="N1201" s="19" t="n">
        <x:v>126.58</x:v>
      </x:c>
      <x:c r="O1201" s="4" t="n">
        <x:f>YEAR(C1201)</x:f>
        <x:v>2025</x:v>
      </x:c>
      <x:c r="P1201" s="4" t="str">
        <x:f>TEXT(C1201,"yyyy-mm")</x:f>
        <x:v>2025-12</x:v>
      </x:c>
      <x:c r="Q1201" s="4" t="str">
        <x:f>TEXT(C1201,"mmmm")</x:f>
        <x:v>December</x:v>
      </x:c>
    </x:row>
    <x:row r="1202" ht="20" customHeight="1">
      <x:c r="A1202" s="4" t="inlineStr">
        <x:is>
          <x:t xml:space="preserve">LINE-01213</x:t>
        </x:is>
      </x:c>
      <x:c r="B1202" s="4" t="inlineStr">
        <x:is>
          <x:t xml:space="preserve">ORD-2025-0755</x:t>
        </x:is>
      </x:c>
      <x:c r="C1202" s="17" t="n">
        <x:v>45920</x:v>
      </x:c>
      <x:c r="D1202" s="4" t="inlineStr">
        <x:is>
          <x:t xml:space="preserve">CUS-0077</x:t>
        </x:is>
      </x:c>
      <x:c r="E1202" s="4" t="inlineStr">
        <x:is>
          <x:t xml:space="preserve">Desk Lamp</x:t>
        </x:is>
      </x:c>
      <x:c r="F1202" s="4" t="inlineStr">
        <x:is>
          <x:t xml:space="preserve">Furniture</x:t>
        </x:is>
      </x:c>
      <x:c r="G1202" s="4" t="inlineStr">
        <x:is>
          <x:t xml:space="preserve">Seattle</x:t>
        </x:is>
      </x:c>
      <x:c r="H1202" s="18" t="n">
        <x:v>1</x:v>
      </x:c>
      <x:c r="I1202" s="19" t="n">
        <x:v>52.66</x:v>
      </x:c>
      <x:c r="J1202" s="20" t="n">
        <x:v>0.05</x:v>
      </x:c>
      <x:c r="K1202" s="4" t="inlineStr">
        <x:is>
          <x:t xml:space="preserve">Debit Card</x:t>
        </x:is>
      </x:c>
      <x:c r="L1202" s="19" t="n">
        <x:v>52.66</x:v>
      </x:c>
      <x:c r="M1202" s="19" t="n">
        <x:v>2.63</x:v>
      </x:c>
      <x:c r="N1202" s="19" t="n">
        <x:v>50.03</x:v>
      </x:c>
      <x:c r="O1202" s="4" t="n">
        <x:f>YEAR(C1202)</x:f>
        <x:v>2025</x:v>
      </x:c>
      <x:c r="P1202" s="4" t="str">
        <x:f>TEXT(C1202,"yyyy-mm")</x:f>
        <x:v>2025-09</x:v>
      </x:c>
      <x:c r="Q1202" s="4" t="str">
        <x:f>TEXT(C1202,"mmmm")</x:f>
        <x:v>September</x:v>
      </x:c>
    </x:row>
    <x:row r="1203" ht="20" customHeight="1">
      <x:c r="A1203" s="4" t="inlineStr">
        <x:is>
          <x:t xml:space="preserve">LINE-01214</x:t>
        </x:is>
      </x:c>
      <x:c r="B1203" s="4" t="inlineStr">
        <x:is>
          <x:t xml:space="preserve">ORD-2025-0756</x:t>
        </x:is>
      </x:c>
      <x:c r="C1203" s="17" t="n">
        <x:v>45940</x:v>
      </x:c>
      <x:c r="D1203" s="4" t="inlineStr">
        <x:is>
          <x:t xml:space="preserve">CUS-0240</x:t>
        </x:is>
      </x:c>
      <x:c r="E1203" s="4" t="inlineStr">
        <x:is>
          <x:t xml:space="preserve">Monitor</x:t>
        </x:is>
      </x:c>
      <x:c r="F1203" s="4" t="inlineStr">
        <x:is>
          <x:t xml:space="preserve">Computers</x:t>
        </x:is>
      </x:c>
      <x:c r="G1203" s="4" t="inlineStr">
        <x:is>
          <x:t xml:space="preserve">San Francisco</x:t>
        </x:is>
      </x:c>
      <x:c r="H1203" s="18" t="n">
        <x:v>1</x:v>
      </x:c>
      <x:c r="I1203" s="19" t="n">
        <x:v>266.02</x:v>
      </x:c>
      <x:c r="J1203" s="20" t="n">
        <x:v>0.1</x:v>
      </x:c>
      <x:c r="K1203" s="4" t="inlineStr">
        <x:is>
          <x:t xml:space="preserve">Bank Transfer</x:t>
        </x:is>
      </x:c>
      <x:c r="L1203" s="19" t="n">
        <x:v>266.02</x:v>
      </x:c>
      <x:c r="M1203" s="19" t="n">
        <x:v>26.6</x:v>
      </x:c>
      <x:c r="N1203" s="19" t="n">
        <x:v>239.42</x:v>
      </x:c>
      <x:c r="O1203" s="4" t="n">
        <x:f>YEAR(C1203)</x:f>
        <x:v>2025</x:v>
      </x:c>
      <x:c r="P1203" s="4" t="str">
        <x:f>TEXT(C1203,"yyyy-mm")</x:f>
        <x:v>2025-10</x:v>
      </x:c>
      <x:c r="Q1203" s="4" t="str">
        <x:f>TEXT(C1203,"mmmm")</x:f>
        <x:v>October</x:v>
      </x:c>
    </x:row>
    <x:row r="1204" ht="20" customHeight="1">
      <x:c r="A1204" s="4" t="inlineStr">
        <x:is>
          <x:t xml:space="preserve">LINE-01215</x:t>
        </x:is>
      </x:c>
      <x:c r="B1204" s="4" t="inlineStr">
        <x:is>
          <x:t xml:space="preserve">ORD-2025-0757</x:t>
        </x:is>
      </x:c>
      <x:c r="C1204" s="17" t="n">
        <x:v>46015</x:v>
      </x:c>
      <x:c r="D1204" s="4" t="inlineStr">
        <x:is>
          <x:t xml:space="preserve">CUS-0214</x:t>
        </x:is>
      </x:c>
      <x:c r="E1204" s="4" t="inlineStr">
        <x:is>
          <x:t xml:space="preserve">External SSD</x:t>
        </x:is>
      </x:c>
      <x:c r="F1204" s="4" t="inlineStr">
        <x:is>
          <x:t xml:space="preserve">Storage</x:t>
        </x:is>
      </x:c>
      <x:c r="G1204" s="4" t="inlineStr">
        <x:is>
          <x:t xml:space="preserve">Chicago</x:t>
        </x:is>
      </x:c>
      <x:c r="H1204" s="18" t="n">
        <x:v>1</x:v>
      </x:c>
      <x:c r="I1204" s="19" t="n">
        <x:v>141.33</x:v>
      </x:c>
      <x:c r="J1204" s="20" t="n">
        <x:v>0.15</x:v>
      </x:c>
      <x:c r="K1204" s="4" t="inlineStr">
        <x:is>
          <x:t xml:space="preserve">Bank Transfer</x:t>
        </x:is>
      </x:c>
      <x:c r="L1204" s="19" t="n">
        <x:v>141.33</x:v>
      </x:c>
      <x:c r="M1204" s="19" t="n">
        <x:v>21.2</x:v>
      </x:c>
      <x:c r="N1204" s="19" t="n">
        <x:v>120.13</x:v>
      </x:c>
      <x:c r="O1204" s="4" t="n">
        <x:f>YEAR(C1204)</x:f>
        <x:v>2025</x:v>
      </x:c>
      <x:c r="P1204" s="4" t="str">
        <x:f>TEXT(C1204,"yyyy-mm")</x:f>
        <x:v>2025-12</x:v>
      </x:c>
      <x:c r="Q1204" s="4" t="str">
        <x:f>TEXT(C1204,"mmmm")</x:f>
        <x:v>December</x:v>
      </x:c>
    </x:row>
    <x:row r="1205" ht="20" customHeight="1">
      <x:c r="A1205" s="4" t="inlineStr">
        <x:is>
          <x:t xml:space="preserve">LINE-01216</x:t>
        </x:is>
      </x:c>
      <x:c r="B1205" s="4" t="inlineStr">
        <x:is>
          <x:t xml:space="preserve">ORD-2025-0758</x:t>
        </x:is>
      </x:c>
      <x:c r="C1205" s="17" t="n">
        <x:v>45814</x:v>
      </x:c>
      <x:c r="D1205" s="4" t="inlineStr">
        <x:is>
          <x:t xml:space="preserve">CUS-0005</x:t>
        </x:is>
      </x:c>
      <x:c r="E1205" s="4" t="inlineStr">
        <x:is>
          <x:t xml:space="preserve">Headphones</x:t>
        </x:is>
      </x:c>
      <x:c r="F1205" s="4" t="inlineStr">
        <x:is>
          <x:t xml:space="preserve">Audio</x:t>
        </x:is>
      </x:c>
      <x:c r="G1205" s="4" t="inlineStr">
        <x:is>
          <x:t xml:space="preserve">Seattle</x:t>
        </x:is>
      </x:c>
      <x:c r="H1205" s="18" t="n">
        <x:v>2</x:v>
      </x:c>
      <x:c r="I1205" s="19" t="n">
        <x:v>135.25</x:v>
      </x:c>
      <x:c r="J1205" s="20" t="n">
        <x:v>0.1</x:v>
      </x:c>
      <x:c r="K1205" s="4" t="inlineStr">
        <x:is>
          <x:t xml:space="preserve">PayPal</x:t>
        </x:is>
      </x:c>
      <x:c r="L1205" s="19" t="n">
        <x:v>270.5</x:v>
      </x:c>
      <x:c r="M1205" s="19" t="n">
        <x:v>27.05</x:v>
      </x:c>
      <x:c r="N1205" s="19" t="n">
        <x:v>243.45</x:v>
      </x:c>
      <x:c r="O1205" s="4" t="n">
        <x:f>YEAR(C1205)</x:f>
        <x:v>2025</x:v>
      </x:c>
      <x:c r="P1205" s="4" t="str">
        <x:f>TEXT(C1205,"yyyy-mm")</x:f>
        <x:v>2025-06</x:v>
      </x:c>
      <x:c r="Q1205" s="4" t="str">
        <x:f>TEXT(C1205,"mmmm")</x:f>
        <x:v>June</x:v>
      </x:c>
    </x:row>
    <x:row r="1206" ht="20" customHeight="1">
      <x:c r="A1206" s="4" t="inlineStr">
        <x:is>
          <x:t xml:space="preserve">LINE-01217</x:t>
        </x:is>
      </x:c>
      <x:c r="B1206" s="4" t="inlineStr">
        <x:is>
          <x:t xml:space="preserve">ORD-2025-0759</x:t>
        </x:is>
      </x:c>
      <x:c r="C1206" s="17" t="n">
        <x:v>46011</x:v>
      </x:c>
      <x:c r="D1206" s="4" t="inlineStr">
        <x:is>
          <x:t xml:space="preserve">CUS-0276</x:t>
        </x:is>
      </x:c>
      <x:c r="E1206" s="4" t="inlineStr">
        <x:is>
          <x:t xml:space="preserve">USB Flash Drive</x:t>
        </x:is>
      </x:c>
      <x:c r="F1206" s="4" t="inlineStr">
        <x:is>
          <x:t xml:space="preserve">Storage</x:t>
        </x:is>
      </x:c>
      <x:c r="G1206" s="4" t="inlineStr">
        <x:is>
          <x:t xml:space="preserve">Austin</x:t>
        </x:is>
      </x:c>
      <x:c r="H1206" s="18" t="n">
        <x:v>4</x:v>
      </x:c>
      <x:c r="I1206" s="19" t="n">
        <x:v>28.34</x:v>
      </x:c>
      <x:c r="J1206" s="20" t="n">
        <x:v>0.15</x:v>
      </x:c>
      <x:c r="K1206" s="4" t="inlineStr">
        <x:is>
          <x:t xml:space="preserve">PayPal</x:t>
        </x:is>
      </x:c>
      <x:c r="L1206" s="19" t="n">
        <x:v>113.36</x:v>
      </x:c>
      <x:c r="M1206" s="19" t="n">
        <x:v>17</x:v>
      </x:c>
      <x:c r="N1206" s="19" t="n">
        <x:v>96.36</x:v>
      </x:c>
      <x:c r="O1206" s="4" t="n">
        <x:f>YEAR(C1206)</x:f>
        <x:v>2025</x:v>
      </x:c>
      <x:c r="P1206" s="4" t="str">
        <x:f>TEXT(C1206,"yyyy-mm")</x:f>
        <x:v>2025-12</x:v>
      </x:c>
      <x:c r="Q1206" s="4" t="str">
        <x:f>TEXT(C1206,"mmmm")</x:f>
        <x:v>December</x:v>
      </x:c>
    </x:row>
    <x:row r="1207" ht="20" customHeight="1">
      <x:c r="A1207" s="4" t="inlineStr">
        <x:is>
          <x:t xml:space="preserve">LINE-01218</x:t>
        </x:is>
      </x:c>
      <x:c r="B1207" s="4" t="inlineStr">
        <x:is>
          <x:t xml:space="preserve">ORD-2025-0759</x:t>
        </x:is>
      </x:c>
      <x:c r="C1207" s="17" t="n">
        <x:v>46011</x:v>
      </x:c>
      <x:c r="D1207" s="4" t="inlineStr">
        <x:is>
          <x:t xml:space="preserve">CUS-0276</x:t>
        </x:is>
      </x:c>
      <x:c r="E1207" s="4" t="inlineStr">
        <x:is>
          <x:t xml:space="preserve">Laptop</x:t>
        </x:is>
      </x:c>
      <x:c r="F1207" s="4" t="inlineStr">
        <x:is>
          <x:t xml:space="preserve">Computers</x:t>
        </x:is>
      </x:c>
      <x:c r="G1207" s="4" t="inlineStr">
        <x:is>
          <x:t xml:space="preserve">Austin</x:t>
        </x:is>
      </x:c>
      <x:c r="H1207" s="18" t="n">
        <x:v>1</x:v>
      </x:c>
      <x:c r="I1207" s="19" t="n">
        <x:v>969.74</x:v>
      </x:c>
      <x:c r="J1207" s="20" t="n">
        <x:v>0.05</x:v>
      </x:c>
      <x:c r="K1207" s="4" t="inlineStr">
        <x:is>
          <x:t xml:space="preserve">PayPal</x:t>
        </x:is>
      </x:c>
      <x:c r="L1207" s="19" t="n">
        <x:v>969.74</x:v>
      </x:c>
      <x:c r="M1207" s="19" t="n">
        <x:v>48.49</x:v>
      </x:c>
      <x:c r="N1207" s="19" t="n">
        <x:v>921.25</x:v>
      </x:c>
      <x:c r="O1207" s="4" t="n">
        <x:f>YEAR(C1207)</x:f>
        <x:v>2025</x:v>
      </x:c>
      <x:c r="P1207" s="4" t="str">
        <x:f>TEXT(C1207,"yyyy-mm")</x:f>
        <x:v>2025-12</x:v>
      </x:c>
      <x:c r="Q1207" s="4" t="str">
        <x:f>TEXT(C1207,"mmmm")</x:f>
        <x:v>December</x:v>
      </x:c>
    </x:row>
    <x:row r="1208" ht="20" customHeight="1">
      <x:c r="A1208" s="4" t="inlineStr">
        <x:is>
          <x:t xml:space="preserve">LINE-01219</x:t>
        </x:is>
      </x:c>
      <x:c r="B1208" s="4" t="inlineStr">
        <x:is>
          <x:t xml:space="preserve">ORD-2025-0760</x:t>
        </x:is>
      </x:c>
      <x:c r="C1208" s="17" t="n">
        <x:v>45969</x:v>
      </x:c>
      <x:c r="D1208" s="4" t="inlineStr">
        <x:is>
          <x:t xml:space="preserve">CUS-0294</x:t>
        </x:is>
      </x:c>
      <x:c r="E1208" s="4" t="inlineStr">
        <x:is>
          <x:t xml:space="preserve">Headphones</x:t>
        </x:is>
      </x:c>
      <x:c r="F1208" s="4" t="inlineStr">
        <x:is>
          <x:t xml:space="preserve">Audio</x:t>
        </x:is>
      </x:c>
      <x:c r="G1208" s="4" t="inlineStr">
        <x:is>
          <x:t xml:space="preserve">Seattle</x:t>
        </x:is>
      </x:c>
      <x:c r="H1208" s="18" t="n">
        <x:v>1</x:v>
      </x:c>
      <x:c r="I1208" s="19" t="n">
        <x:v>127.64</x:v>
      </x:c>
      <x:c r="J1208" s="20" t="n">
        <x:v>0.05</x:v>
      </x:c>
      <x:c r="K1208" s="4" t="inlineStr">
        <x:is>
          <x:t xml:space="preserve">Bank Transfer</x:t>
        </x:is>
      </x:c>
      <x:c r="L1208" s="19" t="n">
        <x:v>127.64</x:v>
      </x:c>
      <x:c r="M1208" s="19" t="n">
        <x:v>6.38</x:v>
      </x:c>
      <x:c r="N1208" s="19" t="n">
        <x:v>121.26</x:v>
      </x:c>
      <x:c r="O1208" s="4" t="n">
        <x:f>YEAR(C1208)</x:f>
        <x:v>2025</x:v>
      </x:c>
      <x:c r="P1208" s="4" t="str">
        <x:f>TEXT(C1208,"yyyy-mm")</x:f>
        <x:v>2025-11</x:v>
      </x:c>
      <x:c r="Q1208" s="4" t="str">
        <x:f>TEXT(C1208,"mmmm")</x:f>
        <x:v>November</x:v>
      </x:c>
    </x:row>
    <x:row r="1209" ht="20" customHeight="1">
      <x:c r="A1209" s="4" t="inlineStr">
        <x:is>
          <x:t xml:space="preserve">LINE-01220</x:t>
        </x:is>
      </x:c>
      <x:c r="B1209" s="4" t="inlineStr">
        <x:is>
          <x:t xml:space="preserve">ORD-2025-0761</x:t>
        </x:is>
      </x:c>
      <x:c r="C1209" s="17" t="n">
        <x:v>45826</x:v>
      </x:c>
      <x:c r="D1209" s="4" t="inlineStr">
        <x:is>
          <x:t xml:space="preserve">CUS-0292</x:t>
        </x:is>
      </x:c>
      <x:c r="E1209" s="4" t="inlineStr">
        <x:is>
          <x:t xml:space="preserve">Monitor</x:t>
        </x:is>
      </x:c>
      <x:c r="F1209" s="4" t="inlineStr">
        <x:is>
          <x:t xml:space="preserve">Computers</x:t>
        </x:is>
      </x:c>
      <x:c r="G1209" s="4" t="inlineStr">
        <x:is>
          <x:t xml:space="preserve">Seattle</x:t>
        </x:is>
      </x:c>
      <x:c r="H1209" s="18" t="n">
        <x:v>2</x:v>
      </x:c>
      <x:c r="I1209" s="19" t="n">
        <x:v>265.56</x:v>
      </x:c>
      <x:c r="J1209" s="20" t="n">
        <x:v>0.1</x:v>
      </x:c>
      <x:c r="K1209" s="4" t="inlineStr">
        <x:is>
          <x:t xml:space="preserve">PayPal</x:t>
        </x:is>
      </x:c>
      <x:c r="L1209" s="19" t="n">
        <x:v>531.12</x:v>
      </x:c>
      <x:c r="M1209" s="19" t="n">
        <x:v>53.11</x:v>
      </x:c>
      <x:c r="N1209" s="19" t="n">
        <x:v>478.01</x:v>
      </x:c>
      <x:c r="O1209" s="4" t="n">
        <x:f>YEAR(C1209)</x:f>
        <x:v>2025</x:v>
      </x:c>
      <x:c r="P1209" s="4" t="str">
        <x:f>TEXT(C1209,"yyyy-mm")</x:f>
        <x:v>2025-06</x:v>
      </x:c>
      <x:c r="Q1209" s="4" t="str">
        <x:f>TEXT(C1209,"mmmm")</x:f>
        <x:v>June</x:v>
      </x:c>
    </x:row>
    <x:row r="1210" ht="20" customHeight="1">
      <x:c r="A1210" s="4" t="inlineStr">
        <x:is>
          <x:t xml:space="preserve">LINE-01221</x:t>
        </x:is>
      </x:c>
      <x:c r="B1210" s="4" t="inlineStr">
        <x:is>
          <x:t xml:space="preserve">ORD-2025-0762</x:t>
        </x:is>
      </x:c>
      <x:c r="C1210" s="17" t="n">
        <x:v>45966</x:v>
      </x:c>
      <x:c r="D1210" s="4" t="inlineStr">
        <x:is>
          <x:t xml:space="preserve">CUS-0251</x:t>
        </x:is>
      </x:c>
      <x:c r="E1210" s="4" t="inlineStr">
        <x:is>
          <x:t xml:space="preserve">Headphones</x:t>
        </x:is>
      </x:c>
      <x:c r="F1210" s="4" t="inlineStr">
        <x:is>
          <x:t xml:space="preserve">Audio</x:t>
        </x:is>
      </x:c>
      <x:c r="G1210" s="4" t="inlineStr">
        <x:is>
          <x:t xml:space="preserve">New York</x:t>
        </x:is>
      </x:c>
      <x:c r="H1210" s="18" t="n">
        <x:v>1</x:v>
      </x:c>
      <x:c r="I1210" s="19" t="n">
        <x:v>124.45</x:v>
      </x:c>
      <x:c r="J1210" s="20" t="n">
        <x:v>0.05</x:v>
      </x:c>
      <x:c r="K1210" s="4" t="inlineStr">
        <x:is>
          <x:t xml:space="preserve">Debit Card</x:t>
        </x:is>
      </x:c>
      <x:c r="L1210" s="19" t="n">
        <x:v>124.45</x:v>
      </x:c>
      <x:c r="M1210" s="19" t="n">
        <x:v>6.22</x:v>
      </x:c>
      <x:c r="N1210" s="19" t="n">
        <x:v>118.23</x:v>
      </x:c>
      <x:c r="O1210" s="4" t="n">
        <x:f>YEAR(C1210)</x:f>
        <x:v>2025</x:v>
      </x:c>
      <x:c r="P1210" s="4" t="str">
        <x:f>TEXT(C1210,"yyyy-mm")</x:f>
        <x:v>2025-11</x:v>
      </x:c>
      <x:c r="Q1210" s="4" t="str">
        <x:f>TEXT(C1210,"mmmm")</x:f>
        <x:v>November</x:v>
      </x:c>
    </x:row>
    <x:row r="1211" ht="20" customHeight="1">
      <x:c r="A1211" s="4" t="inlineStr">
        <x:is>
          <x:t xml:space="preserve">LINE-01222</x:t>
        </x:is>
      </x:c>
      <x:c r="B1211" s="4" t="inlineStr">
        <x:is>
          <x:t xml:space="preserve">ORD-2025-0763</x:t>
        </x:is>
      </x:c>
      <x:c r="C1211" s="17" t="n">
        <x:v>45693</x:v>
      </x:c>
      <x:c r="D1211" s="4" t="inlineStr">
        <x:is>
          <x:t xml:space="preserve">CUS-0233</x:t>
        </x:is>
      </x:c>
      <x:c r="E1211" s="4" t="inlineStr">
        <x:is>
          <x:t xml:space="preserve">Keyboard</x:t>
        </x:is>
      </x:c>
      <x:c r="F1211" s="4" t="inlineStr">
        <x:is>
          <x:t xml:space="preserve">Accessories</x:t>
        </x:is>
      </x:c>
      <x:c r="G1211" s="4" t="inlineStr">
        <x:is>
          <x:t xml:space="preserve">New York</x:t>
        </x:is>
      </x:c>
      <x:c r="H1211" s="18" t="n">
        <x:v>3</x:v>
      </x:c>
      <x:c r="I1211" s="19" t="n">
        <x:v>73.93000000000001</x:v>
      </x:c>
      <x:c r="J1211" s="20" t="n">
        <x:v>0</x:v>
      </x:c>
      <x:c r="K1211" s="4" t="inlineStr">
        <x:is>
          <x:t xml:space="preserve">PayPal</x:t>
        </x:is>
      </x:c>
      <x:c r="L1211" s="19" t="n">
        <x:v>221.79</x:v>
      </x:c>
      <x:c r="M1211" s="19" t="n">
        <x:v>0</x:v>
      </x:c>
      <x:c r="N1211" s="19" t="n">
        <x:v>221.79</x:v>
      </x:c>
      <x:c r="O1211" s="4" t="n">
        <x:f>YEAR(C1211)</x:f>
        <x:v>2025</x:v>
      </x:c>
      <x:c r="P1211" s="4" t="str">
        <x:f>TEXT(C1211,"yyyy-mm")</x:f>
        <x:v>2025-02</x:v>
      </x:c>
      <x:c r="Q1211" s="4" t="str">
        <x:f>TEXT(C1211,"mmmm")</x:f>
        <x:v>February</x:v>
      </x:c>
    </x:row>
    <x:row r="1212" ht="20" customHeight="1">
      <x:c r="A1212" s="4" t="inlineStr">
        <x:is>
          <x:t xml:space="preserve">LINE-01223</x:t>
        </x:is>
      </x:c>
      <x:c r="B1212" s="4" t="inlineStr">
        <x:is>
          <x:t xml:space="preserve">ORD-2025-0763</x:t>
        </x:is>
      </x:c>
      <x:c r="C1212" s="17" t="n">
        <x:v>45693</x:v>
      </x:c>
      <x:c r="D1212" s="4" t="inlineStr">
        <x:is>
          <x:t xml:space="preserve">CUS-0233</x:t>
        </x:is>
      </x:c>
      <x:c r="E1212" s="4" t="inlineStr">
        <x:is>
          <x:t xml:space="preserve">Webcam</x:t>
        </x:is>
      </x:c>
      <x:c r="F1212" s="4" t="inlineStr">
        <x:is>
          <x:t xml:space="preserve">Accessories</x:t>
        </x:is>
      </x:c>
      <x:c r="G1212" s="4" t="inlineStr">
        <x:is>
          <x:t xml:space="preserve">New York</x:t>
        </x:is>
      </x:c>
      <x:c r="H1212" s="18" t="n">
        <x:v>1</x:v>
      </x:c>
      <x:c r="I1212" s="19" t="n">
        <x:v>90.52</x:v>
      </x:c>
      <x:c r="J1212" s="20" t="n">
        <x:v>0.05</x:v>
      </x:c>
      <x:c r="K1212" s="4" t="inlineStr">
        <x:is>
          <x:t xml:space="preserve">PayPal</x:t>
        </x:is>
      </x:c>
      <x:c r="L1212" s="19" t="n">
        <x:v>90.52</x:v>
      </x:c>
      <x:c r="M1212" s="19" t="n">
        <x:v>4.53</x:v>
      </x:c>
      <x:c r="N1212" s="19" t="n">
        <x:v>85.98999999999999</x:v>
      </x:c>
      <x:c r="O1212" s="4" t="n">
        <x:f>YEAR(C1212)</x:f>
        <x:v>2025</x:v>
      </x:c>
      <x:c r="P1212" s="4" t="str">
        <x:f>TEXT(C1212,"yyyy-mm")</x:f>
        <x:v>2025-02</x:v>
      </x:c>
      <x:c r="Q1212" s="4" t="str">
        <x:f>TEXT(C1212,"mmmm")</x:f>
        <x:v>February</x:v>
      </x:c>
    </x:row>
    <x:row r="1213" ht="20" customHeight="1">
      <x:c r="A1213" s="4" t="inlineStr">
        <x:is>
          <x:t xml:space="preserve">LINE-01224</x:t>
        </x:is>
      </x:c>
      <x:c r="B1213" s="4" t="inlineStr">
        <x:is>
          <x:t xml:space="preserve">ORD-2025-0764</x:t>
        </x:is>
      </x:c>
      <x:c r="C1213" s="17" t="n">
        <x:v>45693</x:v>
      </x:c>
      <x:c r="D1213" s="4" t="inlineStr">
        <x:is>
          <x:t xml:space="preserve">CUS-0200</x:t>
        </x:is>
      </x:c>
      <x:c r="E1213" s="4" t="inlineStr">
        <x:is>
          <x:t xml:space="preserve">USB-C Hub</x:t>
        </x:is>
      </x:c>
      <x:c r="F1213" s="4" t="inlineStr">
        <x:is>
          <x:t xml:space="preserve">Accessories</x:t>
        </x:is>
      </x:c>
      <x:c r="G1213" s="4" t="inlineStr">
        <x:is>
          <x:t xml:space="preserve">Chicago</x:t>
        </x:is>
      </x:c>
      <x:c r="H1213" s="18" t="n">
        <x:v>1</x:v>
      </x:c>
      <x:c r="I1213" s="19" t="n">
        <x:v>65.78</x:v>
      </x:c>
      <x:c r="J1213" s="20" t="n">
        <x:v>0</x:v>
      </x:c>
      <x:c r="K1213" s="4" t="inlineStr">
        <x:is>
          <x:t xml:space="preserve">Debit Card</x:t>
        </x:is>
      </x:c>
      <x:c r="L1213" s="19" t="n">
        <x:v>65.78</x:v>
      </x:c>
      <x:c r="M1213" s="19" t="n">
        <x:v>0</x:v>
      </x:c>
      <x:c r="N1213" s="19" t="n">
        <x:v>65.78</x:v>
      </x:c>
      <x:c r="O1213" s="4" t="n">
        <x:f>YEAR(C1213)</x:f>
        <x:v>2025</x:v>
      </x:c>
      <x:c r="P1213" s="4" t="str">
        <x:f>TEXT(C1213,"yyyy-mm")</x:f>
        <x:v>2025-02</x:v>
      </x:c>
      <x:c r="Q1213" s="4" t="str">
        <x:f>TEXT(C1213,"mmmm")</x:f>
        <x:v>February</x:v>
      </x:c>
    </x:row>
    <x:row r="1214" ht="20" customHeight="1">
      <x:c r="A1214" s="4" t="inlineStr">
        <x:is>
          <x:t xml:space="preserve">LINE-01225</x:t>
        </x:is>
      </x:c>
      <x:c r="B1214" s="4" t="inlineStr">
        <x:is>
          <x:t xml:space="preserve">ORD-2025-0764</x:t>
        </x:is>
      </x:c>
      <x:c r="C1214" s="17" t="n">
        <x:v>45693</x:v>
      </x:c>
      <x:c r="D1214" s="4" t="inlineStr">
        <x:is>
          <x:t xml:space="preserve">CUS-0200</x:t>
        </x:is>
      </x:c>
      <x:c r="E1214" s="4" t="inlineStr">
        <x:is>
          <x:t xml:space="preserve">Headphones</x:t>
        </x:is>
      </x:c>
      <x:c r="F1214" s="4" t="inlineStr">
        <x:is>
          <x:t xml:space="preserve">Audio</x:t>
        </x:is>
      </x:c>
      <x:c r="G1214" s="4" t="inlineStr">
        <x:is>
          <x:t xml:space="preserve">Chicago</x:t>
        </x:is>
      </x:c>
      <x:c r="H1214" s="18" t="n">
        <x:v>1</x:v>
      </x:c>
      <x:c r="I1214" s="19" t="n">
        <x:v>134.51</x:v>
      </x:c>
      <x:c r="J1214" s="20" t="n">
        <x:v>0.05</x:v>
      </x:c>
      <x:c r="K1214" s="4" t="inlineStr">
        <x:is>
          <x:t xml:space="preserve">Debit Card</x:t>
        </x:is>
      </x:c>
      <x:c r="L1214" s="19" t="n">
        <x:v>134.51</x:v>
      </x:c>
      <x:c r="M1214" s="19" t="n">
        <x:v>6.73</x:v>
      </x:c>
      <x:c r="N1214" s="19" t="n">
        <x:v>127.78</x:v>
      </x:c>
      <x:c r="O1214" s="4" t="n">
        <x:f>YEAR(C1214)</x:f>
        <x:v>2025</x:v>
      </x:c>
      <x:c r="P1214" s="4" t="str">
        <x:f>TEXT(C1214,"yyyy-mm")</x:f>
        <x:v>2025-02</x:v>
      </x:c>
      <x:c r="Q1214" s="4" t="str">
        <x:f>TEXT(C1214,"mmmm")</x:f>
        <x:v>February</x:v>
      </x:c>
    </x:row>
    <x:row r="1215" ht="20" customHeight="1">
      <x:c r="A1215" s="4" t="inlineStr">
        <x:is>
          <x:t xml:space="preserve">LINE-01226</x:t>
        </x:is>
      </x:c>
      <x:c r="B1215" s="4" t="inlineStr">
        <x:is>
          <x:t xml:space="preserve">ORD-2025-0764</x:t>
        </x:is>
      </x:c>
      <x:c r="C1215" s="17" t="n">
        <x:v>45693</x:v>
      </x:c>
      <x:c r="D1215" s="4" t="inlineStr">
        <x:is>
          <x:t xml:space="preserve">CUS-0200</x:t>
        </x:is>
      </x:c>
      <x:c r="E1215" s="4" t="inlineStr">
        <x:is>
          <x:t xml:space="preserve">Bluetooth Speaker</x:t>
        </x:is>
      </x:c>
      <x:c r="F1215" s="4" t="inlineStr">
        <x:is>
          <x:t xml:space="preserve">Audio</x:t>
        </x:is>
      </x:c>
      <x:c r="G1215" s="4" t="inlineStr">
        <x:is>
          <x:t xml:space="preserve">Chicago</x:t>
        </x:is>
      </x:c>
      <x:c r="H1215" s="18" t="n">
        <x:v>1</x:v>
      </x:c>
      <x:c r="I1215" s="19" t="n">
        <x:v>118.64</x:v>
      </x:c>
      <x:c r="J1215" s="20" t="n">
        <x:v>0</x:v>
      </x:c>
      <x:c r="K1215" s="4" t="inlineStr">
        <x:is>
          <x:t xml:space="preserve">Debit Card</x:t>
        </x:is>
      </x:c>
      <x:c r="L1215" s="19" t="n">
        <x:v>118.64</x:v>
      </x:c>
      <x:c r="M1215" s="19" t="n">
        <x:v>0</x:v>
      </x:c>
      <x:c r="N1215" s="19" t="n">
        <x:v>118.64</x:v>
      </x:c>
      <x:c r="O1215" s="4" t="n">
        <x:f>YEAR(C1215)</x:f>
        <x:v>2025</x:v>
      </x:c>
      <x:c r="P1215" s="4" t="str">
        <x:f>TEXT(C1215,"yyyy-mm")</x:f>
        <x:v>2025-02</x:v>
      </x:c>
      <x:c r="Q1215" s="4" t="str">
        <x:f>TEXT(C1215,"mmmm")</x:f>
        <x:v>February</x:v>
      </x:c>
    </x:row>
    <x:row r="1216" ht="20" customHeight="1">
      <x:c r="A1216" s="4" t="inlineStr">
        <x:is>
          <x:t xml:space="preserve">LINE-01227</x:t>
        </x:is>
      </x:c>
      <x:c r="B1216" s="4" t="inlineStr">
        <x:is>
          <x:t xml:space="preserve">ORD-2025-0765</x:t>
        </x:is>
      </x:c>
      <x:c r="C1216" s="17" t="n">
        <x:v>45862</x:v>
      </x:c>
      <x:c r="D1216" s="4" t="inlineStr">
        <x:is>
          <x:t xml:space="preserve">CUS-0310</x:t>
        </x:is>
      </x:c>
      <x:c r="E1216" s="4" t="inlineStr">
        <x:is>
          <x:t xml:space="preserve">Bluetooth Speaker</x:t>
        </x:is>
      </x:c>
      <x:c r="F1216" s="4" t="inlineStr">
        <x:is>
          <x:t xml:space="preserve">Audio</x:t>
        </x:is>
      </x:c>
      <x:c r="G1216" s="4" t="inlineStr">
        <x:is>
          <x:t xml:space="preserve">Chicago</x:t>
        </x:is>
      </x:c>
      <x:c r="H1216" s="18" t="n">
        <x:v>2</x:v>
      </x:c>
      <x:c r="I1216" s="19" t="n">
        <x:v>114.18</x:v>
      </x:c>
      <x:c r="J1216" s="20" t="n">
        <x:v>0</x:v>
      </x:c>
      <x:c r="K1216" s="4" t="inlineStr">
        <x:is>
          <x:t xml:space="preserve">PayPal</x:t>
        </x:is>
      </x:c>
      <x:c r="L1216" s="19" t="n">
        <x:v>228.36</x:v>
      </x:c>
      <x:c r="M1216" s="19" t="n">
        <x:v>0</x:v>
      </x:c>
      <x:c r="N1216" s="19" t="n">
        <x:v>228.36</x:v>
      </x:c>
      <x:c r="O1216" s="4" t="n">
        <x:f>YEAR(C1216)</x:f>
        <x:v>2025</x:v>
      </x:c>
      <x:c r="P1216" s="4" t="str">
        <x:f>TEXT(C1216,"yyyy-mm")</x:f>
        <x:v>2025-07</x:v>
      </x:c>
      <x:c r="Q1216" s="4" t="str">
        <x:f>TEXT(C1216,"mmmm")</x:f>
        <x:v>July</x:v>
      </x:c>
    </x:row>
    <x:row r="1217" ht="20" customHeight="1">
      <x:c r="A1217" s="4" t="inlineStr">
        <x:is>
          <x:t xml:space="preserve">LINE-01228</x:t>
        </x:is>
      </x:c>
      <x:c r="B1217" s="4" t="inlineStr">
        <x:is>
          <x:t xml:space="preserve">ORD-2025-0765</x:t>
        </x:is>
      </x:c>
      <x:c r="C1217" s="17" t="n">
        <x:v>45862</x:v>
      </x:c>
      <x:c r="D1217" s="4" t="inlineStr">
        <x:is>
          <x:t xml:space="preserve">CUS-0310</x:t>
        </x:is>
      </x:c>
      <x:c r="E1217" s="4" t="inlineStr">
        <x:is>
          <x:t xml:space="preserve">Desk Lamp</x:t>
        </x:is>
      </x:c>
      <x:c r="F1217" s="4" t="inlineStr">
        <x:is>
          <x:t xml:space="preserve">Furniture</x:t>
        </x:is>
      </x:c>
      <x:c r="G1217" s="4" t="inlineStr">
        <x:is>
          <x:t xml:space="preserve">Chicago</x:t>
        </x:is>
      </x:c>
      <x:c r="H1217" s="18" t="n">
        <x:v>4</x:v>
      </x:c>
      <x:c r="I1217" s="19" t="n">
        <x:v>54.62</x:v>
      </x:c>
      <x:c r="J1217" s="20" t="n">
        <x:v>0.1</x:v>
      </x:c>
      <x:c r="K1217" s="4" t="inlineStr">
        <x:is>
          <x:t xml:space="preserve">PayPal</x:t>
        </x:is>
      </x:c>
      <x:c r="L1217" s="19" t="n">
        <x:v>218.48</x:v>
      </x:c>
      <x:c r="M1217" s="19" t="n">
        <x:v>21.85</x:v>
      </x:c>
      <x:c r="N1217" s="19" t="n">
        <x:v>196.63</x:v>
      </x:c>
      <x:c r="O1217" s="4" t="n">
        <x:f>YEAR(C1217)</x:f>
        <x:v>2025</x:v>
      </x:c>
      <x:c r="P1217" s="4" t="str">
        <x:f>TEXT(C1217,"yyyy-mm")</x:f>
        <x:v>2025-07</x:v>
      </x:c>
      <x:c r="Q1217" s="4" t="str">
        <x:f>TEXT(C1217,"mmmm")</x:f>
        <x:v>July</x:v>
      </x:c>
    </x:row>
    <x:row r="1218" ht="20" customHeight="1">
      <x:c r="A1218" s="4" t="inlineStr">
        <x:is>
          <x:t xml:space="preserve">LINE-01229</x:t>
        </x:is>
      </x:c>
      <x:c r="B1218" s="4" t="inlineStr">
        <x:is>
          <x:t xml:space="preserve">ORD-2025-0765</x:t>
        </x:is>
      </x:c>
      <x:c r="C1218" s="17" t="n">
        <x:v>45862</x:v>
      </x:c>
      <x:c r="D1218" s="4" t="inlineStr">
        <x:is>
          <x:t xml:space="preserve">CUS-0310</x:t>
        </x:is>
      </x:c>
      <x:c r="E1218" s="4" t="inlineStr">
        <x:is>
          <x:t xml:space="preserve">Office Chair</x:t>
        </x:is>
      </x:c>
      <x:c r="F1218" s="4" t="inlineStr">
        <x:is>
          <x:t xml:space="preserve">Furniture</x:t>
        </x:is>
      </x:c>
      <x:c r="G1218" s="4" t="inlineStr">
        <x:is>
          <x:t xml:space="preserve">Chicago</x:t>
        </x:is>
      </x:c>
      <x:c r="H1218" s="18" t="n">
        <x:v>3</x:v>
      </x:c>
      <x:c r="I1218" s="19" t="n">
        <x:v>232.22</x:v>
      </x:c>
      <x:c r="J1218" s="20" t="n">
        <x:v>0.05</x:v>
      </x:c>
      <x:c r="K1218" s="4" t="inlineStr">
        <x:is>
          <x:t xml:space="preserve">PayPal</x:t>
        </x:is>
      </x:c>
      <x:c r="L1218" s="19" t="n">
        <x:v>696.66</x:v>
      </x:c>
      <x:c r="M1218" s="19" t="n">
        <x:v>34.83</x:v>
      </x:c>
      <x:c r="N1218" s="19" t="n">
        <x:v>661.83</x:v>
      </x:c>
      <x:c r="O1218" s="4" t="n">
        <x:f>YEAR(C1218)</x:f>
        <x:v>2025</x:v>
      </x:c>
      <x:c r="P1218" s="4" t="str">
        <x:f>TEXT(C1218,"yyyy-mm")</x:f>
        <x:v>2025-07</x:v>
      </x:c>
      <x:c r="Q1218" s="4" t="str">
        <x:f>TEXT(C1218,"mmmm")</x:f>
        <x:v>July</x:v>
      </x:c>
    </x:row>
    <x:row r="1219" ht="20" customHeight="1">
      <x:c r="A1219" s="4" t="inlineStr">
        <x:is>
          <x:t xml:space="preserve">LINE-01230</x:t>
        </x:is>
      </x:c>
      <x:c r="B1219" s="4" t="inlineStr">
        <x:is>
          <x:t xml:space="preserve">ORD-2025-0766</x:t>
        </x:is>
      </x:c>
      <x:c r="C1219" s="17" t="n">
        <x:v>45747</x:v>
      </x:c>
      <x:c r="D1219" s="4" t="inlineStr">
        <x:is>
          <x:t xml:space="preserve">CUS-0213</x:t>
        </x:is>
      </x:c>
      <x:c r="E1219" s="4" t="inlineStr">
        <x:is>
          <x:t xml:space="preserve">Desk Lamp</x:t>
        </x:is>
      </x:c>
      <x:c r="F1219" s="4" t="inlineStr">
        <x:is>
          <x:t xml:space="preserve">Furniture</x:t>
        </x:is>
      </x:c>
      <x:c r="G1219" s="4" t="inlineStr">
        <x:is>
          <x:t xml:space="preserve">Chicago</x:t>
        </x:is>
      </x:c>
      <x:c r="H1219" s="18" t="n">
        <x:v>1</x:v>
      </x:c>
      <x:c r="I1219" s="19" t="n">
        <x:v>56.4</x:v>
      </x:c>
      <x:c r="J1219" s="20" t="n">
        <x:v>0.05</x:v>
      </x:c>
      <x:c r="K1219" s="4" t="inlineStr">
        <x:is>
          <x:t xml:space="preserve">Debit Card</x:t>
        </x:is>
      </x:c>
      <x:c r="L1219" s="19" t="n">
        <x:v>56.4</x:v>
      </x:c>
      <x:c r="M1219" s="19" t="n">
        <x:v>2.82</x:v>
      </x:c>
      <x:c r="N1219" s="19" t="n">
        <x:v>53.58</x:v>
      </x:c>
      <x:c r="O1219" s="4" t="n">
        <x:f>YEAR(C1219)</x:f>
        <x:v>2025</x:v>
      </x:c>
      <x:c r="P1219" s="4" t="str">
        <x:f>TEXT(C1219,"yyyy-mm")</x:f>
        <x:v>2025-03</x:v>
      </x:c>
      <x:c r="Q1219" s="4" t="str">
        <x:f>TEXT(C1219,"mmmm")</x:f>
        <x:v>March</x:v>
      </x:c>
    </x:row>
    <x:row r="1220" ht="20" customHeight="1">
      <x:c r="A1220" s="4" t="inlineStr">
        <x:is>
          <x:t xml:space="preserve">LINE-01231</x:t>
        </x:is>
      </x:c>
      <x:c r="B1220" s="4" t="inlineStr">
        <x:is>
          <x:t xml:space="preserve">ORD-2025-0766</x:t>
        </x:is>
      </x:c>
      <x:c r="C1220" s="17" t="n">
        <x:v>45747</x:v>
      </x:c>
      <x:c r="D1220" s="4" t="inlineStr">
        <x:is>
          <x:t xml:space="preserve">CUS-0213</x:t>
        </x:is>
      </x:c>
      <x:c r="E1220" s="4" t="inlineStr">
        <x:is>
          <x:t xml:space="preserve">Headphones</x:t>
        </x:is>
      </x:c>
      <x:c r="F1220" s="4" t="inlineStr">
        <x:is>
          <x:t xml:space="preserve">Audio</x:t>
        </x:is>
      </x:c>
      <x:c r="G1220" s="4" t="inlineStr">
        <x:is>
          <x:t xml:space="preserve">Chicago</x:t>
        </x:is>
      </x:c>
      <x:c r="H1220" s="18" t="n">
        <x:v>1</x:v>
      </x:c>
      <x:c r="I1220" s="19" t="n">
        <x:v>134.13</x:v>
      </x:c>
      <x:c r="J1220" s="20" t="n">
        <x:v>0</x:v>
      </x:c>
      <x:c r="K1220" s="4" t="inlineStr">
        <x:is>
          <x:t xml:space="preserve">Debit Card</x:t>
        </x:is>
      </x:c>
      <x:c r="L1220" s="19" t="n">
        <x:v>134.13</x:v>
      </x:c>
      <x:c r="M1220" s="19" t="n">
        <x:v>0</x:v>
      </x:c>
      <x:c r="N1220" s="19" t="n">
        <x:v>134.13</x:v>
      </x:c>
      <x:c r="O1220" s="4" t="n">
        <x:f>YEAR(C1220)</x:f>
        <x:v>2025</x:v>
      </x:c>
      <x:c r="P1220" s="4" t="str">
        <x:f>TEXT(C1220,"yyyy-mm")</x:f>
        <x:v>2025-03</x:v>
      </x:c>
      <x:c r="Q1220" s="4" t="str">
        <x:f>TEXT(C1220,"mmmm")</x:f>
        <x:v>March</x:v>
      </x:c>
    </x:row>
    <x:row r="1221" ht="20" customHeight="1">
      <x:c r="A1221" s="4" t="inlineStr">
        <x:is>
          <x:t xml:space="preserve">LINE-01232</x:t>
        </x:is>
      </x:c>
      <x:c r="B1221" s="4" t="inlineStr">
        <x:is>
          <x:t xml:space="preserve">ORD-2025-0766</x:t>
        </x:is>
      </x:c>
      <x:c r="C1221" s="17" t="n">
        <x:v>45747</x:v>
      </x:c>
      <x:c r="D1221" s="4" t="inlineStr">
        <x:is>
          <x:t xml:space="preserve">CUS-0213</x:t>
        </x:is>
      </x:c>
      <x:c r="E1221" s="4" t="inlineStr">
        <x:is>
          <x:t xml:space="preserve">Bluetooth Speaker</x:t>
        </x:is>
      </x:c>
      <x:c r="F1221" s="4" t="inlineStr">
        <x:is>
          <x:t xml:space="preserve">Audio</x:t>
        </x:is>
      </x:c>
      <x:c r="G1221" s="4" t="inlineStr">
        <x:is>
          <x:t xml:space="preserve">Chicago</x:t>
        </x:is>
      </x:c>
      <x:c r="H1221" s="18" t="n">
        <x:v>4</x:v>
      </x:c>
      <x:c r="I1221" s="19" t="n">
        <x:v>103.98</x:v>
      </x:c>
      <x:c r="J1221" s="20" t="n">
        <x:v>0.15</x:v>
      </x:c>
      <x:c r="K1221" s="4" t="inlineStr">
        <x:is>
          <x:t xml:space="preserve">Debit Card</x:t>
        </x:is>
      </x:c>
      <x:c r="L1221" s="19" t="n">
        <x:v>415.92</x:v>
      </x:c>
      <x:c r="M1221" s="19" t="n">
        <x:v>62.39</x:v>
      </x:c>
      <x:c r="N1221" s="19" t="n">
        <x:v>353.53</x:v>
      </x:c>
      <x:c r="O1221" s="4" t="n">
        <x:f>YEAR(C1221)</x:f>
        <x:v>2025</x:v>
      </x:c>
      <x:c r="P1221" s="4" t="str">
        <x:f>TEXT(C1221,"yyyy-mm")</x:f>
        <x:v>2025-03</x:v>
      </x:c>
      <x:c r="Q1221" s="4" t="str">
        <x:f>TEXT(C1221,"mmmm")</x:f>
        <x:v>March</x:v>
      </x:c>
    </x:row>
    <x:row r="1222" ht="20" customHeight="1">
      <x:c r="A1222" s="4" t="inlineStr">
        <x:is>
          <x:t xml:space="preserve">LINE-01233</x:t>
        </x:is>
      </x:c>
      <x:c r="B1222" s="4" t="inlineStr">
        <x:is>
          <x:t xml:space="preserve">ORD-2025-0767</x:t>
        </x:is>
      </x:c>
      <x:c r="C1222" s="17" t="n">
        <x:v>45933</x:v>
      </x:c>
      <x:c r="D1222" s="4" t="inlineStr">
        <x:is>
          <x:t xml:space="preserve">CUS-0150</x:t>
        </x:is>
      </x:c>
      <x:c r="E1222" s="4" t="inlineStr">
        <x:is>
          <x:t xml:space="preserve">Desk Lamp</x:t>
        </x:is>
      </x:c>
      <x:c r="F1222" s="4" t="inlineStr">
        <x:is>
          <x:t xml:space="preserve">Furniture</x:t>
        </x:is>
      </x:c>
      <x:c r="G1222" s="4" t="inlineStr">
        <x:is>
          <x:t xml:space="preserve">San Francisco</x:t>
        </x:is>
      </x:c>
      <x:c r="H1222" s="18" t="n">
        <x:v>4</x:v>
      </x:c>
      <x:c r="I1222" s="19" t="n">
        <x:v>54.22</x:v>
      </x:c>
      <x:c r="J1222" s="20" t="n">
        <x:v>0.1</x:v>
      </x:c>
      <x:c r="K1222" s="4" t="inlineStr">
        <x:is>
          <x:t xml:space="preserve">Credit Card</x:t>
        </x:is>
      </x:c>
      <x:c r="L1222" s="19" t="n">
        <x:v>216.88</x:v>
      </x:c>
      <x:c r="M1222" s="19" t="n">
        <x:v>21.69</x:v>
      </x:c>
      <x:c r="N1222" s="19" t="n">
        <x:v>195.19</x:v>
      </x:c>
      <x:c r="O1222" s="4" t="n">
        <x:f>YEAR(C1222)</x:f>
        <x:v>2025</x:v>
      </x:c>
      <x:c r="P1222" s="4" t="str">
        <x:f>TEXT(C1222,"yyyy-mm")</x:f>
        <x:v>2025-10</x:v>
      </x:c>
      <x:c r="Q1222" s="4" t="str">
        <x:f>TEXT(C1222,"mmmm")</x:f>
        <x:v>October</x:v>
      </x:c>
    </x:row>
    <x:row r="1223" ht="20" customHeight="1">
      <x:c r="A1223" s="4" t="inlineStr">
        <x:is>
          <x:t xml:space="preserve">LINE-01234</x:t>
        </x:is>
      </x:c>
      <x:c r="B1223" s="4" t="inlineStr">
        <x:is>
          <x:t xml:space="preserve">ORD-2025-0767</x:t>
        </x:is>
      </x:c>
      <x:c r="C1223" s="17" t="n">
        <x:v>45933</x:v>
      </x:c>
      <x:c r="D1223" s="4" t="inlineStr">
        <x:is>
          <x:t xml:space="preserve">CUS-0150</x:t>
        </x:is>
      </x:c>
      <x:c r="E1223" s="4" t="inlineStr">
        <x:is>
          <x:t xml:space="preserve">Wireless Mouse</x:t>
        </x:is>
      </x:c>
      <x:c r="F1223" s="4" t="inlineStr">
        <x:is>
          <x:t xml:space="preserve">Accessories</x:t>
        </x:is>
      </x:c>
      <x:c r="G1223" s="4" t="inlineStr">
        <x:is>
          <x:t xml:space="preserve">San Francisco</x:t>
        </x:is>
      </x:c>
      <x:c r="H1223" s="18" t="n">
        <x:v>1</x:v>
      </x:c>
      <x:c r="I1223" s="19" t="n">
        <x:v>44.05</x:v>
      </x:c>
      <x:c r="J1223" s="20" t="n">
        <x:v>0.1</x:v>
      </x:c>
      <x:c r="K1223" s="4" t="inlineStr">
        <x:is>
          <x:t xml:space="preserve">Credit Card</x:t>
        </x:is>
      </x:c>
      <x:c r="L1223" s="19" t="n">
        <x:v>44.05</x:v>
      </x:c>
      <x:c r="M1223" s="19" t="n">
        <x:v>4.4</x:v>
      </x:c>
      <x:c r="N1223" s="19" t="n">
        <x:v>39.65</x:v>
      </x:c>
      <x:c r="O1223" s="4" t="n">
        <x:f>YEAR(C1223)</x:f>
        <x:v>2025</x:v>
      </x:c>
      <x:c r="P1223" s="4" t="str">
        <x:f>TEXT(C1223,"yyyy-mm")</x:f>
        <x:v>2025-10</x:v>
      </x:c>
      <x:c r="Q1223" s="4" t="str">
        <x:f>TEXT(C1223,"mmmm")</x:f>
        <x:v>October</x:v>
      </x:c>
    </x:row>
    <x:row r="1224" ht="20" customHeight="1">
      <x:c r="A1224" s="4" t="inlineStr">
        <x:is>
          <x:t xml:space="preserve">LINE-01235</x:t>
        </x:is>
      </x:c>
      <x:c r="B1224" s="4" t="inlineStr">
        <x:is>
          <x:t xml:space="preserve">ORD-2025-0768</x:t>
        </x:is>
      </x:c>
      <x:c r="C1224" s="17" t="n">
        <x:v>45916</x:v>
      </x:c>
      <x:c r="D1224" s="4" t="inlineStr">
        <x:is>
          <x:t xml:space="preserve">CUS-0167</x:t>
        </x:is>
      </x:c>
      <x:c r="E1224" s="4" t="inlineStr">
        <x:is>
          <x:t xml:space="preserve">Wireless Mouse</x:t>
        </x:is>
      </x:c>
      <x:c r="F1224" s="4" t="inlineStr">
        <x:is>
          <x:t xml:space="preserve">Accessories</x:t>
        </x:is>
      </x:c>
      <x:c r="G1224" s="4" t="inlineStr">
        <x:is>
          <x:t xml:space="preserve">Seattle</x:t>
        </x:is>
      </x:c>
      <x:c r="H1224" s="18" t="n">
        <x:v>2</x:v>
      </x:c>
      <x:c r="I1224" s="19" t="n">
        <x:v>44.73</x:v>
      </x:c>
      <x:c r="J1224" s="20" t="n">
        <x:v>0</x:v>
      </x:c>
      <x:c r="K1224" s="4" t="inlineStr">
        <x:is>
          <x:t xml:space="preserve">Bank Transfer</x:t>
        </x:is>
      </x:c>
      <x:c r="L1224" s="19" t="n">
        <x:v>89.45999999999999</x:v>
      </x:c>
      <x:c r="M1224" s="19" t="n">
        <x:v>0</x:v>
      </x:c>
      <x:c r="N1224" s="19" t="n">
        <x:v>89.45999999999999</x:v>
      </x:c>
      <x:c r="O1224" s="4" t="n">
        <x:f>YEAR(C1224)</x:f>
        <x:v>2025</x:v>
      </x:c>
      <x:c r="P1224" s="4" t="str">
        <x:f>TEXT(C1224,"yyyy-mm")</x:f>
        <x:v>2025-09</x:v>
      </x:c>
      <x:c r="Q1224" s="4" t="str">
        <x:f>TEXT(C1224,"mmmm")</x:f>
        <x:v>September</x:v>
      </x:c>
    </x:row>
    <x:row r="1225" ht="20" customHeight="1">
      <x:c r="A1225" s="4" t="inlineStr">
        <x:is>
          <x:t xml:space="preserve">LINE-01236</x:t>
        </x:is>
      </x:c>
      <x:c r="B1225" s="4" t="inlineStr">
        <x:is>
          <x:t xml:space="preserve">ORD-2025-0769</x:t>
        </x:is>
      </x:c>
      <x:c r="C1225" s="17" t="n">
        <x:v>46013</x:v>
      </x:c>
      <x:c r="D1225" s="4" t="inlineStr">
        <x:is>
          <x:t xml:space="preserve">CUS-0346</x:t>
        </x:is>
      </x:c>
      <x:c r="E1225" s="4" t="inlineStr">
        <x:is>
          <x:t xml:space="preserve">Desk Lamp</x:t>
        </x:is>
      </x:c>
      <x:c r="F1225" s="4" t="inlineStr">
        <x:is>
          <x:t xml:space="preserve">Furniture</x:t>
        </x:is>
      </x:c>
      <x:c r="G1225" s="4" t="inlineStr">
        <x:is>
          <x:t xml:space="preserve">San Francisco</x:t>
        </x:is>
      </x:c>
      <x:c r="H1225" s="18" t="n">
        <x:v>1</x:v>
      </x:c>
      <x:c r="I1225" s="19" t="n">
        <x:v>52.31</x:v>
      </x:c>
      <x:c r="J1225" s="20" t="n">
        <x:v>0</x:v>
      </x:c>
      <x:c r="K1225" s="4" t="inlineStr">
        <x:is>
          <x:t xml:space="preserve">Bank Transfer</x:t>
        </x:is>
      </x:c>
      <x:c r="L1225" s="19" t="n">
        <x:v>52.31</x:v>
      </x:c>
      <x:c r="M1225" s="19" t="n">
        <x:v>0</x:v>
      </x:c>
      <x:c r="N1225" s="19" t="n">
        <x:v>52.31</x:v>
      </x:c>
      <x:c r="O1225" s="4" t="n">
        <x:f>YEAR(C1225)</x:f>
        <x:v>2025</x:v>
      </x:c>
      <x:c r="P1225" s="4" t="str">
        <x:f>TEXT(C1225,"yyyy-mm")</x:f>
        <x:v>2025-12</x:v>
      </x:c>
      <x:c r="Q1225" s="4" t="str">
        <x:f>TEXT(C1225,"mmmm")</x:f>
        <x:v>December</x:v>
      </x:c>
    </x:row>
    <x:row r="1226" ht="20" customHeight="1">
      <x:c r="A1226" s="4" t="inlineStr">
        <x:is>
          <x:t xml:space="preserve">LINE-01237</x:t>
        </x:is>
      </x:c>
      <x:c r="B1226" s="4" t="inlineStr">
        <x:is>
          <x:t xml:space="preserve">ORD-2025-0770</x:t>
        </x:is>
      </x:c>
      <x:c r="C1226" s="17" t="n">
        <x:v>45786</x:v>
      </x:c>
      <x:c r="D1226" s="4" t="inlineStr">
        <x:is>
          <x:t xml:space="preserve">CUS-0059</x:t>
        </x:is>
      </x:c>
      <x:c r="E1226" s="4" t="inlineStr">
        <x:is>
          <x:t xml:space="preserve">Desk Lamp</x:t>
        </x:is>
      </x:c>
      <x:c r="F1226" s="4" t="inlineStr">
        <x:is>
          <x:t xml:space="preserve">Furniture</x:t>
        </x:is>
      </x:c>
      <x:c r="G1226" s="4" t="inlineStr">
        <x:is>
          <x:t xml:space="preserve">San Francisco</x:t>
        </x:is>
      </x:c>
      <x:c r="H1226" s="18" t="n">
        <x:v>2</x:v>
      </x:c>
      <x:c r="I1226" s="19" t="n">
        <x:v>54.66</x:v>
      </x:c>
      <x:c r="J1226" s="20" t="n">
        <x:v>0</x:v>
      </x:c>
      <x:c r="K1226" s="4" t="inlineStr">
        <x:is>
          <x:t xml:space="preserve">Debit Card</x:t>
        </x:is>
      </x:c>
      <x:c r="L1226" s="19" t="n">
        <x:v>109.32</x:v>
      </x:c>
      <x:c r="M1226" s="19" t="n">
        <x:v>0</x:v>
      </x:c>
      <x:c r="N1226" s="19" t="n">
        <x:v>109.32</x:v>
      </x:c>
      <x:c r="O1226" s="4" t="n">
        <x:f>YEAR(C1226)</x:f>
        <x:v>2025</x:v>
      </x:c>
      <x:c r="P1226" s="4" t="str">
        <x:f>TEXT(C1226,"yyyy-mm")</x:f>
        <x:v>2025-05</x:v>
      </x:c>
      <x:c r="Q1226" s="4" t="str">
        <x:f>TEXT(C1226,"mmmm")</x:f>
        <x:v>May</x:v>
      </x:c>
    </x:row>
    <x:row r="1227" ht="20" customHeight="1">
      <x:c r="A1227" s="4" t="inlineStr">
        <x:is>
          <x:t xml:space="preserve">LINE-01238</x:t>
        </x:is>
      </x:c>
      <x:c r="B1227" s="4" t="inlineStr">
        <x:is>
          <x:t xml:space="preserve">ORD-2025-0771</x:t>
        </x:is>
      </x:c>
      <x:c r="C1227" s="17" t="n">
        <x:v>45994</x:v>
      </x:c>
      <x:c r="D1227" s="4" t="inlineStr">
        <x:is>
          <x:t xml:space="preserve">CUS-0125</x:t>
        </x:is>
      </x:c>
      <x:c r="E1227" s="4" t="inlineStr">
        <x:is>
          <x:t xml:space="preserve">USB-C Hub</x:t>
        </x:is>
      </x:c>
      <x:c r="F1227" s="4" t="inlineStr">
        <x:is>
          <x:t xml:space="preserve">Accessories</x:t>
        </x:is>
      </x:c>
      <x:c r="G1227" s="4" t="inlineStr">
        <x:is>
          <x:t xml:space="preserve">San Francisco</x:t>
        </x:is>
      </x:c>
      <x:c r="H1227" s="18" t="n">
        <x:v>3</x:v>
      </x:c>
      <x:c r="I1227" s="19" t="n">
        <x:v>61.57</x:v>
      </x:c>
      <x:c r="J1227" s="20" t="n">
        <x:v>0</x:v>
      </x:c>
      <x:c r="K1227" s="4" t="inlineStr">
        <x:is>
          <x:t xml:space="preserve">Bank Transfer</x:t>
        </x:is>
      </x:c>
      <x:c r="L1227" s="19" t="n">
        <x:v>184.71</x:v>
      </x:c>
      <x:c r="M1227" s="19" t="n">
        <x:v>0</x:v>
      </x:c>
      <x:c r="N1227" s="19" t="n">
        <x:v>184.71</x:v>
      </x:c>
      <x:c r="O1227" s="4" t="n">
        <x:f>YEAR(C1227)</x:f>
        <x:v>2025</x:v>
      </x:c>
      <x:c r="P1227" s="4" t="str">
        <x:f>TEXT(C1227,"yyyy-mm")</x:f>
        <x:v>2025-12</x:v>
      </x:c>
      <x:c r="Q1227" s="4" t="str">
        <x:f>TEXT(C1227,"mmmm")</x:f>
        <x:v>December</x:v>
      </x:c>
    </x:row>
    <x:row r="1228" ht="20" customHeight="1">
      <x:c r="A1228" s="4" t="inlineStr">
        <x:is>
          <x:t xml:space="preserve">LINE-01239</x:t>
        </x:is>
      </x:c>
      <x:c r="B1228" s="4" t="inlineStr">
        <x:is>
          <x:t xml:space="preserve">ORD-2025-0772</x:t>
        </x:is>
      </x:c>
      <x:c r="C1228" s="17" t="n">
        <x:v>45709</x:v>
      </x:c>
      <x:c r="D1228" s="4" t="inlineStr">
        <x:is>
          <x:t xml:space="preserve">CUS-0091</x:t>
        </x:is>
      </x:c>
      <x:c r="E1228" s="4" t="inlineStr">
        <x:is>
          <x:t xml:space="preserve">Headphones</x:t>
        </x:is>
      </x:c>
      <x:c r="F1228" s="4" t="inlineStr">
        <x:is>
          <x:t xml:space="preserve">Audio</x:t>
        </x:is>
      </x:c>
      <x:c r="G1228" s="4" t="inlineStr">
        <x:is>
          <x:t xml:space="preserve">Austin</x:t>
        </x:is>
      </x:c>
      <x:c r="H1228" s="18" t="n">
        <x:v>1</x:v>
      </x:c>
      <x:c r="I1228" s="19" t="n">
        <x:v>135.48</x:v>
      </x:c>
      <x:c r="J1228" s="20" t="n">
        <x:v>0.05</x:v>
      </x:c>
      <x:c r="K1228" s="4" t="inlineStr">
        <x:is>
          <x:t xml:space="preserve">Credit Card</x:t>
        </x:is>
      </x:c>
      <x:c r="L1228" s="19" t="n">
        <x:v>135.48</x:v>
      </x:c>
      <x:c r="M1228" s="19" t="n">
        <x:v>6.77</x:v>
      </x:c>
      <x:c r="N1228" s="19" t="n">
        <x:v>128.71</x:v>
      </x:c>
      <x:c r="O1228" s="4" t="n">
        <x:f>YEAR(C1228)</x:f>
        <x:v>2025</x:v>
      </x:c>
      <x:c r="P1228" s="4" t="str">
        <x:f>TEXT(C1228,"yyyy-mm")</x:f>
        <x:v>2025-02</x:v>
      </x:c>
      <x:c r="Q1228" s="4" t="str">
        <x:f>TEXT(C1228,"mmmm")</x:f>
        <x:v>February</x:v>
      </x:c>
    </x:row>
    <x:row r="1229" ht="20" customHeight="1">
      <x:c r="A1229" s="4" t="inlineStr">
        <x:is>
          <x:t xml:space="preserve">LINE-01240</x:t>
        </x:is>
      </x:c>
      <x:c r="B1229" s="4" t="inlineStr">
        <x:is>
          <x:t xml:space="preserve">ORD-2025-0772</x:t>
        </x:is>
      </x:c>
      <x:c r="C1229" s="17" t="n">
        <x:v>45709</x:v>
      </x:c>
      <x:c r="D1229" s="4" t="inlineStr">
        <x:is>
          <x:t xml:space="preserve">CUS-0091</x:t>
        </x:is>
      </x:c>
      <x:c r="E1229" s="4" t="inlineStr">
        <x:is>
          <x:t xml:space="preserve">Keyboard</x:t>
        </x:is>
      </x:c>
      <x:c r="F1229" s="4" t="inlineStr">
        <x:is>
          <x:t xml:space="preserve">Accessories</x:t>
        </x:is>
      </x:c>
      <x:c r="G1229" s="4" t="inlineStr">
        <x:is>
          <x:t xml:space="preserve">Austin</x:t>
        </x:is>
      </x:c>
      <x:c r="H1229" s="18" t="n">
        <x:v>1</x:v>
      </x:c>
      <x:c r="I1229" s="19" t="n">
        <x:v>73.3</x:v>
      </x:c>
      <x:c r="J1229" s="20" t="n">
        <x:v>0</x:v>
      </x:c>
      <x:c r="K1229" s="4" t="inlineStr">
        <x:is>
          <x:t xml:space="preserve">Credit Card</x:t>
        </x:is>
      </x:c>
      <x:c r="L1229" s="19" t="n">
        <x:v>73.3</x:v>
      </x:c>
      <x:c r="M1229" s="19" t="n">
        <x:v>0</x:v>
      </x:c>
      <x:c r="N1229" s="19" t="n">
        <x:v>73.3</x:v>
      </x:c>
      <x:c r="O1229" s="4" t="n">
        <x:f>YEAR(C1229)</x:f>
        <x:v>2025</x:v>
      </x:c>
      <x:c r="P1229" s="4" t="str">
        <x:f>TEXT(C1229,"yyyy-mm")</x:f>
        <x:v>2025-02</x:v>
      </x:c>
      <x:c r="Q1229" s="4" t="str">
        <x:f>TEXT(C1229,"mmmm")</x:f>
        <x:v>February</x:v>
      </x:c>
    </x:row>
    <x:row r="1230" ht="20" customHeight="1">
      <x:c r="A1230" s="4" t="inlineStr">
        <x:is>
          <x:t xml:space="preserve">LINE-01241</x:t>
        </x:is>
      </x:c>
      <x:c r="B1230" s="4" t="inlineStr">
        <x:is>
          <x:t xml:space="preserve">ORD-2025-0773</x:t>
        </x:is>
      </x:c>
      <x:c r="C1230" s="17" t="n">
        <x:v>45675</x:v>
      </x:c>
      <x:c r="D1230" s="4" t="inlineStr">
        <x:is>
          <x:t xml:space="preserve">CUS-0346</x:t>
        </x:is>
      </x:c>
      <x:c r="E1230" s="4" t="inlineStr">
        <x:is>
          <x:t xml:space="preserve">Laptop</x:t>
        </x:is>
      </x:c>
      <x:c r="F1230" s="4" t="inlineStr">
        <x:is>
          <x:t xml:space="preserve">Computers</x:t>
        </x:is>
      </x:c>
      <x:c r="G1230" s="4" t="inlineStr">
        <x:is>
          <x:t xml:space="preserve">Boston</x:t>
        </x:is>
      </x:c>
      <x:c r="H1230" s="18" t="n">
        <x:v>3</x:v>
      </x:c>
      <x:c r="I1230" s="19" t="n">
        <x:v>997.35</x:v>
      </x:c>
      <x:c r="J1230" s="20" t="n">
        <x:v>0.05</x:v>
      </x:c>
      <x:c r="K1230" s="4" t="inlineStr">
        <x:is>
          <x:t xml:space="preserve">Debit Card</x:t>
        </x:is>
      </x:c>
      <x:c r="L1230" s="19" t="n">
        <x:v>2992.05</x:v>
      </x:c>
      <x:c r="M1230" s="19" t="n">
        <x:v>149.6</x:v>
      </x:c>
      <x:c r="N1230" s="19" t="n">
        <x:v>2842.45</x:v>
      </x:c>
      <x:c r="O1230" s="4" t="n">
        <x:f>YEAR(C1230)</x:f>
        <x:v>2025</x:v>
      </x:c>
      <x:c r="P1230" s="4" t="str">
        <x:f>TEXT(C1230,"yyyy-mm")</x:f>
        <x:v>2025-01</x:v>
      </x:c>
      <x:c r="Q1230" s="4" t="str">
        <x:f>TEXT(C1230,"mmmm")</x:f>
        <x:v>January</x:v>
      </x:c>
    </x:row>
    <x:row r="1231" ht="20" customHeight="1">
      <x:c r="A1231" s="4" t="inlineStr">
        <x:is>
          <x:t xml:space="preserve">LINE-01242</x:t>
        </x:is>
      </x:c>
      <x:c r="B1231" s="4" t="inlineStr">
        <x:is>
          <x:t xml:space="preserve">ORD-2025-0774</x:t>
        </x:is>
      </x:c>
      <x:c r="C1231" s="17" t="n">
        <x:v>45995</x:v>
      </x:c>
      <x:c r="D1231" s="4" t="inlineStr">
        <x:is>
          <x:t xml:space="preserve">CUS-0053</x:t>
        </x:is>
      </x:c>
      <x:c r="E1231" s="4" t="inlineStr">
        <x:is>
          <x:t xml:space="preserve">USB Flash Drive</x:t>
        </x:is>
      </x:c>
      <x:c r="F1231" s="4" t="inlineStr">
        <x:is>
          <x:t xml:space="preserve">Storage</x:t>
        </x:is>
      </x:c>
      <x:c r="G1231" s="4" t="inlineStr">
        <x:is>
          <x:t xml:space="preserve">Seattle</x:t>
        </x:is>
      </x:c>
      <x:c r="H1231" s="18" t="n">
        <x:v>1</x:v>
      </x:c>
      <x:c r="I1231" s="19" t="n">
        <x:v>31.31</x:v>
      </x:c>
      <x:c r="J1231" s="20" t="n">
        <x:v>0.1</x:v>
      </x:c>
      <x:c r="K1231" s="4" t="inlineStr">
        <x:is>
          <x:t xml:space="preserve">PayPal</x:t>
        </x:is>
      </x:c>
      <x:c r="L1231" s="19" t="n">
        <x:v>31.31</x:v>
      </x:c>
      <x:c r="M1231" s="19" t="n">
        <x:v>3.13</x:v>
      </x:c>
      <x:c r="N1231" s="19" t="n">
        <x:v>28.18</x:v>
      </x:c>
      <x:c r="O1231" s="4" t="n">
        <x:f>YEAR(C1231)</x:f>
        <x:v>2025</x:v>
      </x:c>
      <x:c r="P1231" s="4" t="str">
        <x:f>TEXT(C1231,"yyyy-mm")</x:f>
        <x:v>2025-12</x:v>
      </x:c>
      <x:c r="Q1231" s="4" t="str">
        <x:f>TEXT(C1231,"mmmm")</x:f>
        <x:v>December</x:v>
      </x:c>
    </x:row>
    <x:row r="1232" ht="20" customHeight="1">
      <x:c r="A1232" s="4" t="inlineStr">
        <x:is>
          <x:t xml:space="preserve">LINE-01243</x:t>
        </x:is>
      </x:c>
      <x:c r="B1232" s="4" t="inlineStr">
        <x:is>
          <x:t xml:space="preserve">ORD-2025-0775</x:t>
        </x:is>
      </x:c>
      <x:c r="C1232" s="17" t="n">
        <x:v>45785</x:v>
      </x:c>
      <x:c r="D1232" s="4" t="inlineStr">
        <x:is>
          <x:t xml:space="preserve">CUS-0192</x:t>
        </x:is>
      </x:c>
      <x:c r="E1232" s="4" t="inlineStr">
        <x:is>
          <x:t xml:space="preserve">Headphones</x:t>
        </x:is>
      </x:c>
      <x:c r="F1232" s="4" t="inlineStr">
        <x:is>
          <x:t xml:space="preserve">Audio</x:t>
        </x:is>
      </x:c>
      <x:c r="G1232" s="4" t="inlineStr">
        <x:is>
          <x:t xml:space="preserve">Chicago</x:t>
        </x:is>
      </x:c>
      <x:c r="H1232" s="18" t="n">
        <x:v>1</x:v>
      </x:c>
      <x:c r="I1232" s="19" t="n">
        <x:v>119.9</x:v>
      </x:c>
      <x:c r="J1232" s="20" t="n">
        <x:v>0.1</x:v>
      </x:c>
      <x:c r="K1232" s="4" t="inlineStr">
        <x:is>
          <x:t xml:space="preserve">Debit Card</x:t>
        </x:is>
      </x:c>
      <x:c r="L1232" s="19" t="n">
        <x:v>119.9</x:v>
      </x:c>
      <x:c r="M1232" s="19" t="n">
        <x:v>11.99</x:v>
      </x:c>
      <x:c r="N1232" s="19" t="n">
        <x:v>107.91</x:v>
      </x:c>
      <x:c r="O1232" s="4" t="n">
        <x:f>YEAR(C1232)</x:f>
        <x:v>2025</x:v>
      </x:c>
      <x:c r="P1232" s="4" t="str">
        <x:f>TEXT(C1232,"yyyy-mm")</x:f>
        <x:v>2025-05</x:v>
      </x:c>
      <x:c r="Q1232" s="4" t="str">
        <x:f>TEXT(C1232,"mmmm")</x:f>
        <x:v>May</x:v>
      </x:c>
    </x:row>
    <x:row r="1233" ht="20" customHeight="1">
      <x:c r="A1233" s="4" t="inlineStr">
        <x:is>
          <x:t xml:space="preserve">LINE-01244</x:t>
        </x:is>
      </x:c>
      <x:c r="B1233" s="4" t="inlineStr">
        <x:is>
          <x:t xml:space="preserve">ORD-2025-0776</x:t>
        </x:is>
      </x:c>
      <x:c r="C1233" s="17" t="n">
        <x:v>46006</x:v>
      </x:c>
      <x:c r="D1233" s="4" t="inlineStr">
        <x:is>
          <x:t xml:space="preserve">CUS-0343</x:t>
        </x:is>
      </x:c>
      <x:c r="E1233" s="4" t="inlineStr">
        <x:is>
          <x:t xml:space="preserve">Monitor</x:t>
        </x:is>
      </x:c>
      <x:c r="F1233" s="4" t="inlineStr">
        <x:is>
          <x:t xml:space="preserve">Computers</x:t>
        </x:is>
      </x:c>
      <x:c r="G1233" s="4" t="inlineStr">
        <x:is>
          <x:t xml:space="preserve">New York</x:t>
        </x:is>
      </x:c>
      <x:c r="H1233" s="18" t="n">
        <x:v>3</x:v>
      </x:c>
      <x:c r="I1233" s="19" t="n">
        <x:v>259.57</x:v>
      </x:c>
      <x:c r="J1233" s="20" t="n">
        <x:v>0.05</x:v>
      </x:c>
      <x:c r="K1233" s="4" t="inlineStr">
        <x:is>
          <x:t xml:space="preserve">Debit Card</x:t>
        </x:is>
      </x:c>
      <x:c r="L1233" s="19" t="n">
        <x:v>778.71</x:v>
      </x:c>
      <x:c r="M1233" s="19" t="n">
        <x:v>38.94</x:v>
      </x:c>
      <x:c r="N1233" s="19" t="n">
        <x:v>739.77</x:v>
      </x:c>
      <x:c r="O1233" s="4" t="n">
        <x:f>YEAR(C1233)</x:f>
        <x:v>2025</x:v>
      </x:c>
      <x:c r="P1233" s="4" t="str">
        <x:f>TEXT(C1233,"yyyy-mm")</x:f>
        <x:v>2025-12</x:v>
      </x:c>
      <x:c r="Q1233" s="4" t="str">
        <x:f>TEXT(C1233,"mmmm")</x:f>
        <x:v>December</x:v>
      </x:c>
    </x:row>
    <x:row r="1234" ht="20" customHeight="1">
      <x:c r="A1234" s="4" t="inlineStr">
        <x:is>
          <x:t xml:space="preserve">LINE-01245</x:t>
        </x:is>
      </x:c>
      <x:c r="B1234" s="4" t="inlineStr">
        <x:is>
          <x:t xml:space="preserve">ORD-2025-0776</x:t>
        </x:is>
      </x:c>
      <x:c r="C1234" s="17" t="n">
        <x:v>46006</x:v>
      </x:c>
      <x:c r="D1234" s="4" t="inlineStr">
        <x:is>
          <x:t xml:space="preserve">CUS-0343</x:t>
        </x:is>
      </x:c>
      <x:c r="E1234" s="4" t="inlineStr">
        <x:is>
          <x:t xml:space="preserve">Office Chair</x:t>
        </x:is>
      </x:c>
      <x:c r="F1234" s="4" t="inlineStr">
        <x:is>
          <x:t xml:space="preserve">Furniture</x:t>
        </x:is>
      </x:c>
      <x:c r="G1234" s="4" t="inlineStr">
        <x:is>
          <x:t xml:space="preserve">New York</x:t>
        </x:is>
      </x:c>
      <x:c r="H1234" s="18" t="n">
        <x:v>3</x:v>
      </x:c>
      <x:c r="I1234" s="19" t="n">
        <x:v>233.19</x:v>
      </x:c>
      <x:c r="J1234" s="20" t="n">
        <x:v>0.05</x:v>
      </x:c>
      <x:c r="K1234" s="4" t="inlineStr">
        <x:is>
          <x:t xml:space="preserve">Debit Card</x:t>
        </x:is>
      </x:c>
      <x:c r="L1234" s="19" t="n">
        <x:v>699.5700000000001</x:v>
      </x:c>
      <x:c r="M1234" s="19" t="n">
        <x:v>34.98</x:v>
      </x:c>
      <x:c r="N1234" s="19" t="n">
        <x:v>664.59</x:v>
      </x:c>
      <x:c r="O1234" s="4" t="n">
        <x:f>YEAR(C1234)</x:f>
        <x:v>2025</x:v>
      </x:c>
      <x:c r="P1234" s="4" t="str">
        <x:f>TEXT(C1234,"yyyy-mm")</x:f>
        <x:v>2025-12</x:v>
      </x:c>
      <x:c r="Q1234" s="4" t="str">
        <x:f>TEXT(C1234,"mmmm")</x:f>
        <x:v>December</x:v>
      </x:c>
    </x:row>
    <x:row r="1235" ht="20" customHeight="1">
      <x:c r="A1235" s="4" t="inlineStr">
        <x:is>
          <x:t xml:space="preserve">LINE-01246</x:t>
        </x:is>
      </x:c>
      <x:c r="B1235" s="4" t="inlineStr">
        <x:is>
          <x:t xml:space="preserve">ORD-2025-0776</x:t>
        </x:is>
      </x:c>
      <x:c r="C1235" s="17" t="n">
        <x:v>46006</x:v>
      </x:c>
      <x:c r="D1235" s="4" t="inlineStr">
        <x:is>
          <x:t xml:space="preserve">CUS-0343</x:t>
        </x:is>
      </x:c>
      <x:c r="E1235" s="4" t="inlineStr">
        <x:is>
          <x:t xml:space="preserve">Keyboard</x:t>
        </x:is>
      </x:c>
      <x:c r="F1235" s="4" t="inlineStr">
        <x:is>
          <x:t xml:space="preserve">Accessories</x:t>
        </x:is>
      </x:c>
      <x:c r="G1235" s="4" t="inlineStr">
        <x:is>
          <x:t xml:space="preserve">New York</x:t>
        </x:is>
      </x:c>
      <x:c r="H1235" s="18" t="n">
        <x:v>2</x:v>
      </x:c>
      <x:c r="I1235" s="19" t="n">
        <x:v>80.20999999999999</x:v>
      </x:c>
      <x:c r="J1235" s="20" t="n">
        <x:v>0</x:v>
      </x:c>
      <x:c r="K1235" s="4" t="inlineStr">
        <x:is>
          <x:t xml:space="preserve">Debit Card</x:t>
        </x:is>
      </x:c>
      <x:c r="L1235" s="19" t="n">
        <x:v>160.42</x:v>
      </x:c>
      <x:c r="M1235" s="19" t="n">
        <x:v>0</x:v>
      </x:c>
      <x:c r="N1235" s="19" t="n">
        <x:v>160.42</x:v>
      </x:c>
      <x:c r="O1235" s="4" t="n">
        <x:f>YEAR(C1235)</x:f>
        <x:v>2025</x:v>
      </x:c>
      <x:c r="P1235" s="4" t="str">
        <x:f>TEXT(C1235,"yyyy-mm")</x:f>
        <x:v>2025-12</x:v>
      </x:c>
      <x:c r="Q1235" s="4" t="str">
        <x:f>TEXT(C1235,"mmmm")</x:f>
        <x:v>December</x:v>
      </x:c>
    </x:row>
    <x:row r="1236" ht="20" customHeight="1">
      <x:c r="A1236" s="4" t="inlineStr">
        <x:is>
          <x:t xml:space="preserve">LINE-01247</x:t>
        </x:is>
      </x:c>
      <x:c r="B1236" s="4" t="inlineStr">
        <x:is>
          <x:t xml:space="preserve">ORD-2025-0777</x:t>
        </x:is>
      </x:c>
      <x:c r="C1236" s="17" t="n">
        <x:v>45877</x:v>
      </x:c>
      <x:c r="D1236" s="4" t="inlineStr">
        <x:is>
          <x:t xml:space="preserve">CUS-0062</x:t>
        </x:is>
      </x:c>
      <x:c r="E1236" s="4" t="inlineStr">
        <x:is>
          <x:t xml:space="preserve">Webcam</x:t>
        </x:is>
      </x:c>
      <x:c r="F1236" s="4" t="inlineStr">
        <x:is>
          <x:t xml:space="preserve">Accessories</x:t>
        </x:is>
      </x:c>
      <x:c r="G1236" s="4" t="inlineStr">
        <x:is>
          <x:t xml:space="preserve">Chicago</x:t>
        </x:is>
      </x:c>
      <x:c r="H1236" s="18" t="n">
        <x:v>1</x:v>
      </x:c>
      <x:c r="I1236" s="19" t="n">
        <x:v>88.59</x:v>
      </x:c>
      <x:c r="J1236" s="20" t="n">
        <x:v>0</x:v>
      </x:c>
      <x:c r="K1236" s="4" t="inlineStr">
        <x:is>
          <x:t xml:space="preserve">Debit Card</x:t>
        </x:is>
      </x:c>
      <x:c r="L1236" s="19" t="n">
        <x:v>88.59</x:v>
      </x:c>
      <x:c r="M1236" s="19" t="n">
        <x:v>0</x:v>
      </x:c>
      <x:c r="N1236" s="19" t="n">
        <x:v>88.59</x:v>
      </x:c>
      <x:c r="O1236" s="4" t="n">
        <x:f>YEAR(C1236)</x:f>
        <x:v>2025</x:v>
      </x:c>
      <x:c r="P1236" s="4" t="str">
        <x:f>TEXT(C1236,"yyyy-mm")</x:f>
        <x:v>2025-08</x:v>
      </x:c>
      <x:c r="Q1236" s="4" t="str">
        <x:f>TEXT(C1236,"mmmm")</x:f>
        <x:v>August</x:v>
      </x:c>
    </x:row>
    <x:row r="1237" ht="20" customHeight="1">
      <x:c r="A1237" s="4" t="inlineStr">
        <x:is>
          <x:t xml:space="preserve">LINE-01248</x:t>
        </x:is>
      </x:c>
      <x:c r="B1237" s="4" t="inlineStr">
        <x:is>
          <x:t xml:space="preserve">ORD-2025-0778</x:t>
        </x:is>
      </x:c>
      <x:c r="C1237" s="17" t="n">
        <x:v>45857</x:v>
      </x:c>
      <x:c r="D1237" s="4" t="inlineStr">
        <x:is>
          <x:t xml:space="preserve">CUS-0109</x:t>
        </x:is>
      </x:c>
      <x:c r="E1237" s="4" t="inlineStr">
        <x:is>
          <x:t xml:space="preserve">USB-C Hub</x:t>
        </x:is>
      </x:c>
      <x:c r="F1237" s="4" t="inlineStr">
        <x:is>
          <x:t xml:space="preserve">Accessories</x:t>
        </x:is>
      </x:c>
      <x:c r="G1237" s="4" t="inlineStr">
        <x:is>
          <x:t xml:space="preserve">Seattle</x:t>
        </x:is>
      </x:c>
      <x:c r="H1237" s="18" t="n">
        <x:v>2</x:v>
      </x:c>
      <x:c r="I1237" s="19" t="n">
        <x:v>63.64</x:v>
      </x:c>
      <x:c r="J1237" s="20" t="n">
        <x:v>0</x:v>
      </x:c>
      <x:c r="K1237" s="4" t="inlineStr">
        <x:is>
          <x:t xml:space="preserve">Debit Card</x:t>
        </x:is>
      </x:c>
      <x:c r="L1237" s="19" t="n">
        <x:v>127.28</x:v>
      </x:c>
      <x:c r="M1237" s="19" t="n">
        <x:v>0</x:v>
      </x:c>
      <x:c r="N1237" s="19" t="n">
        <x:v>127.28</x:v>
      </x:c>
      <x:c r="O1237" s="4" t="n">
        <x:f>YEAR(C1237)</x:f>
        <x:v>2025</x:v>
      </x:c>
      <x:c r="P1237" s="4" t="str">
        <x:f>TEXT(C1237,"yyyy-mm")</x:f>
        <x:v>2025-07</x:v>
      </x:c>
      <x:c r="Q1237" s="4" t="str">
        <x:f>TEXT(C1237,"mmmm")</x:f>
        <x:v>July</x:v>
      </x:c>
    </x:row>
    <x:row r="1238" ht="20" customHeight="1">
      <x:c r="A1238" s="4" t="inlineStr">
        <x:is>
          <x:t xml:space="preserve">LINE-01249</x:t>
        </x:is>
      </x:c>
      <x:c r="B1238" s="4" t="inlineStr">
        <x:is>
          <x:t xml:space="preserve">ORD-2025-0779</x:t>
        </x:is>
      </x:c>
      <x:c r="C1238" s="17" t="n">
        <x:v>45769</x:v>
      </x:c>
      <x:c r="D1238" s="4" t="inlineStr">
        <x:is>
          <x:t xml:space="preserve">CUS-0211</x:t>
        </x:is>
      </x:c>
      <x:c r="E1238" s="4" t="inlineStr">
        <x:is>
          <x:t xml:space="preserve">Monitor</x:t>
        </x:is>
      </x:c>
      <x:c r="F1238" s="4" t="inlineStr">
        <x:is>
          <x:t xml:space="preserve">Computers</x:t>
        </x:is>
      </x:c>
      <x:c r="G1238" s="4" t="inlineStr">
        <x:is>
          <x:t xml:space="preserve">Austin</x:t>
        </x:is>
      </x:c>
      <x:c r="H1238" s="18" t="n">
        <x:v>1</x:v>
      </x:c>
      <x:c r="I1238" s="19" t="n">
        <x:v>300.56</x:v>
      </x:c>
      <x:c r="J1238" s="20" t="n">
        <x:v>0.05</x:v>
      </x:c>
      <x:c r="K1238" s="4" t="inlineStr">
        <x:is>
          <x:t xml:space="preserve">Bank Transfer</x:t>
        </x:is>
      </x:c>
      <x:c r="L1238" s="19" t="n">
        <x:v>300.56</x:v>
      </x:c>
      <x:c r="M1238" s="19" t="n">
        <x:v>15.03</x:v>
      </x:c>
      <x:c r="N1238" s="19" t="n">
        <x:v>285.53</x:v>
      </x:c>
      <x:c r="O1238" s="4" t="n">
        <x:f>YEAR(C1238)</x:f>
        <x:v>2025</x:v>
      </x:c>
      <x:c r="P1238" s="4" t="str">
        <x:f>TEXT(C1238,"yyyy-mm")</x:f>
        <x:v>2025-04</x:v>
      </x:c>
      <x:c r="Q1238" s="4" t="str">
        <x:f>TEXT(C1238,"mmmm")</x:f>
        <x:v>April</x:v>
      </x:c>
    </x:row>
    <x:row r="1239" ht="20" customHeight="1">
      <x:c r="A1239" s="4" t="inlineStr">
        <x:is>
          <x:t xml:space="preserve">LINE-01250</x:t>
        </x:is>
      </x:c>
      <x:c r="B1239" s="4" t="inlineStr">
        <x:is>
          <x:t xml:space="preserve">ORD-2025-0779</x:t>
        </x:is>
      </x:c>
      <x:c r="C1239" s="17" t="n">
        <x:v>45769</x:v>
      </x:c>
      <x:c r="D1239" s="4" t="inlineStr">
        <x:is>
          <x:t xml:space="preserve">CUS-0211</x:t>
        </x:is>
      </x:c>
      <x:c r="E1239" s="4" t="inlineStr">
        <x:is>
          <x:t xml:space="preserve">External SSD</x:t>
        </x:is>
      </x:c>
      <x:c r="F1239" s="4" t="inlineStr">
        <x:is>
          <x:t xml:space="preserve">Storage</x:t>
        </x:is>
      </x:c>
      <x:c r="G1239" s="4" t="inlineStr">
        <x:is>
          <x:t xml:space="preserve">Austin</x:t>
        </x:is>
      </x:c>
      <x:c r="H1239" s="18" t="n">
        <x:v>5</x:v>
      </x:c>
      <x:c r="I1239" s="19" t="n">
        <x:v>154.71</x:v>
      </x:c>
      <x:c r="J1239" s="20" t="n">
        <x:v>0.05</x:v>
      </x:c>
      <x:c r="K1239" s="4" t="inlineStr">
        <x:is>
          <x:t xml:space="preserve">Bank Transfer</x:t>
        </x:is>
      </x:c>
      <x:c r="L1239" s="19" t="n">
        <x:v>773.55</x:v>
      </x:c>
      <x:c r="M1239" s="19" t="n">
        <x:v>38.68</x:v>
      </x:c>
      <x:c r="N1239" s="19" t="n">
        <x:v>734.87</x:v>
      </x:c>
      <x:c r="O1239" s="4" t="n">
        <x:f>YEAR(C1239)</x:f>
        <x:v>2025</x:v>
      </x:c>
      <x:c r="P1239" s="4" t="str">
        <x:f>TEXT(C1239,"yyyy-mm")</x:f>
        <x:v>2025-04</x:v>
      </x:c>
      <x:c r="Q1239" s="4" t="str">
        <x:f>TEXT(C1239,"mmmm")</x:f>
        <x:v>April</x:v>
      </x:c>
    </x:row>
    <x:row r="1240" ht="20" customHeight="1">
      <x:c r="A1240" s="4" t="inlineStr">
        <x:is>
          <x:t xml:space="preserve">LINE-01251</x:t>
        </x:is>
      </x:c>
      <x:c r="B1240" s="4" t="inlineStr">
        <x:is>
          <x:t xml:space="preserve">ORD-2025-0779</x:t>
        </x:is>
      </x:c>
      <x:c r="C1240" s="17" t="n">
        <x:v>45769</x:v>
      </x:c>
      <x:c r="D1240" s="4" t="inlineStr">
        <x:is>
          <x:t xml:space="preserve">CUS-0211</x:t>
        </x:is>
      </x:c>
      <x:c r="E1240" s="4" t="inlineStr">
        <x:is>
          <x:t xml:space="preserve">USB Flash Drive</x:t>
        </x:is>
      </x:c>
      <x:c r="F1240" s="4" t="inlineStr">
        <x:is>
          <x:t xml:space="preserve">Storage</x:t>
        </x:is>
      </x:c>
      <x:c r="G1240" s="4" t="inlineStr">
        <x:is>
          <x:t xml:space="preserve">Austin</x:t>
        </x:is>
      </x:c>
      <x:c r="H1240" s="18" t="n">
        <x:v>5</x:v>
      </x:c>
      <x:c r="I1240" s="19" t="n">
        <x:v>30.93</x:v>
      </x:c>
      <x:c r="J1240" s="20" t="n">
        <x:v>0</x:v>
      </x:c>
      <x:c r="K1240" s="4" t="inlineStr">
        <x:is>
          <x:t xml:space="preserve">Bank Transfer</x:t>
        </x:is>
      </x:c>
      <x:c r="L1240" s="19" t="n">
        <x:v>154.65</x:v>
      </x:c>
      <x:c r="M1240" s="19" t="n">
        <x:v>0</x:v>
      </x:c>
      <x:c r="N1240" s="19" t="n">
        <x:v>154.65</x:v>
      </x:c>
      <x:c r="O1240" s="4" t="n">
        <x:f>YEAR(C1240)</x:f>
        <x:v>2025</x:v>
      </x:c>
      <x:c r="P1240" s="4" t="str">
        <x:f>TEXT(C1240,"yyyy-mm")</x:f>
        <x:v>2025-04</x:v>
      </x:c>
      <x:c r="Q1240" s="4" t="str">
        <x:f>TEXT(C1240,"mmmm")</x:f>
        <x:v>April</x:v>
      </x:c>
    </x:row>
    <x:row r="1241" ht="20" customHeight="1">
      <x:c r="A1241" s="4" t="inlineStr">
        <x:is>
          <x:t xml:space="preserve">LINE-01252</x:t>
        </x:is>
      </x:c>
      <x:c r="B1241" s="4" t="inlineStr">
        <x:is>
          <x:t xml:space="preserve">ORD-2025-0780</x:t>
        </x:is>
      </x:c>
      <x:c r="C1241" s="17" t="n">
        <x:v>45983</x:v>
      </x:c>
      <x:c r="D1241" s="4" t="inlineStr">
        <x:is>
          <x:t xml:space="preserve">CUS-0163</x:t>
        </x:is>
      </x:c>
      <x:c r="E1241" s="4" t="inlineStr">
        <x:is>
          <x:t xml:space="preserve">Laptop</x:t>
        </x:is>
      </x:c>
      <x:c r="F1241" s="4" t="inlineStr">
        <x:is>
          <x:t xml:space="preserve">Computers</x:t>
        </x:is>
      </x:c>
      <x:c r="G1241" s="4" t="inlineStr">
        <x:is>
          <x:t xml:space="preserve">San Francisco</x:t>
        </x:is>
      </x:c>
      <x:c r="H1241" s="18" t="n">
        <x:v>2</x:v>
      </x:c>
      <x:c r="I1241" s="19" t="n">
        <x:v>962.9299999999999</x:v>
      </x:c>
      <x:c r="J1241" s="20" t="n">
        <x:v>0</x:v>
      </x:c>
      <x:c r="K1241" s="4" t="inlineStr">
        <x:is>
          <x:t xml:space="preserve">Bank Transfer</x:t>
        </x:is>
      </x:c>
      <x:c r="L1241" s="19" t="n">
        <x:v>1925.86</x:v>
      </x:c>
      <x:c r="M1241" s="19" t="n">
        <x:v>0</x:v>
      </x:c>
      <x:c r="N1241" s="19" t="n">
        <x:v>1925.86</x:v>
      </x:c>
      <x:c r="O1241" s="4" t="n">
        <x:f>YEAR(C1241)</x:f>
        <x:v>2025</x:v>
      </x:c>
      <x:c r="P1241" s="4" t="str">
        <x:f>TEXT(C1241,"yyyy-mm")</x:f>
        <x:v>2025-11</x:v>
      </x:c>
      <x:c r="Q1241" s="4" t="str">
        <x:f>TEXT(C1241,"mmmm")</x:f>
        <x:v>November</x:v>
      </x:c>
    </x:row>
    <x:row r="1242" ht="20" customHeight="1">
      <x:c r="A1242" s="4" t="inlineStr">
        <x:is>
          <x:t xml:space="preserve">LINE-01253</x:t>
        </x:is>
      </x:c>
      <x:c r="B1242" s="4" t="inlineStr">
        <x:is>
          <x:t xml:space="preserve">ORD-2025-0781</x:t>
        </x:is>
      </x:c>
      <x:c r="C1242" s="17" t="n">
        <x:v>45985</x:v>
      </x:c>
      <x:c r="D1242" s="4" t="inlineStr">
        <x:is>
          <x:t xml:space="preserve">CUS-0120</x:t>
        </x:is>
      </x:c>
      <x:c r="E1242" s="4" t="inlineStr">
        <x:is>
          <x:t xml:space="preserve">USB Flash Drive</x:t>
        </x:is>
      </x:c>
      <x:c r="F1242" s="4" t="inlineStr">
        <x:is>
          <x:t xml:space="preserve">Storage</x:t>
        </x:is>
      </x:c>
      <x:c r="G1242" s="4" t="inlineStr">
        <x:is>
          <x:t xml:space="preserve">Boston</x:t>
        </x:is>
      </x:c>
      <x:c r="H1242" s="18" t="n">
        <x:v>3</x:v>
      </x:c>
      <x:c r="I1242" s="19" t="n">
        <x:v>28.2</x:v>
      </x:c>
      <x:c r="J1242" s="20" t="n">
        <x:v>0</x:v>
      </x:c>
      <x:c r="K1242" s="4" t="inlineStr">
        <x:is>
          <x:t xml:space="preserve">Credit Card</x:t>
        </x:is>
      </x:c>
      <x:c r="L1242" s="19" t="n">
        <x:v>84.59999999999999</x:v>
      </x:c>
      <x:c r="M1242" s="19" t="n">
        <x:v>0</x:v>
      </x:c>
      <x:c r="N1242" s="19" t="n">
        <x:v>84.59999999999999</x:v>
      </x:c>
      <x:c r="O1242" s="4" t="n">
        <x:f>YEAR(C1242)</x:f>
        <x:v>2025</x:v>
      </x:c>
      <x:c r="P1242" s="4" t="str">
        <x:f>TEXT(C1242,"yyyy-mm")</x:f>
        <x:v>2025-11</x:v>
      </x:c>
      <x:c r="Q1242" s="4" t="str">
        <x:f>TEXT(C1242,"mmmm")</x:f>
        <x:v>November</x:v>
      </x:c>
    </x:row>
    <x:row r="1243" ht="20" customHeight="1">
      <x:c r="A1243" s="4" t="inlineStr">
        <x:is>
          <x:t xml:space="preserve">LINE-01254</x:t>
        </x:is>
      </x:c>
      <x:c r="B1243" s="4" t="inlineStr">
        <x:is>
          <x:t xml:space="preserve">ORD-2025-0782</x:t>
        </x:is>
      </x:c>
      <x:c r="C1243" s="17" t="n">
        <x:v>45877</x:v>
      </x:c>
      <x:c r="D1243" s="4" t="inlineStr">
        <x:is>
          <x:t xml:space="preserve">CUS-0125</x:t>
        </x:is>
      </x:c>
      <x:c r="E1243" s="4" t="inlineStr">
        <x:is>
          <x:t xml:space="preserve">Webcam</x:t>
        </x:is>
      </x:c>
      <x:c r="F1243" s="4" t="inlineStr">
        <x:is>
          <x:t xml:space="preserve">Accessories</x:t>
        </x:is>
      </x:c>
      <x:c r="G1243" s="4" t="inlineStr">
        <x:is>
          <x:t xml:space="preserve">Boston</x:t>
        </x:is>
      </x:c>
      <x:c r="H1243" s="18" t="n">
        <x:v>2</x:v>
      </x:c>
      <x:c r="I1243" s="19" t="n">
        <x:v>85.70999999999999</x:v>
      </x:c>
      <x:c r="J1243" s="20" t="n">
        <x:v>0</x:v>
      </x:c>
      <x:c r="K1243" s="4" t="inlineStr">
        <x:is>
          <x:t xml:space="preserve">Credit Card</x:t>
        </x:is>
      </x:c>
      <x:c r="L1243" s="19" t="n">
        <x:v>171.42</x:v>
      </x:c>
      <x:c r="M1243" s="19" t="n">
        <x:v>0</x:v>
      </x:c>
      <x:c r="N1243" s="19" t="n">
        <x:v>171.42</x:v>
      </x:c>
      <x:c r="O1243" s="4" t="n">
        <x:f>YEAR(C1243)</x:f>
        <x:v>2025</x:v>
      </x:c>
      <x:c r="P1243" s="4" t="str">
        <x:f>TEXT(C1243,"yyyy-mm")</x:f>
        <x:v>2025-08</x:v>
      </x:c>
      <x:c r="Q1243" s="4" t="str">
        <x:f>TEXT(C1243,"mmmm")</x:f>
        <x:v>August</x:v>
      </x:c>
    </x:row>
    <x:row r="1244" ht="20" customHeight="1">
      <x:c r="A1244" s="4" t="inlineStr">
        <x:is>
          <x:t xml:space="preserve">LINE-01255</x:t>
        </x:is>
      </x:c>
      <x:c r="B1244" s="4" t="inlineStr">
        <x:is>
          <x:t xml:space="preserve">ORD-2025-0783</x:t>
        </x:is>
      </x:c>
      <x:c r="C1244" s="17" t="n">
        <x:v>45986</x:v>
      </x:c>
      <x:c r="D1244" s="4" t="inlineStr">
        <x:is>
          <x:t xml:space="preserve">CUS-0020</x:t>
        </x:is>
      </x:c>
      <x:c r="E1244" s="4" t="inlineStr">
        <x:is>
          <x:t xml:space="preserve">Webcam</x:t>
        </x:is>
      </x:c>
      <x:c r="F1244" s="4" t="inlineStr">
        <x:is>
          <x:t xml:space="preserve">Accessories</x:t>
        </x:is>
      </x:c>
      <x:c r="G1244" s="4" t="inlineStr">
        <x:is>
          <x:t xml:space="preserve">Chicago</x:t>
        </x:is>
      </x:c>
      <x:c r="H1244" s="18" t="n">
        <x:v>1</x:v>
      </x:c>
      <x:c r="I1244" s="19" t="n">
        <x:v>92.06999999999999</x:v>
      </x:c>
      <x:c r="J1244" s="20" t="n">
        <x:v>0.1</x:v>
      </x:c>
      <x:c r="K1244" s="4" t="inlineStr">
        <x:is>
          <x:t xml:space="preserve">Bank Transfer</x:t>
        </x:is>
      </x:c>
      <x:c r="L1244" s="19" t="n">
        <x:v>92.06999999999999</x:v>
      </x:c>
      <x:c r="M1244" s="19" t="n">
        <x:v>9.210000000000001</x:v>
      </x:c>
      <x:c r="N1244" s="19" t="n">
        <x:v>82.86</x:v>
      </x:c>
      <x:c r="O1244" s="4" t="n">
        <x:f>YEAR(C1244)</x:f>
        <x:v>2025</x:v>
      </x:c>
      <x:c r="P1244" s="4" t="str">
        <x:f>TEXT(C1244,"yyyy-mm")</x:f>
        <x:v>2025-11</x:v>
      </x:c>
      <x:c r="Q1244" s="4" t="str">
        <x:f>TEXT(C1244,"mmmm")</x:f>
        <x:v>November</x:v>
      </x:c>
    </x:row>
    <x:row r="1245" ht="20" customHeight="1">
      <x:c r="A1245" s="4" t="inlineStr">
        <x:is>
          <x:t xml:space="preserve">LINE-01256</x:t>
        </x:is>
      </x:c>
      <x:c r="B1245" s="4" t="inlineStr">
        <x:is>
          <x:t xml:space="preserve">ORD-2025-0783</x:t>
        </x:is>
      </x:c>
      <x:c r="C1245" s="17" t="n">
        <x:v>45986</x:v>
      </x:c>
      <x:c r="D1245" s="4" t="inlineStr">
        <x:is>
          <x:t xml:space="preserve">CUS-0020</x:t>
        </x:is>
      </x:c>
      <x:c r="E1245" s="4" t="inlineStr">
        <x:is>
          <x:t xml:space="preserve">Keyboard</x:t>
        </x:is>
      </x:c>
      <x:c r="F1245" s="4" t="inlineStr">
        <x:is>
          <x:t xml:space="preserve">Accessories</x:t>
        </x:is>
      </x:c>
      <x:c r="G1245" s="4" t="inlineStr">
        <x:is>
          <x:t xml:space="preserve">Chicago</x:t>
        </x:is>
      </x:c>
      <x:c r="H1245" s="18" t="n">
        <x:v>2</x:v>
      </x:c>
      <x:c r="I1245" s="19" t="n">
        <x:v>80.73</x:v>
      </x:c>
      <x:c r="J1245" s="20" t="n">
        <x:v>0.05</x:v>
      </x:c>
      <x:c r="K1245" s="4" t="inlineStr">
        <x:is>
          <x:t xml:space="preserve">Bank Transfer</x:t>
        </x:is>
      </x:c>
      <x:c r="L1245" s="19" t="n">
        <x:v>161.46</x:v>
      </x:c>
      <x:c r="M1245" s="19" t="n">
        <x:v>8.07</x:v>
      </x:c>
      <x:c r="N1245" s="19" t="n">
        <x:v>153.39</x:v>
      </x:c>
      <x:c r="O1245" s="4" t="n">
        <x:f>YEAR(C1245)</x:f>
        <x:v>2025</x:v>
      </x:c>
      <x:c r="P1245" s="4" t="str">
        <x:f>TEXT(C1245,"yyyy-mm")</x:f>
        <x:v>2025-11</x:v>
      </x:c>
      <x:c r="Q1245" s="4" t="str">
        <x:f>TEXT(C1245,"mmmm")</x:f>
        <x:v>November</x:v>
      </x:c>
    </x:row>
    <x:row r="1246" ht="20" customHeight="1">
      <x:c r="A1246" s="4" t="inlineStr">
        <x:is>
          <x:t xml:space="preserve">LINE-01257</x:t>
        </x:is>
      </x:c>
      <x:c r="B1246" s="4" t="inlineStr">
        <x:is>
          <x:t xml:space="preserve">ORD-2025-0784</x:t>
        </x:is>
      </x:c>
      <x:c r="C1246" s="17" t="n">
        <x:v>45805</x:v>
      </x:c>
      <x:c r="D1246" s="4" t="inlineStr">
        <x:is>
          <x:t xml:space="preserve">CUS-0013</x:t>
        </x:is>
      </x:c>
      <x:c r="E1246" s="4" t="inlineStr">
        <x:is>
          <x:t xml:space="preserve">Wireless Mouse</x:t>
        </x:is>
      </x:c>
      <x:c r="F1246" s="4" t="inlineStr">
        <x:is>
          <x:t xml:space="preserve">Accessories</x:t>
        </x:is>
      </x:c>
      <x:c r="G1246" s="4" t="inlineStr">
        <x:is>
          <x:t xml:space="preserve">Chicago</x:t>
        </x:is>
      </x:c>
      <x:c r="H1246" s="18" t="n">
        <x:v>2</x:v>
      </x:c>
      <x:c r="I1246" s="19" t="n">
        <x:v>47.93</x:v>
      </x:c>
      <x:c r="J1246" s="20" t="n">
        <x:v>0.05</x:v>
      </x:c>
      <x:c r="K1246" s="4" t="inlineStr">
        <x:is>
          <x:t xml:space="preserve">PayPal</x:t>
        </x:is>
      </x:c>
      <x:c r="L1246" s="19" t="n">
        <x:v>95.86</x:v>
      </x:c>
      <x:c r="M1246" s="19" t="n">
        <x:v>4.79</x:v>
      </x:c>
      <x:c r="N1246" s="19" t="n">
        <x:v>91.06999999999999</x:v>
      </x:c>
      <x:c r="O1246" s="4" t="n">
        <x:f>YEAR(C1246)</x:f>
        <x:v>2025</x:v>
      </x:c>
      <x:c r="P1246" s="4" t="str">
        <x:f>TEXT(C1246,"yyyy-mm")</x:f>
        <x:v>2025-05</x:v>
      </x:c>
      <x:c r="Q1246" s="4" t="str">
        <x:f>TEXT(C1246,"mmmm")</x:f>
        <x:v>May</x:v>
      </x:c>
    </x:row>
    <x:row r="1247" ht="20" customHeight="1">
      <x:c r="A1247" s="4" t="inlineStr">
        <x:is>
          <x:t xml:space="preserve">LINE-01258</x:t>
        </x:is>
      </x:c>
      <x:c r="B1247" s="4" t="inlineStr">
        <x:is>
          <x:t xml:space="preserve">ORD-2025-0785</x:t>
        </x:is>
      </x:c>
      <x:c r="C1247" s="17" t="n">
        <x:v>45785</x:v>
      </x:c>
      <x:c r="D1247" s="4" t="inlineStr">
        <x:is>
          <x:t xml:space="preserve">CUS-0114</x:t>
        </x:is>
      </x:c>
      <x:c r="E1247" s="4" t="inlineStr">
        <x:is>
          <x:t xml:space="preserve">Keyboard</x:t>
        </x:is>
      </x:c>
      <x:c r="F1247" s="4" t="inlineStr">
        <x:is>
          <x:t xml:space="preserve">Accessories</x:t>
        </x:is>
      </x:c>
      <x:c r="G1247" s="4" t="inlineStr">
        <x:is>
          <x:t xml:space="preserve">Boston</x:t>
        </x:is>
      </x:c>
      <x:c r="H1247" s="18" t="n">
        <x:v>2</x:v>
      </x:c>
      <x:c r="I1247" s="19" t="n">
        <x:v>69.78</x:v>
      </x:c>
      <x:c r="J1247" s="20" t="n">
        <x:v>0.05</x:v>
      </x:c>
      <x:c r="K1247" s="4" t="inlineStr">
        <x:is>
          <x:t xml:space="preserve">Bank Transfer</x:t>
        </x:is>
      </x:c>
      <x:c r="L1247" s="19" t="n">
        <x:v>139.56</x:v>
      </x:c>
      <x:c r="M1247" s="19" t="n">
        <x:v>6.98</x:v>
      </x:c>
      <x:c r="N1247" s="19" t="n">
        <x:v>132.58</x:v>
      </x:c>
      <x:c r="O1247" s="4" t="n">
        <x:f>YEAR(C1247)</x:f>
        <x:v>2025</x:v>
      </x:c>
      <x:c r="P1247" s="4" t="str">
        <x:f>TEXT(C1247,"yyyy-mm")</x:f>
        <x:v>2025-05</x:v>
      </x:c>
      <x:c r="Q1247" s="4" t="str">
        <x:f>TEXT(C1247,"mmmm")</x:f>
        <x:v>May</x:v>
      </x:c>
    </x:row>
    <x:row r="1248" ht="20" customHeight="1">
      <x:c r="A1248" s="4" t="inlineStr">
        <x:is>
          <x:t xml:space="preserve">LINE-01259</x:t>
        </x:is>
      </x:c>
      <x:c r="B1248" s="4" t="inlineStr">
        <x:is>
          <x:t xml:space="preserve">ORD-2025-0785</x:t>
        </x:is>
      </x:c>
      <x:c r="C1248" s="17" t="n">
        <x:v>45785</x:v>
      </x:c>
      <x:c r="D1248" s="4" t="inlineStr">
        <x:is>
          <x:t xml:space="preserve">CUS-0114</x:t>
        </x:is>
      </x:c>
      <x:c r="E1248" s="4" t="inlineStr">
        <x:is>
          <x:t xml:space="preserve">Bluetooth Speaker</x:t>
        </x:is>
      </x:c>
      <x:c r="F1248" s="4" t="inlineStr">
        <x:is>
          <x:t xml:space="preserve">Audio</x:t>
        </x:is>
      </x:c>
      <x:c r="G1248" s="4" t="inlineStr">
        <x:is>
          <x:t xml:space="preserve">Boston</x:t>
        </x:is>
      </x:c>
      <x:c r="H1248" s="18" t="n">
        <x:v>5</x:v>
      </x:c>
      <x:c r="I1248" s="19" t="n">
        <x:v>102.12</x:v>
      </x:c>
      <x:c r="J1248" s="20" t="n">
        <x:v>0.2</x:v>
      </x:c>
      <x:c r="K1248" s="4" t="inlineStr">
        <x:is>
          <x:t xml:space="preserve">Bank Transfer</x:t>
        </x:is>
      </x:c>
      <x:c r="L1248" s="19" t="n">
        <x:v>510.6</x:v>
      </x:c>
      <x:c r="M1248" s="19" t="n">
        <x:v>102.12</x:v>
      </x:c>
      <x:c r="N1248" s="19" t="n">
        <x:v>408.48</x:v>
      </x:c>
      <x:c r="O1248" s="4" t="n">
        <x:f>YEAR(C1248)</x:f>
        <x:v>2025</x:v>
      </x:c>
      <x:c r="P1248" s="4" t="str">
        <x:f>TEXT(C1248,"yyyy-mm")</x:f>
        <x:v>2025-05</x:v>
      </x:c>
      <x:c r="Q1248" s="4" t="str">
        <x:f>TEXT(C1248,"mmmm")</x:f>
        <x:v>May</x:v>
      </x:c>
    </x:row>
    <x:row r="1249" ht="20" customHeight="1">
      <x:c r="A1249" s="4" t="inlineStr">
        <x:is>
          <x:t xml:space="preserve">LINE-01260</x:t>
        </x:is>
      </x:c>
      <x:c r="B1249" s="4" t="inlineStr">
        <x:is>
          <x:t xml:space="preserve">ORD-2025-0786</x:t>
        </x:is>
      </x:c>
      <x:c r="C1249" s="17" t="n">
        <x:v>45762</x:v>
      </x:c>
      <x:c r="D1249" s="4" t="inlineStr">
        <x:is>
          <x:t xml:space="preserve">CUS-0065</x:t>
        </x:is>
      </x:c>
      <x:c r="E1249" s="4" t="inlineStr">
        <x:is>
          <x:t xml:space="preserve">Wireless Mouse</x:t>
        </x:is>
      </x:c>
      <x:c r="F1249" s="4" t="inlineStr">
        <x:is>
          <x:t xml:space="preserve">Accessories</x:t>
        </x:is>
      </x:c>
      <x:c r="G1249" s="4" t="inlineStr">
        <x:is>
          <x:t xml:space="preserve">New York</x:t>
        </x:is>
      </x:c>
      <x:c r="H1249" s="18" t="n">
        <x:v>2</x:v>
      </x:c>
      <x:c r="I1249" s="19" t="n">
        <x:v>44.47</x:v>
      </x:c>
      <x:c r="J1249" s="20" t="n">
        <x:v>0.05</x:v>
      </x:c>
      <x:c r="K1249" s="4" t="inlineStr">
        <x:is>
          <x:t xml:space="preserve">Debit Card</x:t>
        </x:is>
      </x:c>
      <x:c r="L1249" s="19" t="n">
        <x:v>88.94</x:v>
      </x:c>
      <x:c r="M1249" s="19" t="n">
        <x:v>4.45</x:v>
      </x:c>
      <x:c r="N1249" s="19" t="n">
        <x:v>84.48999999999999</x:v>
      </x:c>
      <x:c r="O1249" s="4" t="n">
        <x:f>YEAR(C1249)</x:f>
        <x:v>2025</x:v>
      </x:c>
      <x:c r="P1249" s="4" t="str">
        <x:f>TEXT(C1249,"yyyy-mm")</x:f>
        <x:v>2025-04</x:v>
      </x:c>
      <x:c r="Q1249" s="4" t="str">
        <x:f>TEXT(C1249,"mmmm")</x:f>
        <x:v>April</x:v>
      </x:c>
    </x:row>
    <x:row r="1250" ht="20" customHeight="1">
      <x:c r="A1250" s="4" t="inlineStr">
        <x:is>
          <x:t xml:space="preserve">LINE-01261</x:t>
        </x:is>
      </x:c>
      <x:c r="B1250" s="4" t="inlineStr">
        <x:is>
          <x:t xml:space="preserve">ORD-2025-0786</x:t>
        </x:is>
      </x:c>
      <x:c r="C1250" s="17" t="n">
        <x:v>45762</x:v>
      </x:c>
      <x:c r="D1250" s="4" t="inlineStr">
        <x:is>
          <x:t xml:space="preserve">CUS-0065</x:t>
        </x:is>
      </x:c>
      <x:c r="E1250" s="4" t="inlineStr">
        <x:is>
          <x:t xml:space="preserve">Desk Lamp</x:t>
        </x:is>
      </x:c>
      <x:c r="F1250" s="4" t="inlineStr">
        <x:is>
          <x:t xml:space="preserve">Furniture</x:t>
        </x:is>
      </x:c>
      <x:c r="G1250" s="4" t="inlineStr">
        <x:is>
          <x:t xml:space="preserve">New York</x:t>
        </x:is>
      </x:c>
      <x:c r="H1250" s="18" t="n">
        <x:v>1</x:v>
      </x:c>
      <x:c r="I1250" s="19" t="n">
        <x:v>52.34</x:v>
      </x:c>
      <x:c r="J1250" s="20" t="n">
        <x:v>0</x:v>
      </x:c>
      <x:c r="K1250" s="4" t="inlineStr">
        <x:is>
          <x:t xml:space="preserve">Debit Card</x:t>
        </x:is>
      </x:c>
      <x:c r="L1250" s="19" t="n">
        <x:v>52.34</x:v>
      </x:c>
      <x:c r="M1250" s="19" t="n">
        <x:v>0</x:v>
      </x:c>
      <x:c r="N1250" s="19" t="n">
        <x:v>52.34</x:v>
      </x:c>
      <x:c r="O1250" s="4" t="n">
        <x:f>YEAR(C1250)</x:f>
        <x:v>2025</x:v>
      </x:c>
      <x:c r="P1250" s="4" t="str">
        <x:f>TEXT(C1250,"yyyy-mm")</x:f>
        <x:v>2025-04</x:v>
      </x:c>
      <x:c r="Q1250" s="4" t="str">
        <x:f>TEXT(C1250,"mmmm")</x:f>
        <x:v>April</x:v>
      </x:c>
    </x:row>
    <x:row r="1251" ht="20" customHeight="1">
      <x:c r="A1251" s="4" t="inlineStr">
        <x:is>
          <x:t xml:space="preserve">LINE-01262</x:t>
        </x:is>
      </x:c>
      <x:c r="B1251" s="4" t="inlineStr">
        <x:is>
          <x:t xml:space="preserve">ORD-2025-0787</x:t>
        </x:is>
      </x:c>
      <x:c r="C1251" s="17" t="n">
        <x:v>45968</x:v>
      </x:c>
      <x:c r="D1251" s="4" t="inlineStr">
        <x:is>
          <x:t xml:space="preserve">CUS-0128</x:t>
        </x:is>
      </x:c>
      <x:c r="E1251" s="4" t="inlineStr">
        <x:is>
          <x:t xml:space="preserve">Office Chair</x:t>
        </x:is>
      </x:c>
      <x:c r="F1251" s="4" t="inlineStr">
        <x:is>
          <x:t xml:space="preserve">Furniture</x:t>
        </x:is>
      </x:c>
      <x:c r="G1251" s="4" t="inlineStr">
        <x:is>
          <x:t xml:space="preserve">Austin</x:t>
        </x:is>
      </x:c>
      <x:c r="H1251" s="18" t="n">
        <x:v>1</x:v>
      </x:c>
      <x:c r="I1251" s="19" t="n">
        <x:v>250.8</x:v>
      </x:c>
      <x:c r="J1251" s="20" t="n">
        <x:v>0</x:v>
      </x:c>
      <x:c r="K1251" s="4" t="inlineStr">
        <x:is>
          <x:t xml:space="preserve">PayPal</x:t>
        </x:is>
      </x:c>
      <x:c r="L1251" s="19" t="n">
        <x:v>250.8</x:v>
      </x:c>
      <x:c r="M1251" s="19" t="n">
        <x:v>0</x:v>
      </x:c>
      <x:c r="N1251" s="19" t="n">
        <x:v>250.8</x:v>
      </x:c>
      <x:c r="O1251" s="4" t="n">
        <x:f>YEAR(C1251)</x:f>
        <x:v>2025</x:v>
      </x:c>
      <x:c r="P1251" s="4" t="str">
        <x:f>TEXT(C1251,"yyyy-mm")</x:f>
        <x:v>2025-11</x:v>
      </x:c>
      <x:c r="Q1251" s="4" t="str">
        <x:f>TEXT(C1251,"mmmm")</x:f>
        <x:v>November</x:v>
      </x:c>
    </x:row>
    <x:row r="1252" ht="20" customHeight="1">
      <x:c r="A1252" s="4" t="inlineStr">
        <x:is>
          <x:t xml:space="preserve">LINE-01263</x:t>
        </x:is>
      </x:c>
      <x:c r="B1252" s="4" t="inlineStr">
        <x:is>
          <x:t xml:space="preserve">ORD-2025-0787</x:t>
        </x:is>
      </x:c>
      <x:c r="C1252" s="17" t="n">
        <x:v>45968</x:v>
      </x:c>
      <x:c r="D1252" s="4" t="inlineStr">
        <x:is>
          <x:t xml:space="preserve">CUS-0128</x:t>
        </x:is>
      </x:c>
      <x:c r="E1252" s="4" t="inlineStr">
        <x:is>
          <x:t xml:space="preserve">Wireless Mouse</x:t>
        </x:is>
      </x:c>
      <x:c r="F1252" s="4" t="inlineStr">
        <x:is>
          <x:t xml:space="preserve">Accessories</x:t>
        </x:is>
      </x:c>
      <x:c r="G1252" s="4" t="inlineStr">
        <x:is>
          <x:t xml:space="preserve">Austin</x:t>
        </x:is>
      </x:c>
      <x:c r="H1252" s="18" t="n">
        <x:v>5</x:v>
      </x:c>
      <x:c r="I1252" s="19" t="n">
        <x:v>44.27</x:v>
      </x:c>
      <x:c r="J1252" s="20" t="n">
        <x:v>0</x:v>
      </x:c>
      <x:c r="K1252" s="4" t="inlineStr">
        <x:is>
          <x:t xml:space="preserve">PayPal</x:t>
        </x:is>
      </x:c>
      <x:c r="L1252" s="19" t="n">
        <x:v>221.35</x:v>
      </x:c>
      <x:c r="M1252" s="19" t="n">
        <x:v>0</x:v>
      </x:c>
      <x:c r="N1252" s="19" t="n">
        <x:v>221.35</x:v>
      </x:c>
      <x:c r="O1252" s="4" t="n">
        <x:f>YEAR(C1252)</x:f>
        <x:v>2025</x:v>
      </x:c>
      <x:c r="P1252" s="4" t="str">
        <x:f>TEXT(C1252,"yyyy-mm")</x:f>
        <x:v>2025-11</x:v>
      </x:c>
      <x:c r="Q1252" s="4" t="str">
        <x:f>TEXT(C1252,"mmmm")</x:f>
        <x:v>November</x:v>
      </x:c>
    </x:row>
    <x:row r="1253" ht="20" customHeight="1">
      <x:c r="A1253" s="4" t="inlineStr">
        <x:is>
          <x:t xml:space="preserve">LINE-01264</x:t>
        </x:is>
      </x:c>
      <x:c r="B1253" s="4" t="inlineStr">
        <x:is>
          <x:t xml:space="preserve">ORD-2025-0788</x:t>
        </x:is>
      </x:c>
      <x:c r="C1253" s="17" t="n">
        <x:v>45883</x:v>
      </x:c>
      <x:c r="D1253" s="4" t="inlineStr">
        <x:is>
          <x:t xml:space="preserve">CUS-0217</x:t>
        </x:is>
      </x:c>
      <x:c r="E1253" s="4" t="inlineStr">
        <x:is>
          <x:t xml:space="preserve">Bluetooth Speaker</x:t>
        </x:is>
      </x:c>
      <x:c r="F1253" s="4" t="inlineStr">
        <x:is>
          <x:t xml:space="preserve">Audio</x:t>
        </x:is>
      </x:c>
      <x:c r="G1253" s="4" t="inlineStr">
        <x:is>
          <x:t xml:space="preserve">Boston</x:t>
        </x:is>
      </x:c>
      <x:c r="H1253" s="18" t="n">
        <x:v>3</x:v>
      </x:c>
      <x:c r="I1253" s="19" t="n">
        <x:v>108.72</x:v>
      </x:c>
      <x:c r="J1253" s="20" t="n">
        <x:v>0</x:v>
      </x:c>
      <x:c r="K1253" s="4" t="inlineStr">
        <x:is>
          <x:t xml:space="preserve">Bank Transfer</x:t>
        </x:is>
      </x:c>
      <x:c r="L1253" s="19" t="n">
        <x:v>326.16</x:v>
      </x:c>
      <x:c r="M1253" s="19" t="n">
        <x:v>0</x:v>
      </x:c>
      <x:c r="N1253" s="19" t="n">
        <x:v>326.16</x:v>
      </x:c>
      <x:c r="O1253" s="4" t="n">
        <x:f>YEAR(C1253)</x:f>
        <x:v>2025</x:v>
      </x:c>
      <x:c r="P1253" s="4" t="str">
        <x:f>TEXT(C1253,"yyyy-mm")</x:f>
        <x:v>2025-08</x:v>
      </x:c>
      <x:c r="Q1253" s="4" t="str">
        <x:f>TEXT(C1253,"mmmm")</x:f>
        <x:v>August</x:v>
      </x:c>
    </x:row>
    <x:row r="1254" ht="20" customHeight="1">
      <x:c r="A1254" s="4" t="inlineStr">
        <x:is>
          <x:t xml:space="preserve">LINE-01265</x:t>
        </x:is>
      </x:c>
      <x:c r="B1254" s="4" t="inlineStr">
        <x:is>
          <x:t xml:space="preserve">ORD-2025-0788</x:t>
        </x:is>
      </x:c>
      <x:c r="C1254" s="17" t="n">
        <x:v>45883</x:v>
      </x:c>
      <x:c r="D1254" s="4" t="inlineStr">
        <x:is>
          <x:t xml:space="preserve">CUS-0217</x:t>
        </x:is>
      </x:c>
      <x:c r="E1254" s="4" t="inlineStr">
        <x:is>
          <x:t xml:space="preserve">Laptop</x:t>
        </x:is>
      </x:c>
      <x:c r="F1254" s="4" t="inlineStr">
        <x:is>
          <x:t xml:space="preserve">Computers</x:t>
        </x:is>
      </x:c>
      <x:c r="G1254" s="4" t="inlineStr">
        <x:is>
          <x:t xml:space="preserve">Boston</x:t>
        </x:is>
      </x:c>
      <x:c r="H1254" s="18" t="n">
        <x:v>4</x:v>
      </x:c>
      <x:c r="I1254" s="19" t="n">
        <x:v>919.64</x:v>
      </x:c>
      <x:c r="J1254" s="20" t="n">
        <x:v>0.05</x:v>
      </x:c>
      <x:c r="K1254" s="4" t="inlineStr">
        <x:is>
          <x:t xml:space="preserve">Bank Transfer</x:t>
        </x:is>
      </x:c>
      <x:c r="L1254" s="19" t="n">
        <x:v>3678.56</x:v>
      </x:c>
      <x:c r="M1254" s="19" t="n">
        <x:v>183.93</x:v>
      </x:c>
      <x:c r="N1254" s="19" t="n">
        <x:v>3494.63</x:v>
      </x:c>
      <x:c r="O1254" s="4" t="n">
        <x:f>YEAR(C1254)</x:f>
        <x:v>2025</x:v>
      </x:c>
      <x:c r="P1254" s="4" t="str">
        <x:f>TEXT(C1254,"yyyy-mm")</x:f>
        <x:v>2025-08</x:v>
      </x:c>
      <x:c r="Q1254" s="4" t="str">
        <x:f>TEXT(C1254,"mmmm")</x:f>
        <x:v>August</x:v>
      </x:c>
    </x:row>
    <x:row r="1255" ht="20" customHeight="1">
      <x:c r="A1255" s="4" t="inlineStr">
        <x:is>
          <x:t xml:space="preserve">LINE-01266</x:t>
        </x:is>
      </x:c>
      <x:c r="B1255" s="4" t="inlineStr">
        <x:is>
          <x:t xml:space="preserve">ORD-2025-0789</x:t>
        </x:is>
      </x:c>
      <x:c r="C1255" s="17" t="n">
        <x:v>45941</x:v>
      </x:c>
      <x:c r="D1255" s="4" t="inlineStr">
        <x:is>
          <x:t xml:space="preserve">CUS-0090</x:t>
        </x:is>
      </x:c>
      <x:c r="E1255" s="4" t="inlineStr">
        <x:is>
          <x:t xml:space="preserve">Bluetooth Speaker</x:t>
        </x:is>
      </x:c>
      <x:c r="F1255" s="4" t="inlineStr">
        <x:is>
          <x:t xml:space="preserve">Audio</x:t>
        </x:is>
      </x:c>
      <x:c r="G1255" s="4" t="inlineStr">
        <x:is>
          <x:t xml:space="preserve">Austin</x:t>
        </x:is>
      </x:c>
      <x:c r="H1255" s="18" t="n">
        <x:v>1</x:v>
      </x:c>
      <x:c r="I1255" s="19" t="n">
        <x:v>111.09</x:v>
      </x:c>
      <x:c r="J1255" s="20" t="n">
        <x:v>0.05</x:v>
      </x:c>
      <x:c r="K1255" s="4" t="inlineStr">
        <x:is>
          <x:t xml:space="preserve">Bank Transfer</x:t>
        </x:is>
      </x:c>
      <x:c r="L1255" s="19" t="n">
        <x:v>111.09</x:v>
      </x:c>
      <x:c r="M1255" s="19" t="n">
        <x:v>5.55</x:v>
      </x:c>
      <x:c r="N1255" s="19" t="n">
        <x:v>105.54</x:v>
      </x:c>
      <x:c r="O1255" s="4" t="n">
        <x:f>YEAR(C1255)</x:f>
        <x:v>2025</x:v>
      </x:c>
      <x:c r="P1255" s="4" t="str">
        <x:f>TEXT(C1255,"yyyy-mm")</x:f>
        <x:v>2025-10</x:v>
      </x:c>
      <x:c r="Q1255" s="4" t="str">
        <x:f>TEXT(C1255,"mmmm")</x:f>
        <x:v>October</x:v>
      </x:c>
    </x:row>
    <x:row r="1256" ht="20" customHeight="1">
      <x:c r="A1256" s="4" t="inlineStr">
        <x:is>
          <x:t xml:space="preserve">LINE-01267</x:t>
        </x:is>
      </x:c>
      <x:c r="B1256" s="4" t="inlineStr">
        <x:is>
          <x:t xml:space="preserve">ORD-2025-0790</x:t>
        </x:is>
      </x:c>
      <x:c r="C1256" s="17" t="n">
        <x:v>45828</x:v>
      </x:c>
      <x:c r="D1256" s="4" t="inlineStr">
        <x:is>
          <x:t xml:space="preserve">CUS-0070</x:t>
        </x:is>
      </x:c>
      <x:c r="E1256" s="4" t="inlineStr">
        <x:is>
          <x:t xml:space="preserve">Wireless Mouse</x:t>
        </x:is>
      </x:c>
      <x:c r="F1256" s="4" t="inlineStr">
        <x:is>
          <x:t xml:space="preserve">Accessories</x:t>
        </x:is>
      </x:c>
      <x:c r="G1256" s="4" t="inlineStr">
        <x:is>
          <x:t xml:space="preserve">San Francisco</x:t>
        </x:is>
      </x:c>
      <x:c r="H1256" s="18" t="n">
        <x:v>1</x:v>
      </x:c>
      <x:c r="I1256" s="19" t="n">
        <x:v>47.6</x:v>
      </x:c>
      <x:c r="J1256" s="20" t="n">
        <x:v>0.1</x:v>
      </x:c>
      <x:c r="K1256" s="4" t="inlineStr">
        <x:is>
          <x:t xml:space="preserve">Bank Transfer</x:t>
        </x:is>
      </x:c>
      <x:c r="L1256" s="19" t="n">
        <x:v>47.6</x:v>
      </x:c>
      <x:c r="M1256" s="19" t="n">
        <x:v>4.76</x:v>
      </x:c>
      <x:c r="N1256" s="19" t="n">
        <x:v>42.84</x:v>
      </x:c>
      <x:c r="O1256" s="4" t="n">
        <x:f>YEAR(C1256)</x:f>
        <x:v>2025</x:v>
      </x:c>
      <x:c r="P1256" s="4" t="str">
        <x:f>TEXT(C1256,"yyyy-mm")</x:f>
        <x:v>2025-06</x:v>
      </x:c>
      <x:c r="Q1256" s="4" t="str">
        <x:f>TEXT(C1256,"mmmm")</x:f>
        <x:v>June</x:v>
      </x:c>
    </x:row>
    <x:row r="1257" ht="20" customHeight="1">
      <x:c r="A1257" s="4" t="inlineStr">
        <x:is>
          <x:t xml:space="preserve">LINE-01268</x:t>
        </x:is>
      </x:c>
      <x:c r="B1257" s="4" t="inlineStr">
        <x:is>
          <x:t xml:space="preserve">ORD-2025-0791</x:t>
        </x:is>
      </x:c>
      <x:c r="C1257" s="17" t="n">
        <x:v>45849</x:v>
      </x:c>
      <x:c r="D1257" s="4" t="inlineStr">
        <x:is>
          <x:t xml:space="preserve">CUS-0252</x:t>
        </x:is>
      </x:c>
      <x:c r="E1257" s="4" t="inlineStr">
        <x:is>
          <x:t xml:space="preserve">Desk Lamp</x:t>
        </x:is>
      </x:c>
      <x:c r="F1257" s="4" t="inlineStr">
        <x:is>
          <x:t xml:space="preserve">Furniture</x:t>
        </x:is>
      </x:c>
      <x:c r="G1257" s="4" t="inlineStr">
        <x:is>
          <x:t xml:space="preserve">Seattle</x:t>
        </x:is>
      </x:c>
      <x:c r="H1257" s="18" t="n">
        <x:v>2</x:v>
      </x:c>
      <x:c r="I1257" s="19" t="n">
        <x:v>56.24</x:v>
      </x:c>
      <x:c r="J1257" s="20" t="n">
        <x:v>0.05</x:v>
      </x:c>
      <x:c r="K1257" s="4" t="inlineStr">
        <x:is>
          <x:t xml:space="preserve">Bank Transfer</x:t>
        </x:is>
      </x:c>
      <x:c r="L1257" s="19" t="n">
        <x:v>112.48</x:v>
      </x:c>
      <x:c r="M1257" s="19" t="n">
        <x:v>5.62</x:v>
      </x:c>
      <x:c r="N1257" s="19" t="n">
        <x:v>106.86</x:v>
      </x:c>
      <x:c r="O1257" s="4" t="n">
        <x:f>YEAR(C1257)</x:f>
        <x:v>2025</x:v>
      </x:c>
      <x:c r="P1257" s="4" t="str">
        <x:f>TEXT(C1257,"yyyy-mm")</x:f>
        <x:v>2025-07</x:v>
      </x:c>
      <x:c r="Q1257" s="4" t="str">
        <x:f>TEXT(C1257,"mmmm")</x:f>
        <x:v>July</x:v>
      </x:c>
    </x:row>
    <x:row r="1258" ht="20" customHeight="1">
      <x:c r="A1258" s="4" t="inlineStr">
        <x:is>
          <x:t xml:space="preserve">LINE-01269</x:t>
        </x:is>
      </x:c>
      <x:c r="B1258" s="4" t="inlineStr">
        <x:is>
          <x:t xml:space="preserve">ORD-2025-0791</x:t>
        </x:is>
      </x:c>
      <x:c r="C1258" s="17" t="n">
        <x:v>45849</x:v>
      </x:c>
      <x:c r="D1258" s="4" t="inlineStr">
        <x:is>
          <x:t xml:space="preserve">CUS-0252</x:t>
        </x:is>
      </x:c>
      <x:c r="E1258" s="4" t="inlineStr">
        <x:is>
          <x:t xml:space="preserve">Webcam</x:t>
        </x:is>
      </x:c>
      <x:c r="F1258" s="4" t="inlineStr">
        <x:is>
          <x:t xml:space="preserve">Accessories</x:t>
        </x:is>
      </x:c>
      <x:c r="G1258" s="4" t="inlineStr">
        <x:is>
          <x:t xml:space="preserve">Seattle</x:t>
        </x:is>
      </x:c>
      <x:c r="H1258" s="18" t="n">
        <x:v>2</x:v>
      </x:c>
      <x:c r="I1258" s="19" t="n">
        <x:v>83.36</x:v>
      </x:c>
      <x:c r="J1258" s="20" t="n">
        <x:v>0.15</x:v>
      </x:c>
      <x:c r="K1258" s="4" t="inlineStr">
        <x:is>
          <x:t xml:space="preserve">Bank Transfer</x:t>
        </x:is>
      </x:c>
      <x:c r="L1258" s="19" t="n">
        <x:v>166.72</x:v>
      </x:c>
      <x:c r="M1258" s="19" t="n">
        <x:v>25.01</x:v>
      </x:c>
      <x:c r="N1258" s="19" t="n">
        <x:v>141.71</x:v>
      </x:c>
      <x:c r="O1258" s="4" t="n">
        <x:f>YEAR(C1258)</x:f>
        <x:v>2025</x:v>
      </x:c>
      <x:c r="P1258" s="4" t="str">
        <x:f>TEXT(C1258,"yyyy-mm")</x:f>
        <x:v>2025-07</x:v>
      </x:c>
      <x:c r="Q1258" s="4" t="str">
        <x:f>TEXT(C1258,"mmmm")</x:f>
        <x:v>July</x:v>
      </x:c>
    </x:row>
    <x:row r="1259" ht="20" customHeight="1">
      <x:c r="A1259" s="4" t="inlineStr">
        <x:is>
          <x:t xml:space="preserve">LINE-01270</x:t>
        </x:is>
      </x:c>
      <x:c r="B1259" s="4" t="inlineStr">
        <x:is>
          <x:t xml:space="preserve">ORD-2025-0791</x:t>
        </x:is>
      </x:c>
      <x:c r="C1259" s="17" t="n">
        <x:v>45849</x:v>
      </x:c>
      <x:c r="D1259" s="4" t="inlineStr">
        <x:is>
          <x:t xml:space="preserve">CUS-0252</x:t>
        </x:is>
      </x:c>
      <x:c r="E1259" s="4" t="inlineStr">
        <x:is>
          <x:t xml:space="preserve">Headphones</x:t>
        </x:is>
      </x:c>
      <x:c r="F1259" s="4" t="inlineStr">
        <x:is>
          <x:t xml:space="preserve">Audio</x:t>
        </x:is>
      </x:c>
      <x:c r="G1259" s="4" t="inlineStr">
        <x:is>
          <x:t xml:space="preserve">Seattle</x:t>
        </x:is>
      </x:c>
      <x:c r="H1259" s="18" t="n">
        <x:v>1</x:v>
      </x:c>
      <x:c r="I1259" s="19" t="n">
        <x:v>131.36</x:v>
      </x:c>
      <x:c r="J1259" s="20" t="n">
        <x:v>0</x:v>
      </x:c>
      <x:c r="K1259" s="4" t="inlineStr">
        <x:is>
          <x:t xml:space="preserve">Bank Transfer</x:t>
        </x:is>
      </x:c>
      <x:c r="L1259" s="19" t="n">
        <x:v>131.36</x:v>
      </x:c>
      <x:c r="M1259" s="19" t="n">
        <x:v>0</x:v>
      </x:c>
      <x:c r="N1259" s="19" t="n">
        <x:v>131.36</x:v>
      </x:c>
      <x:c r="O1259" s="4" t="n">
        <x:f>YEAR(C1259)</x:f>
        <x:v>2025</x:v>
      </x:c>
      <x:c r="P1259" s="4" t="str">
        <x:f>TEXT(C1259,"yyyy-mm")</x:f>
        <x:v>2025-07</x:v>
      </x:c>
      <x:c r="Q1259" s="4" t="str">
        <x:f>TEXT(C1259,"mmmm")</x:f>
        <x:v>July</x:v>
      </x:c>
    </x:row>
    <x:row r="1260" ht="20" customHeight="1">
      <x:c r="A1260" s="4" t="inlineStr">
        <x:is>
          <x:t xml:space="preserve">LINE-01271</x:t>
        </x:is>
      </x:c>
      <x:c r="B1260" s="4" t="inlineStr">
        <x:is>
          <x:t xml:space="preserve">ORD-2025-0792</x:t>
        </x:is>
      </x:c>
      <x:c r="C1260" s="17" t="n">
        <x:v>45881</x:v>
      </x:c>
      <x:c r="D1260" s="4" t="inlineStr">
        <x:is>
          <x:t xml:space="preserve">CUS-0131</x:t>
        </x:is>
      </x:c>
      <x:c r="E1260" s="4" t="inlineStr">
        <x:is>
          <x:t xml:space="preserve">Bluetooth Speaker</x:t>
        </x:is>
      </x:c>
      <x:c r="F1260" s="4" t="inlineStr">
        <x:is>
          <x:t xml:space="preserve">Audio</x:t>
        </x:is>
      </x:c>
      <x:c r="G1260" s="4" t="inlineStr">
        <x:is>
          <x:t xml:space="preserve">San Francisco</x:t>
        </x:is>
      </x:c>
      <x:c r="H1260" s="18" t="n">
        <x:v>3</x:v>
      </x:c>
      <x:c r="I1260" s="19" t="n">
        <x:v>113.46</x:v>
      </x:c>
      <x:c r="J1260" s="20" t="n">
        <x:v>0.05</x:v>
      </x:c>
      <x:c r="K1260" s="4" t="inlineStr">
        <x:is>
          <x:t xml:space="preserve">PayPal</x:t>
        </x:is>
      </x:c>
      <x:c r="L1260" s="19" t="n">
        <x:v>340.38</x:v>
      </x:c>
      <x:c r="M1260" s="19" t="n">
        <x:v>17.02</x:v>
      </x:c>
      <x:c r="N1260" s="19" t="n">
        <x:v>323.36</x:v>
      </x:c>
      <x:c r="O1260" s="4" t="n">
        <x:f>YEAR(C1260)</x:f>
        <x:v>2025</x:v>
      </x:c>
      <x:c r="P1260" s="4" t="str">
        <x:f>TEXT(C1260,"yyyy-mm")</x:f>
        <x:v>2025-08</x:v>
      </x:c>
      <x:c r="Q1260" s="4" t="str">
        <x:f>TEXT(C1260,"mmmm")</x:f>
        <x:v>August</x:v>
      </x:c>
    </x:row>
    <x:row r="1261" ht="20" customHeight="1">
      <x:c r="A1261" s="4" t="inlineStr">
        <x:is>
          <x:t xml:space="preserve">LINE-01272</x:t>
        </x:is>
      </x:c>
      <x:c r="B1261" s="4" t="inlineStr">
        <x:is>
          <x:t xml:space="preserve">ORD-2025-0792</x:t>
        </x:is>
      </x:c>
      <x:c r="C1261" s="17" t="n">
        <x:v>45881</x:v>
      </x:c>
      <x:c r="D1261" s="4" t="inlineStr">
        <x:is>
          <x:t xml:space="preserve">CUS-0131</x:t>
        </x:is>
      </x:c>
      <x:c r="E1261" s="4" t="inlineStr">
        <x:is>
          <x:t xml:space="preserve">Office Chair</x:t>
        </x:is>
      </x:c>
      <x:c r="F1261" s="4" t="inlineStr">
        <x:is>
          <x:t xml:space="preserve">Furniture</x:t>
        </x:is>
      </x:c>
      <x:c r="G1261" s="4" t="inlineStr">
        <x:is>
          <x:t xml:space="preserve">San Francisco</x:t>
        </x:is>
      </x:c>
      <x:c r="H1261" s="18" t="n">
        <x:v>4</x:v>
      </x:c>
      <x:c r="I1261" s="19" t="n">
        <x:v>249.05</x:v>
      </x:c>
      <x:c r="J1261" s="20" t="n">
        <x:v>0</x:v>
      </x:c>
      <x:c r="K1261" s="4" t="inlineStr">
        <x:is>
          <x:t xml:space="preserve">PayPal</x:t>
        </x:is>
      </x:c>
      <x:c r="L1261" s="19" t="n">
        <x:v>996.2</x:v>
      </x:c>
      <x:c r="M1261" s="19" t="n">
        <x:v>0</x:v>
      </x:c>
      <x:c r="N1261" s="19" t="n">
        <x:v>996.2</x:v>
      </x:c>
      <x:c r="O1261" s="4" t="n">
        <x:f>YEAR(C1261)</x:f>
        <x:v>2025</x:v>
      </x:c>
      <x:c r="P1261" s="4" t="str">
        <x:f>TEXT(C1261,"yyyy-mm")</x:f>
        <x:v>2025-08</x:v>
      </x:c>
      <x:c r="Q1261" s="4" t="str">
        <x:f>TEXT(C1261,"mmmm")</x:f>
        <x:v>August</x:v>
      </x:c>
    </x:row>
    <x:row r="1262" ht="20" customHeight="1">
      <x:c r="A1262" s="4" t="inlineStr">
        <x:is>
          <x:t xml:space="preserve">LINE-01273</x:t>
        </x:is>
      </x:c>
      <x:c r="B1262" s="4" t="inlineStr">
        <x:is>
          <x:t xml:space="preserve">ORD-2025-0793</x:t>
        </x:is>
      </x:c>
      <x:c r="C1262" s="17" t="n">
        <x:v>45675</x:v>
      </x:c>
      <x:c r="D1262" s="4" t="inlineStr">
        <x:is>
          <x:t xml:space="preserve">CUS-0186</x:t>
        </x:is>
      </x:c>
      <x:c r="E1262" s="4" t="inlineStr">
        <x:is>
          <x:t xml:space="preserve">Office Chair</x:t>
        </x:is>
      </x:c>
      <x:c r="F1262" s="4" t="inlineStr">
        <x:is>
          <x:t xml:space="preserve">Furniture</x:t>
        </x:is>
      </x:c>
      <x:c r="G1262" s="4" t="inlineStr">
        <x:is>
          <x:t xml:space="preserve">San Francisco</x:t>
        </x:is>
      </x:c>
      <x:c r="H1262" s="18" t="n">
        <x:v>1</x:v>
      </x:c>
      <x:c r="I1262" s="19" t="n">
        <x:v>238.29</x:v>
      </x:c>
      <x:c r="J1262" s="20" t="n">
        <x:v>0.05</x:v>
      </x:c>
      <x:c r="K1262" s="4" t="inlineStr">
        <x:is>
          <x:t xml:space="preserve">Credit Card</x:t>
        </x:is>
      </x:c>
      <x:c r="L1262" s="19" t="n">
        <x:v>238.29</x:v>
      </x:c>
      <x:c r="M1262" s="19" t="n">
        <x:v>11.91</x:v>
      </x:c>
      <x:c r="N1262" s="19" t="n">
        <x:v>226.38</x:v>
      </x:c>
      <x:c r="O1262" s="4" t="n">
        <x:f>YEAR(C1262)</x:f>
        <x:v>2025</x:v>
      </x:c>
      <x:c r="P1262" s="4" t="str">
        <x:f>TEXT(C1262,"yyyy-mm")</x:f>
        <x:v>2025-01</x:v>
      </x:c>
      <x:c r="Q1262" s="4" t="str">
        <x:f>TEXT(C1262,"mmmm")</x:f>
        <x:v>January</x:v>
      </x:c>
    </x:row>
    <x:row r="1263" ht="20" customHeight="1">
      <x:c r="A1263" s="4" t="inlineStr">
        <x:is>
          <x:t xml:space="preserve">LINE-01274</x:t>
        </x:is>
      </x:c>
      <x:c r="B1263" s="4" t="inlineStr">
        <x:is>
          <x:t xml:space="preserve">ORD-2025-0793</x:t>
        </x:is>
      </x:c>
      <x:c r="C1263" s="17" t="n">
        <x:v>45675</x:v>
      </x:c>
      <x:c r="D1263" s="4" t="inlineStr">
        <x:is>
          <x:t xml:space="preserve">CUS-0186</x:t>
        </x:is>
      </x:c>
      <x:c r="E1263" s="4" t="inlineStr">
        <x:is>
          <x:t xml:space="preserve">Keyboard</x:t>
        </x:is>
      </x:c>
      <x:c r="F1263" s="4" t="inlineStr">
        <x:is>
          <x:t xml:space="preserve">Accessories</x:t>
        </x:is>
      </x:c>
      <x:c r="G1263" s="4" t="inlineStr">
        <x:is>
          <x:t xml:space="preserve">San Francisco</x:t>
        </x:is>
      </x:c>
      <x:c r="H1263" s="18" t="n">
        <x:v>1</x:v>
      </x:c>
      <x:c r="I1263" s="19" t="n">
        <x:v>76.23</x:v>
      </x:c>
      <x:c r="J1263" s="20" t="n">
        <x:v>0.15</x:v>
      </x:c>
      <x:c r="K1263" s="4" t="inlineStr">
        <x:is>
          <x:t xml:space="preserve">Credit Card</x:t>
        </x:is>
      </x:c>
      <x:c r="L1263" s="19" t="n">
        <x:v>76.23</x:v>
      </x:c>
      <x:c r="M1263" s="19" t="n">
        <x:v>11.43</x:v>
      </x:c>
      <x:c r="N1263" s="19" t="n">
        <x:v>64.8</x:v>
      </x:c>
      <x:c r="O1263" s="4" t="n">
        <x:f>YEAR(C1263)</x:f>
        <x:v>2025</x:v>
      </x:c>
      <x:c r="P1263" s="4" t="str">
        <x:f>TEXT(C1263,"yyyy-mm")</x:f>
        <x:v>2025-01</x:v>
      </x:c>
      <x:c r="Q1263" s="4" t="str">
        <x:f>TEXT(C1263,"mmmm")</x:f>
        <x:v>January</x:v>
      </x:c>
    </x:row>
    <x:row r="1264" ht="20" customHeight="1">
      <x:c r="A1264" s="4" t="inlineStr">
        <x:is>
          <x:t xml:space="preserve">LINE-01275</x:t>
        </x:is>
      </x:c>
      <x:c r="B1264" s="4" t="inlineStr">
        <x:is>
          <x:t xml:space="preserve">ORD-2025-0794</x:t>
        </x:is>
      </x:c>
      <x:c r="C1264" s="17" t="n">
        <x:v>45740</x:v>
      </x:c>
      <x:c r="D1264" s="4" t="inlineStr">
        <x:is>
          <x:t xml:space="preserve">CUS-0007</x:t>
        </x:is>
      </x:c>
      <x:c r="E1264" s="4" t="inlineStr">
        <x:is>
          <x:t xml:space="preserve">Headphones</x:t>
        </x:is>
      </x:c>
      <x:c r="F1264" s="4" t="inlineStr">
        <x:is>
          <x:t xml:space="preserve">Audio</x:t>
        </x:is>
      </x:c>
      <x:c r="G1264" s="4" t="inlineStr">
        <x:is>
          <x:t xml:space="preserve">New York</x:t>
        </x:is>
      </x:c>
      <x:c r="H1264" s="18" t="n">
        <x:v>3</x:v>
      </x:c>
      <x:c r="I1264" s="19" t="n">
        <x:v>139.86</x:v>
      </x:c>
      <x:c r="J1264" s="20" t="n">
        <x:v>0</x:v>
      </x:c>
      <x:c r="K1264" s="4" t="inlineStr">
        <x:is>
          <x:t xml:space="preserve">Credit Card</x:t>
        </x:is>
      </x:c>
      <x:c r="L1264" s="19" t="n">
        <x:v>419.58</x:v>
      </x:c>
      <x:c r="M1264" s="19" t="n">
        <x:v>0</x:v>
      </x:c>
      <x:c r="N1264" s="19" t="n">
        <x:v>419.58</x:v>
      </x:c>
      <x:c r="O1264" s="4" t="n">
        <x:f>YEAR(C1264)</x:f>
        <x:v>2025</x:v>
      </x:c>
      <x:c r="P1264" s="4" t="str">
        <x:f>TEXT(C1264,"yyyy-mm")</x:f>
        <x:v>2025-03</x:v>
      </x:c>
      <x:c r="Q1264" s="4" t="str">
        <x:f>TEXT(C1264,"mmmm")</x:f>
        <x:v>March</x:v>
      </x:c>
    </x:row>
    <x:row r="1265" ht="20" customHeight="1">
      <x:c r="A1265" s="4" t="inlineStr">
        <x:is>
          <x:t xml:space="preserve">LINE-01276</x:t>
        </x:is>
      </x:c>
      <x:c r="B1265" s="4" t="inlineStr">
        <x:is>
          <x:t xml:space="preserve">ORD-2025-0794</x:t>
        </x:is>
      </x:c>
      <x:c r="C1265" s="17" t="n">
        <x:v>45740</x:v>
      </x:c>
      <x:c r="D1265" s="4" t="inlineStr">
        <x:is>
          <x:t xml:space="preserve">CUS-0007</x:t>
        </x:is>
      </x:c>
      <x:c r="E1265" s="4" t="inlineStr">
        <x:is>
          <x:t xml:space="preserve">Desk Lamp</x:t>
        </x:is>
      </x:c>
      <x:c r="F1265" s="4" t="inlineStr">
        <x:is>
          <x:t xml:space="preserve">Furniture</x:t>
        </x:is>
      </x:c>
      <x:c r="G1265" s="4" t="inlineStr">
        <x:is>
          <x:t xml:space="preserve">New York</x:t>
        </x:is>
      </x:c>
      <x:c r="H1265" s="18" t="n">
        <x:v>4</x:v>
      </x:c>
      <x:c r="I1265" s="19" t="n">
        <x:v>58.31</x:v>
      </x:c>
      <x:c r="J1265" s="20" t="n">
        <x:v>0</x:v>
      </x:c>
      <x:c r="K1265" s="4" t="inlineStr">
        <x:is>
          <x:t xml:space="preserve">Credit Card</x:t>
        </x:is>
      </x:c>
      <x:c r="L1265" s="19" t="n">
        <x:v>233.24</x:v>
      </x:c>
      <x:c r="M1265" s="19" t="n">
        <x:v>0</x:v>
      </x:c>
      <x:c r="N1265" s="19" t="n">
        <x:v>233.24</x:v>
      </x:c>
      <x:c r="O1265" s="4" t="n">
        <x:f>YEAR(C1265)</x:f>
        <x:v>2025</x:v>
      </x:c>
      <x:c r="P1265" s="4" t="str">
        <x:f>TEXT(C1265,"yyyy-mm")</x:f>
        <x:v>2025-03</x:v>
      </x:c>
      <x:c r="Q1265" s="4" t="str">
        <x:f>TEXT(C1265,"mmmm")</x:f>
        <x:v>March</x:v>
      </x:c>
    </x:row>
    <x:row r="1266" ht="20" customHeight="1">
      <x:c r="A1266" s="4" t="inlineStr">
        <x:is>
          <x:t xml:space="preserve">LINE-01277</x:t>
        </x:is>
      </x:c>
      <x:c r="B1266" s="4" t="inlineStr">
        <x:is>
          <x:t xml:space="preserve">ORD-2025-0795</x:t>
        </x:is>
      </x:c>
      <x:c r="C1266" s="17" t="n">
        <x:v>45876</x:v>
      </x:c>
      <x:c r="D1266" s="4" t="inlineStr">
        <x:is>
          <x:t xml:space="preserve">CUS-0130</x:t>
        </x:is>
      </x:c>
      <x:c r="E1266" s="4" t="inlineStr">
        <x:is>
          <x:t xml:space="preserve">External SSD</x:t>
        </x:is>
      </x:c>
      <x:c r="F1266" s="4" t="inlineStr">
        <x:is>
          <x:t xml:space="preserve">Storage</x:t>
        </x:is>
      </x:c>
      <x:c r="G1266" s="4" t="inlineStr">
        <x:is>
          <x:t xml:space="preserve">San Francisco</x:t>
        </x:is>
      </x:c>
      <x:c r="H1266" s="18" t="n">
        <x:v>4</x:v>
      </x:c>
      <x:c r="I1266" s="19" t="n">
        <x:v>152.07</x:v>
      </x:c>
      <x:c r="J1266" s="20" t="n">
        <x:v>0.1</x:v>
      </x:c>
      <x:c r="K1266" s="4" t="inlineStr">
        <x:is>
          <x:t xml:space="preserve">PayPal</x:t>
        </x:is>
      </x:c>
      <x:c r="L1266" s="19" t="n">
        <x:v>608.28</x:v>
      </x:c>
      <x:c r="M1266" s="19" t="n">
        <x:v>60.83</x:v>
      </x:c>
      <x:c r="N1266" s="19" t="n">
        <x:v>547.45</x:v>
      </x:c>
      <x:c r="O1266" s="4" t="n">
        <x:f>YEAR(C1266)</x:f>
        <x:v>2025</x:v>
      </x:c>
      <x:c r="P1266" s="4" t="str">
        <x:f>TEXT(C1266,"yyyy-mm")</x:f>
        <x:v>2025-08</x:v>
      </x:c>
      <x:c r="Q1266" s="4" t="str">
        <x:f>TEXT(C1266,"mmmm")</x:f>
        <x:v>August</x:v>
      </x:c>
    </x:row>
    <x:row r="1267" ht="20" customHeight="1">
      <x:c r="A1267" s="4" t="inlineStr">
        <x:is>
          <x:t xml:space="preserve">LINE-01278</x:t>
        </x:is>
      </x:c>
      <x:c r="B1267" s="4" t="inlineStr">
        <x:is>
          <x:t xml:space="preserve">ORD-2025-0795</x:t>
        </x:is>
      </x:c>
      <x:c r="C1267" s="17" t="n">
        <x:v>45876</x:v>
      </x:c>
      <x:c r="D1267" s="4" t="inlineStr">
        <x:is>
          <x:t xml:space="preserve">CUS-0130</x:t>
        </x:is>
      </x:c>
      <x:c r="E1267" s="4" t="inlineStr">
        <x:is>
          <x:t xml:space="preserve">Office Chair</x:t>
        </x:is>
      </x:c>
      <x:c r="F1267" s="4" t="inlineStr">
        <x:is>
          <x:t xml:space="preserve">Furniture</x:t>
        </x:is>
      </x:c>
      <x:c r="G1267" s="4" t="inlineStr">
        <x:is>
          <x:t xml:space="preserve">San Francisco</x:t>
        </x:is>
      </x:c>
      <x:c r="H1267" s="18" t="n">
        <x:v>3</x:v>
      </x:c>
      <x:c r="I1267" s="19" t="n">
        <x:v>256.29</x:v>
      </x:c>
      <x:c r="J1267" s="20" t="n">
        <x:v>0.1</x:v>
      </x:c>
      <x:c r="K1267" s="4" t="inlineStr">
        <x:is>
          <x:t xml:space="preserve">PayPal</x:t>
        </x:is>
      </x:c>
      <x:c r="L1267" s="19" t="n">
        <x:v>768.87</x:v>
      </x:c>
      <x:c r="M1267" s="19" t="n">
        <x:v>76.89</x:v>
      </x:c>
      <x:c r="N1267" s="19" t="n">
        <x:v>691.98</x:v>
      </x:c>
      <x:c r="O1267" s="4" t="n">
        <x:f>YEAR(C1267)</x:f>
        <x:v>2025</x:v>
      </x:c>
      <x:c r="P1267" s="4" t="str">
        <x:f>TEXT(C1267,"yyyy-mm")</x:f>
        <x:v>2025-08</x:v>
      </x:c>
      <x:c r="Q1267" s="4" t="str">
        <x:f>TEXT(C1267,"mmmm")</x:f>
        <x:v>August</x:v>
      </x:c>
    </x:row>
    <x:row r="1268" ht="20" customHeight="1">
      <x:c r="A1268" s="4" t="inlineStr">
        <x:is>
          <x:t xml:space="preserve">LINE-01279</x:t>
        </x:is>
      </x:c>
      <x:c r="B1268" s="4" t="inlineStr">
        <x:is>
          <x:t xml:space="preserve">ORD-2025-0796</x:t>
        </x:is>
      </x:c>
      <x:c r="C1268" s="17" t="n">
        <x:v>45713</x:v>
      </x:c>
      <x:c r="D1268" s="4" t="inlineStr">
        <x:is>
          <x:t xml:space="preserve">CUS-0326</x:t>
        </x:is>
      </x:c>
      <x:c r="E1268" s="4" t="inlineStr">
        <x:is>
          <x:t xml:space="preserve">USB-C Hub</x:t>
        </x:is>
      </x:c>
      <x:c r="F1268" s="4" t="inlineStr">
        <x:is>
          <x:t xml:space="preserve">Accessories</x:t>
        </x:is>
      </x:c>
      <x:c r="G1268" s="4" t="inlineStr">
        <x:is>
          <x:t xml:space="preserve">Boston</x:t>
        </x:is>
      </x:c>
      <x:c r="H1268" s="18" t="n">
        <x:v>4</x:v>
      </x:c>
      <x:c r="I1268" s="19" t="n">
        <x:v>63.94</x:v>
      </x:c>
      <x:c r="J1268" s="20" t="n">
        <x:v>0</x:v>
      </x:c>
      <x:c r="K1268" s="4" t="inlineStr">
        <x:is>
          <x:t xml:space="preserve">PayPal</x:t>
        </x:is>
      </x:c>
      <x:c r="L1268" s="19" t="n">
        <x:v>255.76</x:v>
      </x:c>
      <x:c r="M1268" s="19" t="n">
        <x:v>0</x:v>
      </x:c>
      <x:c r="N1268" s="19" t="n">
        <x:v>255.76</x:v>
      </x:c>
      <x:c r="O1268" s="4" t="n">
        <x:f>YEAR(C1268)</x:f>
        <x:v>2025</x:v>
      </x:c>
      <x:c r="P1268" s="4" t="str">
        <x:f>TEXT(C1268,"yyyy-mm")</x:f>
        <x:v>2025-02</x:v>
      </x:c>
      <x:c r="Q1268" s="4" t="str">
        <x:f>TEXT(C1268,"mmmm")</x:f>
        <x:v>February</x:v>
      </x:c>
    </x:row>
    <x:row r="1269" ht="20" customHeight="1">
      <x:c r="A1269" s="4" t="inlineStr">
        <x:is>
          <x:t xml:space="preserve">LINE-01280</x:t>
        </x:is>
      </x:c>
      <x:c r="B1269" s="4" t="inlineStr">
        <x:is>
          <x:t xml:space="preserve">ORD-2025-0796</x:t>
        </x:is>
      </x:c>
      <x:c r="C1269" s="17" t="n">
        <x:v>45713</x:v>
      </x:c>
      <x:c r="D1269" s="4" t="inlineStr">
        <x:is>
          <x:t xml:space="preserve">CUS-0326</x:t>
        </x:is>
      </x:c>
      <x:c r="E1269" s="4" t="inlineStr">
        <x:is>
          <x:t xml:space="preserve">Wireless Mouse</x:t>
        </x:is>
      </x:c>
      <x:c r="F1269" s="4" t="inlineStr">
        <x:is>
          <x:t xml:space="preserve">Accessories</x:t>
        </x:is>
      </x:c>
      <x:c r="G1269" s="4" t="inlineStr">
        <x:is>
          <x:t xml:space="preserve">Boston</x:t>
        </x:is>
      </x:c>
      <x:c r="H1269" s="18" t="n">
        <x:v>5</x:v>
      </x:c>
      <x:c r="I1269" s="19" t="n">
        <x:v>47.28</x:v>
      </x:c>
      <x:c r="J1269" s="20" t="n">
        <x:v>0</x:v>
      </x:c>
      <x:c r="K1269" s="4" t="inlineStr">
        <x:is>
          <x:t xml:space="preserve">PayPal</x:t>
        </x:is>
      </x:c>
      <x:c r="L1269" s="19" t="n">
        <x:v>236.4</x:v>
      </x:c>
      <x:c r="M1269" s="19" t="n">
        <x:v>0</x:v>
      </x:c>
      <x:c r="N1269" s="19" t="n">
        <x:v>236.4</x:v>
      </x:c>
      <x:c r="O1269" s="4" t="n">
        <x:f>YEAR(C1269)</x:f>
        <x:v>2025</x:v>
      </x:c>
      <x:c r="P1269" s="4" t="str">
        <x:f>TEXT(C1269,"yyyy-mm")</x:f>
        <x:v>2025-02</x:v>
      </x:c>
      <x:c r="Q1269" s="4" t="str">
        <x:f>TEXT(C1269,"mmmm")</x:f>
        <x:v>February</x:v>
      </x:c>
    </x:row>
    <x:row r="1270" ht="20" customHeight="1">
      <x:c r="A1270" s="4" t="inlineStr">
        <x:is>
          <x:t xml:space="preserve">LINE-01281</x:t>
        </x:is>
      </x:c>
      <x:c r="B1270" s="4" t="inlineStr">
        <x:is>
          <x:t xml:space="preserve">ORD-2025-0797</x:t>
        </x:is>
      </x:c>
      <x:c r="C1270" s="17" t="n">
        <x:v>45693</x:v>
      </x:c>
      <x:c r="D1270" s="4" t="inlineStr">
        <x:is>
          <x:t xml:space="preserve">CUS-0214</x:t>
        </x:is>
      </x:c>
      <x:c r="E1270" s="4" t="inlineStr">
        <x:is>
          <x:t xml:space="preserve">Desk Lamp</x:t>
        </x:is>
      </x:c>
      <x:c r="F1270" s="4" t="inlineStr">
        <x:is>
          <x:t xml:space="preserve">Furniture</x:t>
        </x:is>
      </x:c>
      <x:c r="G1270" s="4" t="inlineStr">
        <x:is>
          <x:t xml:space="preserve">Boston</x:t>
        </x:is>
      </x:c>
      <x:c r="H1270" s="18" t="n">
        <x:v>1</x:v>
      </x:c>
      <x:c r="I1270" s="19" t="n">
        <x:v>53.9</x:v>
      </x:c>
      <x:c r="J1270" s="20" t="n">
        <x:v>0.1</x:v>
      </x:c>
      <x:c r="K1270" s="4" t="inlineStr">
        <x:is>
          <x:t xml:space="preserve">Bank Transfer</x:t>
        </x:is>
      </x:c>
      <x:c r="L1270" s="19" t="n">
        <x:v>53.9</x:v>
      </x:c>
      <x:c r="M1270" s="19" t="n">
        <x:v>5.39</x:v>
      </x:c>
      <x:c r="N1270" s="19" t="n">
        <x:v>48.51</x:v>
      </x:c>
      <x:c r="O1270" s="4" t="n">
        <x:f>YEAR(C1270)</x:f>
        <x:v>2025</x:v>
      </x:c>
      <x:c r="P1270" s="4" t="str">
        <x:f>TEXT(C1270,"yyyy-mm")</x:f>
        <x:v>2025-02</x:v>
      </x:c>
      <x:c r="Q1270" s="4" t="str">
        <x:f>TEXT(C1270,"mmmm")</x:f>
        <x:v>February</x:v>
      </x:c>
    </x:row>
    <x:row r="1271" ht="20" customHeight="1">
      <x:c r="A1271" s="4" t="inlineStr">
        <x:is>
          <x:t xml:space="preserve">LINE-01282</x:t>
        </x:is>
      </x:c>
      <x:c r="B1271" s="4" t="inlineStr">
        <x:is>
          <x:t xml:space="preserve">ORD-2025-0797</x:t>
        </x:is>
      </x:c>
      <x:c r="C1271" s="17" t="n">
        <x:v>45693</x:v>
      </x:c>
      <x:c r="D1271" s="4" t="inlineStr">
        <x:is>
          <x:t xml:space="preserve">CUS-0214</x:t>
        </x:is>
      </x:c>
      <x:c r="E1271" s="4" t="inlineStr">
        <x:is>
          <x:t xml:space="preserve">Headphones</x:t>
        </x:is>
      </x:c>
      <x:c r="F1271" s="4" t="inlineStr">
        <x:is>
          <x:t xml:space="preserve">Audio</x:t>
        </x:is>
      </x:c>
      <x:c r="G1271" s="4" t="inlineStr">
        <x:is>
          <x:t xml:space="preserve">Boston</x:t>
        </x:is>
      </x:c>
      <x:c r="H1271" s="18" t="n">
        <x:v>1</x:v>
      </x:c>
      <x:c r="I1271" s="19" t="n">
        <x:v>123.39</x:v>
      </x:c>
      <x:c r="J1271" s="20" t="n">
        <x:v>0.15</x:v>
      </x:c>
      <x:c r="K1271" s="4" t="inlineStr">
        <x:is>
          <x:t xml:space="preserve">Bank Transfer</x:t>
        </x:is>
      </x:c>
      <x:c r="L1271" s="19" t="n">
        <x:v>123.39</x:v>
      </x:c>
      <x:c r="M1271" s="19" t="n">
        <x:v>18.51</x:v>
      </x:c>
      <x:c r="N1271" s="19" t="n">
        <x:v>104.88</x:v>
      </x:c>
      <x:c r="O1271" s="4" t="n">
        <x:f>YEAR(C1271)</x:f>
        <x:v>2025</x:v>
      </x:c>
      <x:c r="P1271" s="4" t="str">
        <x:f>TEXT(C1271,"yyyy-mm")</x:f>
        <x:v>2025-02</x:v>
      </x:c>
      <x:c r="Q1271" s="4" t="str">
        <x:f>TEXT(C1271,"mmmm")</x:f>
        <x:v>February</x:v>
      </x:c>
    </x:row>
    <x:row r="1272" ht="20" customHeight="1">
      <x:c r="A1272" s="4" t="inlineStr">
        <x:is>
          <x:t xml:space="preserve">LINE-01283</x:t>
        </x:is>
      </x:c>
      <x:c r="B1272" s="4" t="inlineStr">
        <x:is>
          <x:t xml:space="preserve">ORD-2025-0798</x:t>
        </x:is>
      </x:c>
      <x:c r="C1272" s="17" t="n">
        <x:v>45888</x:v>
      </x:c>
      <x:c r="D1272" s="4" t="inlineStr">
        <x:is>
          <x:t xml:space="preserve">CUS-0291</x:t>
        </x:is>
      </x:c>
      <x:c r="E1272" s="4" t="inlineStr">
        <x:is>
          <x:t xml:space="preserve">Desk Lamp</x:t>
        </x:is>
      </x:c>
      <x:c r="F1272" s="4" t="inlineStr">
        <x:is>
          <x:t xml:space="preserve">Furniture</x:t>
        </x:is>
      </x:c>
      <x:c r="G1272" s="4" t="inlineStr">
        <x:is>
          <x:t xml:space="preserve">Chicago</x:t>
        </x:is>
      </x:c>
      <x:c r="H1272" s="18" t="n">
        <x:v>1</x:v>
      </x:c>
      <x:c r="I1272" s="19" t="n">
        <x:v>57.28</x:v>
      </x:c>
      <x:c r="J1272" s="20" t="n">
        <x:v>0</x:v>
      </x:c>
      <x:c r="K1272" s="4" t="inlineStr">
        <x:is>
          <x:t xml:space="preserve">Debit Card</x:t>
        </x:is>
      </x:c>
      <x:c r="L1272" s="19" t="n">
        <x:v>57.28</x:v>
      </x:c>
      <x:c r="M1272" s="19" t="n">
        <x:v>0</x:v>
      </x:c>
      <x:c r="N1272" s="19" t="n">
        <x:v>57.28</x:v>
      </x:c>
      <x:c r="O1272" s="4" t="n">
        <x:f>YEAR(C1272)</x:f>
        <x:v>2025</x:v>
      </x:c>
      <x:c r="P1272" s="4" t="str">
        <x:f>TEXT(C1272,"yyyy-mm")</x:f>
        <x:v>2025-08</x:v>
      </x:c>
      <x:c r="Q1272" s="4" t="str">
        <x:f>TEXT(C1272,"mmmm")</x:f>
        <x:v>August</x:v>
      </x:c>
    </x:row>
    <x:row r="1273" ht="20" customHeight="1">
      <x:c r="A1273" s="4" t="inlineStr">
        <x:is>
          <x:t xml:space="preserve">LINE-01284</x:t>
        </x:is>
      </x:c>
      <x:c r="B1273" s="4" t="inlineStr">
        <x:is>
          <x:t xml:space="preserve">ORD-2025-0799</x:t>
        </x:is>
      </x:c>
      <x:c r="C1273" s="17" t="n">
        <x:v>45867</x:v>
      </x:c>
      <x:c r="D1273" s="4" t="inlineStr">
        <x:is>
          <x:t xml:space="preserve">CUS-0226</x:t>
        </x:is>
      </x:c>
      <x:c r="E1273" s="4" t="inlineStr">
        <x:is>
          <x:t xml:space="preserve">Keyboard</x:t>
        </x:is>
      </x:c>
      <x:c r="F1273" s="4" t="inlineStr">
        <x:is>
          <x:t xml:space="preserve">Accessories</x:t>
        </x:is>
      </x:c>
      <x:c r="G1273" s="4" t="inlineStr">
        <x:is>
          <x:t xml:space="preserve">San Francisco</x:t>
        </x:is>
      </x:c>
      <x:c r="H1273" s="18" t="n">
        <x:v>1</x:v>
      </x:c>
      <x:c r="I1273" s="19" t="n">
        <x:v>70.5</x:v>
      </x:c>
      <x:c r="J1273" s="20" t="n">
        <x:v>0</x:v>
      </x:c>
      <x:c r="K1273" s="4" t="inlineStr">
        <x:is>
          <x:t xml:space="preserve">Credit Card</x:t>
        </x:is>
      </x:c>
      <x:c r="L1273" s="19" t="n">
        <x:v>70.5</x:v>
      </x:c>
      <x:c r="M1273" s="19" t="n">
        <x:v>0</x:v>
      </x:c>
      <x:c r="N1273" s="19" t="n">
        <x:v>70.5</x:v>
      </x:c>
      <x:c r="O1273" s="4" t="n">
        <x:f>YEAR(C1273)</x:f>
        <x:v>2025</x:v>
      </x:c>
      <x:c r="P1273" s="4" t="str">
        <x:f>TEXT(C1273,"yyyy-mm")</x:f>
        <x:v>2025-07</x:v>
      </x:c>
      <x:c r="Q1273" s="4" t="str">
        <x:f>TEXT(C1273,"mmmm")</x:f>
        <x:v>July</x:v>
      </x:c>
    </x:row>
    <x:row r="1274" ht="20" customHeight="1">
      <x:c r="A1274" s="4" t="inlineStr">
        <x:is>
          <x:t xml:space="preserve">LINE-01285</x:t>
        </x:is>
      </x:c>
      <x:c r="B1274" s="4" t="inlineStr">
        <x:is>
          <x:t xml:space="preserve">ORD-2025-0799</x:t>
        </x:is>
      </x:c>
      <x:c r="C1274" s="17" t="n">
        <x:v>45867</x:v>
      </x:c>
      <x:c r="D1274" s="4" t="inlineStr">
        <x:is>
          <x:t xml:space="preserve">CUS-0226</x:t>
        </x:is>
      </x:c>
      <x:c r="E1274" s="4" t="inlineStr">
        <x:is>
          <x:t xml:space="preserve">Monitor</x:t>
        </x:is>
      </x:c>
      <x:c r="F1274" s="4" t="inlineStr">
        <x:is>
          <x:t xml:space="preserve">Computers</x:t>
        </x:is>
      </x:c>
      <x:c r="G1274" s="4" t="inlineStr">
        <x:is>
          <x:t xml:space="preserve">San Francisco</x:t>
        </x:is>
      </x:c>
      <x:c r="H1274" s="18" t="n">
        <x:v>1</x:v>
      </x:c>
      <x:c r="I1274" s="19" t="n">
        <x:v>268.12</x:v>
      </x:c>
      <x:c r="J1274" s="20" t="n">
        <x:v>0.05</x:v>
      </x:c>
      <x:c r="K1274" s="4" t="inlineStr">
        <x:is>
          <x:t xml:space="preserve">Credit Card</x:t>
        </x:is>
      </x:c>
      <x:c r="L1274" s="19" t="n">
        <x:v>268.12</x:v>
      </x:c>
      <x:c r="M1274" s="19" t="n">
        <x:v>13.41</x:v>
      </x:c>
      <x:c r="N1274" s="19" t="n">
        <x:v>254.71</x:v>
      </x:c>
      <x:c r="O1274" s="4" t="n">
        <x:f>YEAR(C1274)</x:f>
        <x:v>2025</x:v>
      </x:c>
      <x:c r="P1274" s="4" t="str">
        <x:f>TEXT(C1274,"yyyy-mm")</x:f>
        <x:v>2025-07</x:v>
      </x:c>
      <x:c r="Q1274" s="4" t="str">
        <x:f>TEXT(C1274,"mmmm")</x:f>
        <x:v>July</x:v>
      </x:c>
    </x:row>
    <x:row r="1275" ht="20" customHeight="1">
      <x:c r="A1275" s="4" t="inlineStr">
        <x:is>
          <x:t xml:space="preserve">LINE-01286</x:t>
        </x:is>
      </x:c>
      <x:c r="B1275" s="4" t="inlineStr">
        <x:is>
          <x:t xml:space="preserve">ORD-2025-0799</x:t>
        </x:is>
      </x:c>
      <x:c r="C1275" s="17" t="n">
        <x:v>45867</x:v>
      </x:c>
      <x:c r="D1275" s="4" t="inlineStr">
        <x:is>
          <x:t xml:space="preserve">CUS-0226</x:t>
        </x:is>
      </x:c>
      <x:c r="E1275" s="4" t="inlineStr">
        <x:is>
          <x:t xml:space="preserve">USB-C Hub</x:t>
        </x:is>
      </x:c>
      <x:c r="F1275" s="4" t="inlineStr">
        <x:is>
          <x:t xml:space="preserve">Accessories</x:t>
        </x:is>
      </x:c>
      <x:c r="G1275" s="4" t="inlineStr">
        <x:is>
          <x:t xml:space="preserve">San Francisco</x:t>
        </x:is>
      </x:c>
      <x:c r="H1275" s="18" t="n">
        <x:v>3</x:v>
      </x:c>
      <x:c r="I1275" s="19" t="n">
        <x:v>59.9</x:v>
      </x:c>
      <x:c r="J1275" s="20" t="n">
        <x:v>0</x:v>
      </x:c>
      <x:c r="K1275" s="4" t="inlineStr">
        <x:is>
          <x:t xml:space="preserve">Credit Card</x:t>
        </x:is>
      </x:c>
      <x:c r="L1275" s="19" t="n">
        <x:v>179.7</x:v>
      </x:c>
      <x:c r="M1275" s="19" t="n">
        <x:v>0</x:v>
      </x:c>
      <x:c r="N1275" s="19" t="n">
        <x:v>179.7</x:v>
      </x:c>
      <x:c r="O1275" s="4" t="n">
        <x:f>YEAR(C1275)</x:f>
        <x:v>2025</x:v>
      </x:c>
      <x:c r="P1275" s="4" t="str">
        <x:f>TEXT(C1275,"yyyy-mm")</x:f>
        <x:v>2025-07</x:v>
      </x:c>
      <x:c r="Q1275" s="4" t="str">
        <x:f>TEXT(C1275,"mmmm")</x:f>
        <x:v>July</x:v>
      </x:c>
    </x:row>
    <x:row r="1276" ht="20" customHeight="1">
      <x:c r="A1276" s="4" t="inlineStr">
        <x:is>
          <x:t xml:space="preserve">LINE-01287</x:t>
        </x:is>
      </x:c>
      <x:c r="B1276" s="4" t="inlineStr">
        <x:is>
          <x:t xml:space="preserve">ORD-2025-0800</x:t>
        </x:is>
      </x:c>
      <x:c r="C1276" s="17" t="n">
        <x:v>45661</x:v>
      </x:c>
      <x:c r="D1276" s="4" t="inlineStr">
        <x:is>
          <x:t xml:space="preserve">CUS-0341</x:t>
        </x:is>
      </x:c>
      <x:c r="E1276" s="4" t="inlineStr">
        <x:is>
          <x:t xml:space="preserve">External SSD</x:t>
        </x:is>
      </x:c>
      <x:c r="F1276" s="4" t="inlineStr">
        <x:is>
          <x:t xml:space="preserve">Storage</x:t>
        </x:is>
      </x:c>
      <x:c r="G1276" s="4" t="inlineStr">
        <x:is>
          <x:t xml:space="preserve">Boston</x:t>
        </x:is>
      </x:c>
      <x:c r="H1276" s="18" t="n">
        <x:v>3</x:v>
      </x:c>
      <x:c r="I1276" s="19" t="n">
        <x:v>147.02</x:v>
      </x:c>
      <x:c r="J1276" s="20" t="n">
        <x:v>0.05</x:v>
      </x:c>
      <x:c r="K1276" s="4" t="inlineStr">
        <x:is>
          <x:t xml:space="preserve">Credit Card</x:t>
        </x:is>
      </x:c>
      <x:c r="L1276" s="19" t="n">
        <x:v>441.06</x:v>
      </x:c>
      <x:c r="M1276" s="19" t="n">
        <x:v>22.05</x:v>
      </x:c>
      <x:c r="N1276" s="19" t="n">
        <x:v>419.01</x:v>
      </x:c>
      <x:c r="O1276" s="4" t="n">
        <x:f>YEAR(C1276)</x:f>
        <x:v>2025</x:v>
      </x:c>
      <x:c r="P1276" s="4" t="str">
        <x:f>TEXT(C1276,"yyyy-mm")</x:f>
        <x:v>2025-01</x:v>
      </x:c>
      <x:c r="Q1276" s="4" t="str">
        <x:f>TEXT(C1276,"mmmm")</x:f>
        <x:v>January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7" hidden="0" customWidth="1"/>
  </x:cols>
  <x:sheetData>
    <x:row r="1" ht="34" customHeight="1">
      <x:c r="A1" s="14" t="inlineStr">
        <x:is>
          <x:t xml:space="preserve">Month</x:t>
        </x:is>
      </x:c>
      <x:c r="B1" s="15" t="inlineStr">
        <x:is>
          <x:t xml:space="preserve">Units_Sold</x:t>
        </x:is>
      </x:c>
      <x:c r="C1" s="15" t="inlineStr">
        <x:is>
          <x:t xml:space="preserve">Orders</x:t>
        </x:is>
      </x:c>
      <x:c r="D1" s="15" t="inlineStr">
        <x:is>
          <x:t xml:space="preserve">Gross_Sales_USD</x:t>
        </x:is>
      </x:c>
      <x:c r="E1" s="15" t="inlineStr">
        <x:is>
          <x:t xml:space="preserve">Discount_Amount_USD</x:t>
        </x:is>
      </x:c>
      <x:c r="F1" s="15" t="inlineStr">
        <x:is>
          <x:t xml:space="preserve">Net_Revenue_USD</x:t>
        </x:is>
      </x:c>
      <x:c r="G1" s="15" t="inlineStr">
        <x:is>
          <x:t xml:space="preserve">Average_Order_Value_USD</x:t>
        </x:is>
      </x:c>
      <x:c r="H1" s="16" t="inlineStr">
        <x:is>
          <x:t xml:space="preserve">Revenue_Share_Pct</x:t>
        </x:is>
      </x:c>
    </x:row>
    <x:row r="2" ht="20" customHeight="1">
      <x:c r="A2" s="4" t="inlineStr">
        <x:is>
          <x:t xml:space="preserve">2025-01</x:t>
        </x:is>
      </x:c>
      <x:c r="B2" s="18" t="n">
        <x:f>SUMIF('Cleaned_Data'!$P$2:$P$1276,A2,'Cleaned_Data'!$H$2:$H$1276)</x:f>
        <x:v>210</x:v>
      </x:c>
      <x:c r="C2" s="18" t="n">
        <x:v>62</x:v>
      </x:c>
      <x:c r="D2" s="19" t="n">
        <x:f>SUMIF('Cleaned_Data'!$P$2:$P$1276,A2,'Cleaned_Data'!$L$2:$L$1276)</x:f>
        <x:v>45869.34000000001</x:v>
      </x:c>
      <x:c r="E2" s="19" t="n">
        <x:f>SUMIF('Cleaned_Data'!$P$2:$P$1276,A2,'Cleaned_Data'!$M$2:$M$1276)</x:f>
        <x:v>2758.149999999999</x:v>
      </x:c>
      <x:c r="F2" s="19" t="n">
        <x:f>SUMIF('Cleaned_Data'!$P$2:$P$1276,A2,'Cleaned_Data'!$N$2:$N$1276)</x:f>
        <x:v>43111.19000000001</x:v>
      </x:c>
      <x:c r="G2" s="19" t="n">
        <x:f>F2/C2</x:f>
        <x:v>695.3417741935485</x:v>
      </x:c>
      <x:c r="H2" s="20" t="n">
        <x:f>F2/SUM($F$2:$F$13)</x:f>
        <x:v>0.10037712678207851</x:v>
      </x:c>
    </x:row>
    <x:row r="3" ht="20" customHeight="1">
      <x:c r="A3" s="4" t="inlineStr">
        <x:is>
          <x:t xml:space="preserve">2025-02</x:t>
        </x:is>
      </x:c>
      <x:c r="B3" s="18" t="n">
        <x:f>SUMIF('Cleaned_Data'!$P$2:$P$1276,A3,'Cleaned_Data'!$H$2:$H$1276)</x:f>
        <x:v>220</x:v>
      </x:c>
      <x:c r="C3" s="18" t="n">
        <x:v>70</x:v>
      </x:c>
      <x:c r="D3" s="19" t="n">
        <x:f>SUMIF('Cleaned_Data'!$P$2:$P$1276,A3,'Cleaned_Data'!$L$2:$L$1276)</x:f>
        <x:v>33181.6</x:v>
      </x:c>
      <x:c r="E3" s="19" t="n">
        <x:f>SUMIF('Cleaned_Data'!$P$2:$P$1276,A3,'Cleaned_Data'!$M$2:$M$1276)</x:f>
        <x:v>1772.3600000000001</x:v>
      </x:c>
      <x:c r="F3" s="19" t="n">
        <x:f>SUMIF('Cleaned_Data'!$P$2:$P$1276,A3,'Cleaned_Data'!$N$2:$N$1276)</x:f>
        <x:v>31409.239999999994</x:v>
      </x:c>
      <x:c r="G3" s="19" t="n">
        <x:f>F3/C3</x:f>
        <x:v>448.7034285714285</x:v>
      </x:c>
      <x:c r="H3" s="20" t="n">
        <x:f>F3/SUM($F$2:$F$13)</x:f>
        <x:v>0.07313111202935317</x:v>
      </x:c>
    </x:row>
    <x:row r="4" ht="20" customHeight="1">
      <x:c r="A4" s="4" t="inlineStr">
        <x:is>
          <x:t xml:space="preserve">2025-03</x:t>
        </x:is>
      </x:c>
      <x:c r="B4" s="18" t="n">
        <x:f>SUMIF('Cleaned_Data'!$P$2:$P$1276,A4,'Cleaned_Data'!$H$2:$H$1276)</x:f>
        <x:v>215</x:v>
      </x:c>
      <x:c r="C4" s="18" t="n">
        <x:v>59</x:v>
      </x:c>
      <x:c r="D4" s="19" t="n">
        <x:f>SUMIF('Cleaned_Data'!$P$2:$P$1276,A4,'Cleaned_Data'!$L$2:$L$1276)</x:f>
        <x:v>40323.32000000001</x:v>
      </x:c>
      <x:c r="E4" s="19" t="n">
        <x:f>SUMIF('Cleaned_Data'!$P$2:$P$1276,A4,'Cleaned_Data'!$M$2:$M$1276)</x:f>
        <x:v>2268.080000000001</x:v>
      </x:c>
      <x:c r="F4" s="19" t="n">
        <x:f>SUMIF('Cleaned_Data'!$P$2:$P$1276,A4,'Cleaned_Data'!$N$2:$N$1276)</x:f>
        <x:v>38055.24</x:v>
      </x:c>
      <x:c r="G4" s="19" t="n">
        <x:f>F4/C4</x:f>
        <x:v>645.0040677966101</x:v>
      </x:c>
      <x:c r="H4" s="20" t="n">
        <x:f>F4/SUM($F$2:$F$13)</x:f>
        <x:v>0.08860520088177627</x:v>
      </x:c>
    </x:row>
    <x:row r="5" ht="20" customHeight="1">
      <x:c r="A5" s="4" t="inlineStr">
        <x:is>
          <x:t xml:space="preserve">2025-04</x:t>
        </x:is>
      </x:c>
      <x:c r="B5" s="18" t="n">
        <x:f>SUMIF('Cleaned_Data'!$P$2:$P$1276,A5,'Cleaned_Data'!$H$2:$H$1276)</x:f>
        <x:v>201</x:v>
      </x:c>
      <x:c r="C5" s="18" t="n">
        <x:v>60</x:v>
      </x:c>
      <x:c r="D5" s="19" t="n">
        <x:f>SUMIF('Cleaned_Data'!$P$2:$P$1276,A5,'Cleaned_Data'!$L$2:$L$1276)</x:f>
        <x:v>34002.16000000001</x:v>
      </x:c>
      <x:c r="E5" s="19" t="n">
        <x:f>SUMIF('Cleaned_Data'!$P$2:$P$1276,A5,'Cleaned_Data'!$M$2:$M$1276)</x:f>
        <x:v>1920.03</x:v>
      </x:c>
      <x:c r="F5" s="19" t="n">
        <x:f>SUMIF('Cleaned_Data'!$P$2:$P$1276,A5,'Cleaned_Data'!$N$2:$N$1276)</x:f>
        <x:v>32082.13000000001</x:v>
      </x:c>
      <x:c r="G5" s="19" t="n">
        <x:f>F5/C5</x:f>
        <x:v>534.7021666666668</x:v>
      </x:c>
      <x:c r="H5" s="20" t="n">
        <x:f>F5/SUM($F$2:$F$13)</x:f>
        <x:v>0.07469782277986585</x:v>
      </x:c>
    </x:row>
    <x:row r="6" ht="20" customHeight="1">
      <x:c r="A6" s="4" t="inlineStr">
        <x:is>
          <x:t xml:space="preserve">2025-05</x:t>
        </x:is>
      </x:c>
      <x:c r="B6" s="18" t="n">
        <x:f>SUMIF('Cleaned_Data'!$P$2:$P$1276,A6,'Cleaned_Data'!$H$2:$H$1276)</x:f>
        <x:v>206</x:v>
      </x:c>
      <x:c r="C6" s="18" t="n">
        <x:v>64</x:v>
      </x:c>
      <x:c r="D6" s="19" t="n">
        <x:f>SUMIF('Cleaned_Data'!$P$2:$P$1276,A6,'Cleaned_Data'!$L$2:$L$1276)</x:f>
        <x:v>29107.870000000006</x:v>
      </x:c>
      <x:c r="E6" s="19" t="n">
        <x:f>SUMIF('Cleaned_Data'!$P$2:$P$1276,A6,'Cleaned_Data'!$M$2:$M$1276)</x:f>
        <x:v>1287.63</x:v>
      </x:c>
      <x:c r="F6" s="19" t="n">
        <x:f>SUMIF('Cleaned_Data'!$P$2:$P$1276,A6,'Cleaned_Data'!$N$2:$N$1276)</x:f>
        <x:v>27820.240000000005</x:v>
      </x:c>
      <x:c r="G6" s="19" t="n">
        <x:f>F6/C6</x:f>
        <x:v>434.6912500000001</x:v>
      </x:c>
      <x:c r="H6" s="20" t="n">
        <x:f>F6/SUM($F$2:$F$13)</x:f>
        <x:v>0.06477473151606003</x:v>
      </x:c>
    </x:row>
    <x:row r="7" ht="20" customHeight="1">
      <x:c r="A7" s="4" t="inlineStr">
        <x:is>
          <x:t xml:space="preserve">2025-06</x:t>
        </x:is>
      </x:c>
      <x:c r="B7" s="18" t="n">
        <x:f>SUMIF('Cleaned_Data'!$P$2:$P$1276,A7,'Cleaned_Data'!$H$2:$H$1276)</x:f>
        <x:v>174</x:v>
      </x:c>
      <x:c r="C7" s="18" t="n">
        <x:v>56</x:v>
      </x:c>
      <x:c r="D7" s="19" t="n">
        <x:f>SUMIF('Cleaned_Data'!$P$2:$P$1276,A7,'Cleaned_Data'!$L$2:$L$1276)</x:f>
        <x:v>25255.959999999995</x:v>
      </x:c>
      <x:c r="E7" s="19" t="n">
        <x:f>SUMIF('Cleaned_Data'!$P$2:$P$1276,A7,'Cleaned_Data'!$M$2:$M$1276)</x:f>
        <x:v>1432.7199999999993</x:v>
      </x:c>
      <x:c r="F7" s="19" t="n">
        <x:f>SUMIF('Cleaned_Data'!$P$2:$P$1276,A7,'Cleaned_Data'!$N$2:$N$1276)</x:f>
        <x:v>23823.239999999994</x:v>
      </x:c>
      <x:c r="G7" s="19" t="n">
        <x:f>F7/C7</x:f>
        <x:v>425.4149999999999</x:v>
      </x:c>
      <x:c r="H7" s="20" t="n">
        <x:f>F7/SUM($F$2:$F$13)</x:f>
        <x:v>0.05546839189175439</x:v>
      </x:c>
    </x:row>
    <x:row r="8" ht="20" customHeight="1">
      <x:c r="A8" s="4" t="inlineStr">
        <x:is>
          <x:t xml:space="preserve">2025-07</x:t>
        </x:is>
      </x:c>
      <x:c r="B8" s="18" t="n">
        <x:f>SUMIF('Cleaned_Data'!$P$2:$P$1276,A8,'Cleaned_Data'!$H$2:$H$1276)</x:f>
        <x:v>276</x:v>
      </x:c>
      <x:c r="C8" s="18" t="n">
        <x:v>71</x:v>
      </x:c>
      <x:c r="D8" s="19" t="n">
        <x:f>SUMIF('Cleaned_Data'!$P$2:$P$1276,A8,'Cleaned_Data'!$L$2:$L$1276)</x:f>
        <x:v>45004.50000000001</x:v>
      </x:c>
      <x:c r="E8" s="19" t="n">
        <x:f>SUMIF('Cleaned_Data'!$P$2:$P$1276,A8,'Cleaned_Data'!$M$2:$M$1276)</x:f>
        <x:v>1992.3499999999995</x:v>
      </x:c>
      <x:c r="F8" s="19" t="n">
        <x:f>SUMIF('Cleaned_Data'!$P$2:$P$1276,A8,'Cleaned_Data'!$N$2:$N$1276)</x:f>
        <x:v>43012.149999999994</x:v>
      </x:c>
      <x:c r="G8" s="19" t="n">
        <x:f>F8/C8</x:f>
        <x:v>605.8049295774647</x:v>
      </x:c>
      <x:c r="H8" s="20" t="n">
        <x:f>F8/SUM($F$2:$F$13)</x:f>
        <x:v>0.10014652886454252</x:v>
      </x:c>
    </x:row>
    <x:row r="9" ht="20" customHeight="1">
      <x:c r="A9" s="4" t="inlineStr">
        <x:is>
          <x:t xml:space="preserve">2025-08</x:t>
        </x:is>
      </x:c>
      <x:c r="B9" s="18" t="n">
        <x:f>SUMIF('Cleaned_Data'!$P$2:$P$1276,A9,'Cleaned_Data'!$H$2:$H$1276)</x:f>
        <x:v>259</x:v>
      </x:c>
      <x:c r="C9" s="18" t="n">
        <x:v>73</x:v>
      </x:c>
      <x:c r="D9" s="19" t="n">
        <x:f>SUMIF('Cleaned_Data'!$P$2:$P$1276,A9,'Cleaned_Data'!$L$2:$L$1276)</x:f>
        <x:v>48455.94999999998</x:v>
      </x:c>
      <x:c r="E9" s="19" t="n">
        <x:f>SUMIF('Cleaned_Data'!$P$2:$P$1276,A9,'Cleaned_Data'!$M$2:$M$1276)</x:f>
        <x:v>2858.9999999999995</x:v>
      </x:c>
      <x:c r="F9" s="19" t="n">
        <x:f>SUMIF('Cleaned_Data'!$P$2:$P$1276,A9,'Cleaned_Data'!$N$2:$N$1276)</x:f>
        <x:v>45596.949999999975</x:v>
      </x:c>
      <x:c r="G9" s="19" t="n">
        <x:f>F9/C9</x:f>
        <x:v>624.6157534246572</x:v>
      </x:c>
      <x:c r="H9" s="20" t="n">
        <x:f>F9/SUM($F$2:$F$13)</x:f>
        <x:v>0.10616479923254477</x:v>
      </x:c>
    </x:row>
    <x:row r="10" ht="20" customHeight="1">
      <x:c r="A10" s="4" t="inlineStr">
        <x:is>
          <x:t xml:space="preserve">2025-09</x:t>
        </x:is>
      </x:c>
      <x:c r="B10" s="18" t="n">
        <x:f>SUMIF('Cleaned_Data'!$P$2:$P$1276,A10,'Cleaned_Data'!$H$2:$H$1276)</x:f>
        <x:v>203</x:v>
      </x:c>
      <x:c r="C10" s="18" t="n">
        <x:v>60</x:v>
      </x:c>
      <x:c r="D10" s="19" t="n">
        <x:f>SUMIF('Cleaned_Data'!$P$2:$P$1276,A10,'Cleaned_Data'!$L$2:$L$1276)</x:f>
        <x:v>29686.85999999999</x:v>
      </x:c>
      <x:c r="E10" s="19" t="n">
        <x:f>SUMIF('Cleaned_Data'!$P$2:$P$1276,A10,'Cleaned_Data'!$M$2:$M$1276)</x:f>
        <x:v>2121.5799999999995</x:v>
      </x:c>
      <x:c r="F10" s="19" t="n">
        <x:f>SUMIF('Cleaned_Data'!$P$2:$P$1276,A10,'Cleaned_Data'!$N$2:$N$1276)</x:f>
        <x:v>27565.279999999988</x:v>
      </x:c>
      <x:c r="G10" s="19" t="n">
        <x:f>F10/C10</x:f>
        <x:v>459.4213333333331</x:v>
      </x:c>
      <x:c r="H10" s="20" t="n">
        <x:f>F10/SUM($F$2:$F$13)</x:f>
        <x:v>0.06418110020492339</x:v>
      </x:c>
    </x:row>
    <x:row r="11" ht="20" customHeight="1">
      <x:c r="A11" s="4" t="inlineStr">
        <x:is>
          <x:t xml:space="preserve">2025-10</x:t>
        </x:is>
      </x:c>
      <x:c r="B11" s="18" t="n">
        <x:f>SUMIF('Cleaned_Data'!$P$2:$P$1276,A11,'Cleaned_Data'!$H$2:$H$1276)</x:f>
        <x:v>228</x:v>
      </x:c>
      <x:c r="C11" s="18" t="n">
        <x:v>66</x:v>
      </x:c>
      <x:c r="D11" s="19" t="n">
        <x:f>SUMIF('Cleaned_Data'!$P$2:$P$1276,A11,'Cleaned_Data'!$L$2:$L$1276)</x:f>
        <x:v>29359.74999999999</x:v>
      </x:c>
      <x:c r="E11" s="19" t="n">
        <x:f>SUMIF('Cleaned_Data'!$P$2:$P$1276,A11,'Cleaned_Data'!$M$2:$M$1276)</x:f>
        <x:v>1476.78</x:v>
      </x:c>
      <x:c r="F11" s="19" t="n">
        <x:f>SUMIF('Cleaned_Data'!$P$2:$P$1276,A11,'Cleaned_Data'!$N$2:$N$1276)</x:f>
        <x:v>27882.969999999994</x:v>
      </x:c>
      <x:c r="G11" s="19" t="n">
        <x:f>F11/C11</x:f>
        <x:v>422.46924242424234</x:v>
      </x:c>
      <x:c r="H11" s="20" t="n">
        <x:f>F11/SUM($F$2:$F$13)</x:f>
        <x:v>0.06492078772937816</x:v>
      </x:c>
    </x:row>
    <x:row r="12" ht="20" customHeight="1">
      <x:c r="A12" s="4" t="inlineStr">
        <x:is>
          <x:t xml:space="preserve">2025-11</x:t>
        </x:is>
      </x:c>
      <x:c r="B12" s="18" t="n">
        <x:f>SUMIF('Cleaned_Data'!$P$2:$P$1276,A12,'Cleaned_Data'!$H$2:$H$1276)</x:f>
        <x:v>243</x:v>
      </x:c>
      <x:c r="C12" s="18" t="n">
        <x:v>73</x:v>
      </x:c>
      <x:c r="D12" s="19" t="n">
        <x:f>SUMIF('Cleaned_Data'!$P$2:$P$1276,A12,'Cleaned_Data'!$L$2:$L$1276)</x:f>
        <x:v>47801.36999999999</x:v>
      </x:c>
      <x:c r="E12" s="19" t="n">
        <x:f>SUMIF('Cleaned_Data'!$P$2:$P$1276,A12,'Cleaned_Data'!$M$2:$M$1276)</x:f>
        <x:v>2242.860000000001</x:v>
      </x:c>
      <x:c r="F12" s="19" t="n">
        <x:f>SUMIF('Cleaned_Data'!$P$2:$P$1276,A12,'Cleaned_Data'!$N$2:$N$1276)</x:f>
        <x:v>45558.51000000001</x:v>
      </x:c>
      <x:c r="G12" s="19" t="n">
        <x:f>F12/C12</x:f>
        <x:v>624.0891780821919</x:v>
      </x:c>
      <x:c r="H12" s="20" t="n">
        <x:f>F12/SUM($F$2:$F$13)</x:f>
        <x:v>0.10607529818296808</x:v>
      </x:c>
    </x:row>
    <x:row r="13" ht="20" customHeight="1">
      <x:c r="A13" s="4" t="inlineStr">
        <x:is>
          <x:t xml:space="preserve">2025-12</x:t>
        </x:is>
      </x:c>
      <x:c r="B13" s="18" t="n">
        <x:f>SUMIF('Cleaned_Data'!$P$2:$P$1276,A13,'Cleaned_Data'!$H$2:$H$1276)</x:f>
        <x:v>268</x:v>
      </x:c>
      <x:c r="C13" s="18" t="n">
        <x:v>83</x:v>
      </x:c>
      <x:c r="D13" s="19" t="n">
        <x:f>SUMIF('Cleaned_Data'!$P$2:$P$1276,A13,'Cleaned_Data'!$L$2:$L$1276)</x:f>
        <x:v>45310.53999999999</x:v>
      </x:c>
      <x:c r="E13" s="19" t="n">
        <x:f>SUMIF('Cleaned_Data'!$P$2:$P$1276,A13,'Cleaned_Data'!$M$2:$M$1276)</x:f>
        <x:v>1735.5100000000002</x:v>
      </x:c>
      <x:c r="F13" s="19" t="n">
        <x:f>SUMIF('Cleaned_Data'!$P$2:$P$1276,A13,'Cleaned_Data'!$N$2:$N$1276)</x:f>
        <x:v>43575.029999999984</x:v>
      </x:c>
      <x:c r="G13" s="19" t="n">
        <x:f>F13/C13</x:f>
        <x:v>525.0003614457829</x:v>
      </x:c>
      <x:c r="H13" s="20" t="n">
        <x:f>F13/SUM($F$2:$F$13)</x:f>
        <x:v>0.10145709990475493</x:v>
      </x:c>
    </x:row>
  </x:sheetData>
  <x:conditionalFormatting sqref="F2:F13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{A5F0FF6C-371C-91BD-2212-5A8F80DBACEA}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5F0FF6C-371C-91BD-2212-5A8F80DBACEA}">
            <x14:dataBar gradient="1">
              <x14:cfvo type="min"/>
              <x14:cfvo type="max"/>
              <x14:fillColor rgb="FF14B8A6"/>
            </x14:dataBar>
          </x14:cfRule>
          <xm:sqref>F2:F13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hidden="0" customWidth="1"/>
    <x:col min="2" max="2" width="16" hidden="0" customWidth="1"/>
    <x:col min="3" max="3" width="12" hidden="0" customWidth="1"/>
    <x:col min="4" max="4" width="12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17" hidden="0" customWidth="1"/>
  </x:cols>
  <x:sheetData>
    <x:row r="1" ht="34" customHeight="1">
      <x:c r="A1" s="14" t="inlineStr">
        <x:is>
          <x:t xml:space="preserve">Product</x:t>
        </x:is>
      </x:c>
      <x:c r="B1" s="15" t="inlineStr">
        <x:is>
          <x:t xml:space="preserve">Category</x:t>
        </x:is>
      </x:c>
      <x:c r="C1" s="15" t="inlineStr">
        <x:is>
          <x:t xml:space="preserve">Units_Sold</x:t>
        </x:is>
      </x:c>
      <x:c r="D1" s="15" t="inlineStr">
        <x:is>
          <x:t xml:space="preserve">Orders</x:t>
        </x:is>
      </x:c>
      <x:c r="E1" s="15" t="inlineStr">
        <x:is>
          <x:t xml:space="preserve">Gross_Sales_USD</x:t>
        </x:is>
      </x:c>
      <x:c r="F1" s="15" t="inlineStr">
        <x:is>
          <x:t xml:space="preserve">Discount_Amount_USD</x:t>
        </x:is>
      </x:c>
      <x:c r="G1" s="15" t="inlineStr">
        <x:is>
          <x:t xml:space="preserve">Net_Revenue_USD</x:t>
        </x:is>
      </x:c>
      <x:c r="H1" s="15" t="inlineStr">
        <x:is>
          <x:t xml:space="preserve">Average_Order_Value_USD</x:t>
        </x:is>
      </x:c>
      <x:c r="I1" s="16" t="inlineStr">
        <x:is>
          <x:t xml:space="preserve">Revenue_Share_Pct</x:t>
        </x:is>
      </x:c>
    </x:row>
    <x:row r="2" ht="20" customHeight="1">
      <x:c r="A2" s="4" t="inlineStr">
        <x:is>
          <x:t xml:space="preserve">Laptop</x:t>
        </x:is>
      </x:c>
      <x:c r="B2" s="4" t="inlineStr">
        <x:is>
          <x:t xml:space="preserve">Computers</x:t>
        </x:is>
      </x:c>
      <x:c r="C2" s="18" t="n">
        <x:f>SUMIF('Cleaned_Data'!$E$2:$E$1276,A2,'Cleaned_Data'!$H$2:$H$1276)</x:f>
        <x:v>175</x:v>
      </x:c>
      <x:c r="D2" s="18" t="n">
        <x:v>87</x:v>
      </x:c>
      <x:c r="E2" s="19" t="n">
        <x:f>SUMIF('Cleaned_Data'!$E$2:$E$1276,A2,'Cleaned_Data'!$L$2:$L$1276)</x:f>
        <x:v>167212.43999999994</x:v>
      </x:c>
      <x:c r="F2" s="19" t="n">
        <x:f>SUMIF('Cleaned_Data'!$E$2:$E$1276,A2,'Cleaned_Data'!$M$2:$M$1276)</x:f>
        <x:v>9074.460000000001</x:v>
      </x:c>
      <x:c r="G2" s="19" t="n">
        <x:f>SUMIF('Cleaned_Data'!$E$2:$E$1276,A2,'Cleaned_Data'!$N$2:$N$1276)</x:f>
        <x:v>158137.97999999998</x:v>
      </x:c>
      <x:c r="H2" s="19" t="n">
        <x:f>G2/D2</x:f>
        <x:v>1817.6779310344825</x:v>
      </x:c>
      <x:c r="I2" s="20" t="n">
        <x:f>G2/SUM($G$2:$G$13)</x:f>
        <x:v>0.3681975855345628</x:v>
      </x:c>
    </x:row>
    <x:row r="3" ht="20" customHeight="1">
      <x:c r="A3" s="4" t="inlineStr">
        <x:is>
          <x:t xml:space="preserve">Monitor</x:t>
        </x:is>
      </x:c>
      <x:c r="B3" s="4" t="inlineStr">
        <x:is>
          <x:t xml:space="preserve">Computers</x:t>
        </x:is>
      </x:c>
      <x:c r="C3" s="18" t="n">
        <x:f>SUMIF('Cleaned_Data'!$E$2:$E$1276,A3,'Cleaned_Data'!$H$2:$H$1276)</x:f>
        <x:v>223</x:v>
      </x:c>
      <x:c r="D3" s="18" t="n">
        <x:v>111</x:v>
      </x:c>
      <x:c r="E3" s="19" t="n">
        <x:f>SUMIF('Cleaned_Data'!$E$2:$E$1276,A3,'Cleaned_Data'!$L$2:$L$1276)</x:f>
        <x:v>62488.09999999998</x:v>
      </x:c>
      <x:c r="F3" s="19" t="n">
        <x:f>SUMIF('Cleaned_Data'!$E$2:$E$1276,A3,'Cleaned_Data'!$M$2:$M$1276)</x:f>
        <x:v>3047.1400000000003</x:v>
      </x:c>
      <x:c r="G3" s="19" t="n">
        <x:f>SUMIF('Cleaned_Data'!$E$2:$E$1276,A3,'Cleaned_Data'!$N$2:$N$1276)</x:f>
        <x:v>59440.959999999985</x:v>
      </x:c>
      <x:c r="H3" s="19" t="n">
        <x:f>G3/D3</x:f>
        <x:v>535.504144144144</x:v>
      </x:c>
      <x:c r="I3" s="20" t="n">
        <x:f>G3/SUM($G$2:$G$13)</x:f>
        <x:v>0.13839823901795456</x:v>
      </x:c>
    </x:row>
    <x:row r="4" ht="20" customHeight="1">
      <x:c r="A4" s="4" t="inlineStr">
        <x:is>
          <x:t xml:space="preserve">Office Chair</x:t>
        </x:is>
      </x:c>
      <x:c r="B4" s="4" t="inlineStr">
        <x:is>
          <x:t xml:space="preserve">Furniture</x:t>
        </x:is>
      </x:c>
      <x:c r="C4" s="18" t="n">
        <x:f>SUMIF('Cleaned_Data'!$E$2:$E$1276,A4,'Cleaned_Data'!$H$2:$H$1276)</x:f>
        <x:v>221</x:v>
      </x:c>
      <x:c r="D4" s="18" t="n">
        <x:v>103</x:v>
      </x:c>
      <x:c r="E4" s="19" t="n">
        <x:f>SUMIF('Cleaned_Data'!$E$2:$E$1276,A4,'Cleaned_Data'!$L$2:$L$1276)</x:f>
        <x:v>52958.380000000005</x:v>
      </x:c>
      <x:c r="F4" s="19" t="n">
        <x:f>SUMIF('Cleaned_Data'!$E$2:$E$1276,A4,'Cleaned_Data'!$M$2:$M$1276)</x:f>
        <x:v>2823.4899999999993</x:v>
      </x:c>
      <x:c r="G4" s="19" t="n">
        <x:f>SUMIF('Cleaned_Data'!$E$2:$E$1276,A4,'Cleaned_Data'!$N$2:$N$1276)</x:f>
        <x:v>50134.89000000003</x:v>
      </x:c>
      <x:c r="H4" s="19" t="n">
        <x:f>G4/D4</x:f>
        <x:v>486.7465048543692</x:v>
      </x:c>
      <x:c r="I4" s="20" t="n">
        <x:f>G4/SUM($G$2:$G$13)</x:f>
        <x:v>0.11673062631153444</x:v>
      </x:c>
    </x:row>
    <x:row r="5" ht="20" customHeight="1">
      <x:c r="A5" s="4" t="inlineStr">
        <x:is>
          <x:t xml:space="preserve">External SSD</x:t>
        </x:is>
      </x:c>
      <x:c r="B5" s="4" t="inlineStr">
        <x:is>
          <x:t xml:space="preserve">Storage</x:t>
        </x:is>
      </x:c>
      <x:c r="C5" s="18" t="n">
        <x:f>SUMIF('Cleaned_Data'!$E$2:$E$1276,A5,'Cleaned_Data'!$H$2:$H$1276)</x:f>
        <x:v>226</x:v>
      </x:c>
      <x:c r="D5" s="18" t="n">
        <x:v>108</x:v>
      </x:c>
      <x:c r="E5" s="19" t="n">
        <x:f>SUMIF('Cleaned_Data'!$E$2:$E$1276,A5,'Cleaned_Data'!$L$2:$L$1276)</x:f>
        <x:v>34152.22000000001</x:v>
      </x:c>
      <x:c r="F5" s="19" t="n">
        <x:f>SUMIF('Cleaned_Data'!$E$2:$E$1276,A5,'Cleaned_Data'!$M$2:$M$1276)</x:f>
        <x:v>1698.0600000000004</x:v>
      </x:c>
      <x:c r="G5" s="19" t="n">
        <x:f>SUMIF('Cleaned_Data'!$E$2:$E$1276,A5,'Cleaned_Data'!$N$2:$N$1276)</x:f>
        <x:v>32454.160000000003</x:v>
      </x:c>
      <x:c r="H5" s="19" t="n">
        <x:f>G5/D5</x:f>
        <x:v>300.5014814814815</x:v>
      </x:c>
      <x:c r="I5" s="20" t="n">
        <x:f>G5/SUM($G$2:$G$13)</x:f>
        <x:v>0.07556403181925296</x:v>
      </x:c>
    </x:row>
    <x:row r="6" ht="20" customHeight="1">
      <x:c r="A6" s="4" t="inlineStr">
        <x:is>
          <x:t xml:space="preserve">Headphones</x:t>
        </x:is>
      </x:c>
      <x:c r="B6" s="4" t="inlineStr">
        <x:is>
          <x:t xml:space="preserve">Audio</x:t>
        </x:is>
      </x:c>
      <x:c r="C6" s="18" t="n">
        <x:f>SUMIF('Cleaned_Data'!$E$2:$E$1276,A6,'Cleaned_Data'!$H$2:$H$1276)</x:f>
        <x:v>223</x:v>
      </x:c>
      <x:c r="D6" s="18" t="n">
        <x:v>108</x:v>
      </x:c>
      <x:c r="E6" s="19" t="n">
        <x:f>SUMIF('Cleaned_Data'!$E$2:$E$1276,A6,'Cleaned_Data'!$L$2:$L$1276)</x:f>
        <x:v>28950.039999999997</x:v>
      </x:c>
      <x:c r="F6" s="19" t="n">
        <x:f>SUMIF('Cleaned_Data'!$E$2:$E$1276,A6,'Cleaned_Data'!$M$2:$M$1276)</x:f>
        <x:v>1433.2699999999998</x:v>
      </x:c>
      <x:c r="G6" s="19" t="n">
        <x:f>SUMIF('Cleaned_Data'!$E$2:$E$1276,A6,'Cleaned_Data'!$N$2:$N$1276)</x:f>
        <x:v>27516.769999999997</x:v>
      </x:c>
      <x:c r="H6" s="19" t="n">
        <x:f>G6/D6</x:f>
        <x:v>254.7849074074074</x:v>
      </x:c>
      <x:c r="I6" s="20" t="n">
        <x:f>G6/SUM($G$2:$G$13)</x:f>
        <x:v>0.0640681528606214</x:v>
      </x:c>
    </x:row>
    <x:row r="7" ht="20" customHeight="1">
      <x:c r="A7" s="4" t="inlineStr">
        <x:is>
          <x:t xml:space="preserve">Bluetooth Speaker</x:t>
        </x:is>
      </x:c>
      <x:c r="B7" s="4" t="inlineStr">
        <x:is>
          <x:t xml:space="preserve">Audio</x:t>
        </x:is>
      </x:c>
      <x:c r="C7" s="18" t="n">
        <x:f>SUMIF('Cleaned_Data'!$E$2:$E$1276,A7,'Cleaned_Data'!$H$2:$H$1276)</x:f>
        <x:v>241</x:v>
      </x:c>
      <x:c r="D7" s="18" t="n">
        <x:v>102</x:v>
      </x:c>
      <x:c r="E7" s="19" t="n">
        <x:f>SUMIF('Cleaned_Data'!$E$2:$E$1276,A7,'Cleaned_Data'!$L$2:$L$1276)</x:f>
        <x:v>26496.27</x:v>
      </x:c>
      <x:c r="F7" s="19" t="n">
        <x:f>SUMIF('Cleaned_Data'!$E$2:$E$1276,A7,'Cleaned_Data'!$M$2:$M$1276)</x:f>
        <x:v>1369.5600000000002</x:v>
      </x:c>
      <x:c r="G7" s="19" t="n">
        <x:f>SUMIF('Cleaned_Data'!$E$2:$E$1276,A7,'Cleaned_Data'!$N$2:$N$1276)</x:f>
        <x:v>25126.709999999995</x:v>
      </x:c>
      <x:c r="H7" s="19" t="n">
        <x:f>G7/D7</x:f>
        <x:v>246.340294117647</x:v>
      </x:c>
      <x:c r="I7" s="20" t="n">
        <x:f>G7/SUM($G$2:$G$13)</x:f>
        <x:v>0.058503301701635195</x:v>
      </x:c>
    </x:row>
    <x:row r="8" ht="20" customHeight="1">
      <x:c r="A8" s="4" t="inlineStr">
        <x:is>
          <x:t xml:space="preserve">Webcam</x:t>
        </x:is>
      </x:c>
      <x:c r="B8" s="4" t="inlineStr">
        <x:is>
          <x:t xml:space="preserve">Accessories</x:t>
        </x:is>
      </x:c>
      <x:c r="C8" s="18" t="n">
        <x:f>SUMIF('Cleaned_Data'!$E$2:$E$1276,A8,'Cleaned_Data'!$H$2:$H$1276)</x:f>
        <x:v>210</x:v>
      </x:c>
      <x:c r="D8" s="18" t="n">
        <x:v>101</x:v>
      </x:c>
      <x:c r="E8" s="19" t="n">
        <x:f>SUMIF('Cleaned_Data'!$E$2:$E$1276,A8,'Cleaned_Data'!$L$2:$L$1276)</x:f>
        <x:v>18900.41999999999</x:v>
      </x:c>
      <x:c r="F8" s="19" t="n">
        <x:f>SUMIF('Cleaned_Data'!$E$2:$E$1276,A8,'Cleaned_Data'!$M$2:$M$1276)</x:f>
        <x:v>1160.5800000000002</x:v>
      </x:c>
      <x:c r="G8" s="19" t="n">
        <x:f>SUMIF('Cleaned_Data'!$E$2:$E$1276,A8,'Cleaned_Data'!$N$2:$N$1276)</x:f>
        <x:v>17739.839999999997</x:v>
      </x:c>
      <x:c r="H8" s="19" t="n">
        <x:f>G8/D8</x:f>
        <x:v>175.64198019801978</x:v>
      </x:c>
      <x:c r="I8" s="20" t="n">
        <x:f>G8/SUM($G$2:$G$13)</x:f>
        <x:v>0.0413042221468205</x:v>
      </x:c>
    </x:row>
    <x:row r="9" ht="20" customHeight="1">
      <x:c r="A9" s="4" t="inlineStr">
        <x:is>
          <x:t xml:space="preserve">Keyboard</x:t>
        </x:is>
      </x:c>
      <x:c r="B9" s="4" t="inlineStr">
        <x:is>
          <x:t xml:space="preserve">Accessories</x:t>
        </x:is>
      </x:c>
      <x:c r="C9" s="18" t="n">
        <x:f>SUMIF('Cleaned_Data'!$E$2:$E$1276,A9,'Cleaned_Data'!$H$2:$H$1276)</x:f>
        <x:v>236</x:v>
      </x:c>
      <x:c r="D9" s="18" t="n">
        <x:v>120</x:v>
      </x:c>
      <x:c r="E9" s="19" t="n">
        <x:f>SUMIF('Cleaned_Data'!$E$2:$E$1276,A9,'Cleaned_Data'!$L$2:$L$1276)</x:f>
        <x:v>17678.729999999992</x:v>
      </x:c>
      <x:c r="F9" s="19" t="n">
        <x:f>SUMIF('Cleaned_Data'!$E$2:$E$1276,A9,'Cleaned_Data'!$M$2:$M$1276)</x:f>
        <x:v>794.77</x:v>
      </x:c>
      <x:c r="G9" s="19" t="n">
        <x:f>SUMIF('Cleaned_Data'!$E$2:$E$1276,A9,'Cleaned_Data'!$N$2:$N$1276)</x:f>
        <x:v>16883.96</x:v>
      </x:c>
      <x:c r="H9" s="19" t="n">
        <x:f>G9/D9</x:f>
        <x:v>140.69966666666667</x:v>
      </x:c>
      <x:c r="I9" s="20" t="n">
        <x:f>G9/SUM($G$2:$G$13)</x:f>
        <x:v>0.039311450078356486</x:v>
      </x:c>
    </x:row>
    <x:row r="10" ht="20" customHeight="1">
      <x:c r="A10" s="4" t="inlineStr">
        <x:is>
          <x:t xml:space="preserve">Desk Lamp</x:t>
        </x:is>
      </x:c>
      <x:c r="B10" s="4" t="inlineStr">
        <x:is>
          <x:t xml:space="preserve">Furniture</x:t>
        </x:is>
      </x:c>
      <x:c r="C10" s="18" t="n">
        <x:f>SUMIF('Cleaned_Data'!$E$2:$E$1276,A10,'Cleaned_Data'!$H$2:$H$1276)</x:f>
        <x:v>275</x:v>
      </x:c>
      <x:c r="D10" s="18" t="n">
        <x:v>129</x:v>
      </x:c>
      <x:c r="E10" s="19" t="n">
        <x:f>SUMIF('Cleaned_Data'!$E$2:$E$1276,A10,'Cleaned_Data'!$L$2:$L$1276)</x:f>
        <x:v>14961.149999999998</x:v>
      </x:c>
      <x:c r="F10" s="19" t="n">
        <x:f>SUMIF('Cleaned_Data'!$E$2:$E$1276,A10,'Cleaned_Data'!$M$2:$M$1276)</x:f>
        <x:v>871.1600000000002</x:v>
      </x:c>
      <x:c r="G10" s="19" t="n">
        <x:f>SUMIF('Cleaned_Data'!$E$2:$E$1276,A10,'Cleaned_Data'!$N$2:$N$1276)</x:f>
        <x:v>14089.990000000002</x:v>
      </x:c>
      <x:c r="H10" s="19" t="n">
        <x:f>G10/D10</x:f>
        <x:v>109.22472868217055</x:v>
      </x:c>
      <x:c r="I10" s="20" t="n">
        <x:f>G10/SUM($G$2:$G$13)</x:f>
        <x:v>0.03280616268277953</x:v>
      </x:c>
    </x:row>
    <x:row r="11" ht="20" customHeight="1">
      <x:c r="A11" s="4" t="inlineStr">
        <x:is>
          <x:t xml:space="preserve">USB-C Hub</x:t>
        </x:is>
      </x:c>
      <x:c r="B11" s="4" t="inlineStr">
        <x:is>
          <x:t xml:space="preserve">Accessories</x:t>
        </x:is>
      </x:c>
      <x:c r="C11" s="18" t="n">
        <x:f>SUMIF('Cleaned_Data'!$E$2:$E$1276,A11,'Cleaned_Data'!$H$2:$H$1276)</x:f>
        <x:v>177</x:v>
      </x:c>
      <x:c r="D11" s="18" t="n">
        <x:v>87</x:v>
      </x:c>
      <x:c r="E11" s="19" t="n">
        <x:f>SUMIF('Cleaned_Data'!$E$2:$E$1276,A11,'Cleaned_Data'!$L$2:$L$1276)</x:f>
        <x:v>11417.279999999999</x:v>
      </x:c>
      <x:c r="F11" s="19" t="n">
        <x:f>SUMIF('Cleaned_Data'!$E$2:$E$1276,A11,'Cleaned_Data'!$M$2:$M$1276)</x:f>
        <x:v>643.6600000000001</x:v>
      </x:c>
      <x:c r="G11" s="19" t="n">
        <x:f>SUMIF('Cleaned_Data'!$E$2:$E$1276,A11,'Cleaned_Data'!$N$2:$N$1276)</x:f>
        <x:v>10773.620000000003</x:v>
      </x:c>
      <x:c r="H11" s="19" t="n">
        <x:f>G11/D11</x:f>
        <x:v>123.83471264367819</x:v>
      </x:c>
      <x:c r="I11" s="20" t="n">
        <x:f>G11/SUM($G$2:$G$13)</x:f>
        <x:v>0.02508455509212194</x:v>
      </x:c>
    </x:row>
    <x:row r="12" ht="20" customHeight="1">
      <x:c r="A12" s="4" t="inlineStr">
        <x:is>
          <x:t xml:space="preserve">Wireless Mouse</x:t>
        </x:is>
      </x:c>
      <x:c r="B12" s="4" t="inlineStr">
        <x:is>
          <x:t xml:space="preserve">Accessories</x:t>
        </x:is>
      </x:c>
      <x:c r="C12" s="18" t="n">
        <x:f>SUMIF('Cleaned_Data'!$E$2:$E$1276,A12,'Cleaned_Data'!$H$2:$H$1276)</x:f>
        <x:v>221</x:v>
      </x:c>
      <x:c r="D12" s="18" t="n">
        <x:v>101</x:v>
      </x:c>
      <x:c r="E12" s="19" t="n">
        <x:f>SUMIF('Cleaned_Data'!$E$2:$E$1276,A12,'Cleaned_Data'!$L$2:$L$1276)</x:f>
        <x:v>9935.990000000002</x:v>
      </x:c>
      <x:c r="F12" s="19" t="n">
        <x:f>SUMIF('Cleaned_Data'!$E$2:$E$1276,A12,'Cleaned_Data'!$M$2:$M$1276)</x:f>
        <x:v>516.43</x:v>
      </x:c>
      <x:c r="G12" s="19" t="n">
        <x:f>SUMIF('Cleaned_Data'!$E$2:$E$1276,A12,'Cleaned_Data'!$N$2:$N$1276)</x:f>
        <x:v>9419.560000000001</x:v>
      </x:c>
      <x:c r="H12" s="19" t="n">
        <x:f>G12/D12</x:f>
        <x:v>93.26297029702971</x:v>
      </x:c>
      <x:c r="I12" s="20" t="n">
        <x:f>G12/SUM($G$2:$G$13)</x:f>
        <x:v>0.021931855009137885</x:v>
      </x:c>
    </x:row>
    <x:row r="13" ht="20" customHeight="1">
      <x:c r="A13" s="4" t="inlineStr">
        <x:is>
          <x:t xml:space="preserve">USB Flash Drive</x:t>
        </x:is>
      </x:c>
      <x:c r="B13" s="4" t="inlineStr">
        <x:is>
          <x:t xml:space="preserve">Storage</x:t>
        </x:is>
      </x:c>
      <x:c r="C13" s="18" t="n">
        <x:f>SUMIF('Cleaned_Data'!$E$2:$E$1276,A13,'Cleaned_Data'!$H$2:$H$1276)</x:f>
        <x:v>275</x:v>
      </x:c>
      <x:c r="D13" s="18" t="n">
        <x:v>118</x:v>
      </x:c>
      <x:c r="E13" s="19" t="n">
        <x:f>SUMIF('Cleaned_Data'!$E$2:$E$1276,A13,'Cleaned_Data'!$L$2:$L$1276)</x:f>
        <x:v>8208.199999999997</x:v>
      </x:c>
      <x:c r="F13" s="19" t="n">
        <x:f>SUMIF('Cleaned_Data'!$E$2:$E$1276,A13,'Cleaned_Data'!$M$2:$M$1276)</x:f>
        <x:v>434.47</x:v>
      </x:c>
      <x:c r="G13" s="19" t="n">
        <x:f>SUMIF('Cleaned_Data'!$E$2:$E$1276,A13,'Cleaned_Data'!$N$2:$N$1276)</x:f>
        <x:v>7773.7300000000005</x:v>
      </x:c>
      <x:c r="H13" s="19" t="n">
        <x:f>G13/D13</x:f>
        <x:v>65.87906779661017</x:v>
      </x:c>
      <x:c r="I13" s="20" t="n">
        <x:f>G13/SUM($G$2:$G$13)</x:f>
        <x:v>0.01809981774522222</x:v>
      </x:c>
    </x:row>
  </x:sheetData>
  <x:conditionalFormatting sqref="G2:G13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{C852337D-1BA7-61CB-DAE2-C2A6C1D34040}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852337D-1BA7-61CB-DAE2-C2A6C1D34040}">
            <x14:dataBar gradient="1">
              <x14:cfvo type="min"/>
              <x14:cfvo type="max"/>
              <x14:fillColor rgb="FF14B8A6"/>
            </x14:dataBar>
          </x14:cfRule>
          <xm:sqref>G2:G13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7" hidden="0" customWidth="1"/>
  </x:cols>
  <x:sheetData>
    <x:row r="1" ht="34" customHeight="1">
      <x:c r="A1" s="14" t="inlineStr">
        <x:is>
          <x:t xml:space="preserve">Category</x:t>
        </x:is>
      </x:c>
      <x:c r="B1" s="15" t="inlineStr">
        <x:is>
          <x:t xml:space="preserve">Units_Sold</x:t>
        </x:is>
      </x:c>
      <x:c r="C1" s="15" t="inlineStr">
        <x:is>
          <x:t xml:space="preserve">Orders</x:t>
        </x:is>
      </x:c>
      <x:c r="D1" s="15" t="inlineStr">
        <x:is>
          <x:t xml:space="preserve">Gross_Sales_USD</x:t>
        </x:is>
      </x:c>
      <x:c r="E1" s="15" t="inlineStr">
        <x:is>
          <x:t xml:space="preserve">Discount_Amount_USD</x:t>
        </x:is>
      </x:c>
      <x:c r="F1" s="15" t="inlineStr">
        <x:is>
          <x:t xml:space="preserve">Net_Revenue_USD</x:t>
        </x:is>
      </x:c>
      <x:c r="G1" s="15" t="inlineStr">
        <x:is>
          <x:t xml:space="preserve">Average_Order_Value_USD</x:t>
        </x:is>
      </x:c>
      <x:c r="H1" s="16" t="inlineStr">
        <x:is>
          <x:t xml:space="preserve">Revenue_Share_Pct</x:t>
        </x:is>
      </x:c>
    </x:row>
    <x:row r="2" ht="20" customHeight="1">
      <x:c r="A2" s="4" t="inlineStr">
        <x:is>
          <x:t xml:space="preserve">Computers</x:t>
        </x:is>
      </x:c>
      <x:c r="B2" s="18" t="n">
        <x:f>SUMIF('Cleaned_Data'!$F$2:$F$1276,A2,'Cleaned_Data'!$H$2:$H$1276)</x:f>
        <x:v>398</x:v>
      </x:c>
      <x:c r="C2" s="18" t="n">
        <x:v>184</x:v>
      </x:c>
      <x:c r="D2" s="19" t="n">
        <x:f>SUMIF('Cleaned_Data'!$F$2:$F$1276,A2,'Cleaned_Data'!$L$2:$L$1276)</x:f>
        <x:v>229700.54000000004</x:v>
      </x:c>
      <x:c r="E2" s="19" t="n">
        <x:f>SUMIF('Cleaned_Data'!$F$2:$F$1276,A2,'Cleaned_Data'!$M$2:$M$1276)</x:f>
        <x:v>12121.600000000002</x:v>
      </x:c>
      <x:c r="F2" s="19" t="n">
        <x:f>SUMIF('Cleaned_Data'!$F$2:$F$1276,A2,'Cleaned_Data'!$N$2:$N$1276)</x:f>
        <x:v>217578.9400000001</x:v>
      </x:c>
      <x:c r="G2" s="19" t="n">
        <x:f>F2/C2</x:f>
        <x:v>1182.4942391304353</x:v>
      </x:c>
      <x:c r="H2" s="20" t="n">
        <x:f>F2/SUM($F$2:$F$6)</x:f>
        <x:v>0.5065958245525176</x:v>
      </x:c>
    </x:row>
    <x:row r="3" ht="20" customHeight="1">
      <x:c r="A3" s="4" t="inlineStr">
        <x:is>
          <x:t xml:space="preserve">Furniture</x:t>
        </x:is>
      </x:c>
      <x:c r="B3" s="18" t="n">
        <x:f>SUMIF('Cleaned_Data'!$F$2:$F$1276,A3,'Cleaned_Data'!$H$2:$H$1276)</x:f>
        <x:v>496</x:v>
      </x:c>
      <x:c r="C3" s="18" t="n">
        <x:v>225</x:v>
      </x:c>
      <x:c r="D3" s="19" t="n">
        <x:f>SUMIF('Cleaned_Data'!$F$2:$F$1276,A3,'Cleaned_Data'!$L$2:$L$1276)</x:f>
        <x:v>67919.52999999997</x:v>
      </x:c>
      <x:c r="E3" s="19" t="n">
        <x:f>SUMIF('Cleaned_Data'!$F$2:$F$1276,A3,'Cleaned_Data'!$M$2:$M$1276)</x:f>
        <x:v>3694.6499999999996</x:v>
      </x:c>
      <x:c r="F3" s="19" t="n">
        <x:f>SUMIF('Cleaned_Data'!$F$2:$F$1276,A3,'Cleaned_Data'!$N$2:$N$1276)</x:f>
        <x:v>64224.88</x:v>
      </x:c>
      <x:c r="G3" s="19" t="n">
        <x:f>F3/C3</x:f>
        <x:v>285.4439111111111</x:v>
      </x:c>
      <x:c r="H3" s="20" t="n">
        <x:f>F3/SUM($F$2:$F$6)</x:f>
        <x:v>0.14953678899431389</x:v>
      </x:c>
    </x:row>
    <x:row r="4" ht="20" customHeight="1">
      <x:c r="A4" s="4" t="inlineStr">
        <x:is>
          <x:t xml:space="preserve">Accessories</x:t>
        </x:is>
      </x:c>
      <x:c r="B4" s="18" t="n">
        <x:f>SUMIF('Cleaned_Data'!$F$2:$F$1276,A4,'Cleaned_Data'!$H$2:$H$1276)</x:f>
        <x:v>844</x:v>
      </x:c>
      <x:c r="C4" s="18" t="n">
        <x:v>359</x:v>
      </x:c>
      <x:c r="D4" s="19" t="n">
        <x:f>SUMIF('Cleaned_Data'!$F$2:$F$1276,A4,'Cleaned_Data'!$L$2:$L$1276)</x:f>
        <x:v>57932.41999999993</x:v>
      </x:c>
      <x:c r="E4" s="19" t="n">
        <x:f>SUMIF('Cleaned_Data'!$F$2:$F$1276,A4,'Cleaned_Data'!$M$2:$M$1276)</x:f>
        <x:v>3115.439999999999</x:v>
      </x:c>
      <x:c r="F4" s="19" t="n">
        <x:f>SUMIF('Cleaned_Data'!$F$2:$F$1276,A4,'Cleaned_Data'!$N$2:$N$1276)</x:f>
        <x:v>54816.979999999945</x:v>
      </x:c>
      <x:c r="G4" s="19" t="n">
        <x:f>F4/C4</x:f>
        <x:v>152.69353760445668</x:v>
      </x:c>
      <x:c r="H4" s="20" t="n">
        <x:f>F4/SUM($F$2:$F$6)</x:f>
        <x:v>0.1276320823264367</x:v>
      </x:c>
    </x:row>
    <x:row r="5" ht="20" customHeight="1">
      <x:c r="A5" s="4" t="inlineStr">
        <x:is>
          <x:t xml:space="preserve">Audio</x:t>
        </x:is>
      </x:c>
      <x:c r="B5" s="18" t="n">
        <x:f>SUMIF('Cleaned_Data'!$F$2:$F$1276,A5,'Cleaned_Data'!$H$2:$H$1276)</x:f>
        <x:v>464</x:v>
      </x:c>
      <x:c r="C5" s="18" t="n">
        <x:v>203</x:v>
      </x:c>
      <x:c r="D5" s="19" t="n">
        <x:f>SUMIF('Cleaned_Data'!$F$2:$F$1276,A5,'Cleaned_Data'!$L$2:$L$1276)</x:f>
        <x:v>55446.30999999999</x:v>
      </x:c>
      <x:c r="E5" s="19" t="n">
        <x:f>SUMIF('Cleaned_Data'!$F$2:$F$1276,A5,'Cleaned_Data'!$M$2:$M$1276)</x:f>
        <x:v>2802.8299999999995</x:v>
      </x:c>
      <x:c r="F5" s="19" t="n">
        <x:f>SUMIF('Cleaned_Data'!$F$2:$F$1276,A5,'Cleaned_Data'!$N$2:$N$1276)</x:f>
        <x:v>52643.48000000001</x:v>
      </x:c>
      <x:c r="G5" s="19" t="n">
        <x:f>F5/C5</x:f>
        <x:v>259.32748768472914</x:v>
      </x:c>
      <x:c r="H5" s="20" t="n">
        <x:f>F5/SUM($F$2:$F$6)</x:f>
        <x:v>0.12257145456225664</x:v>
      </x:c>
    </x:row>
    <x:row r="6" ht="20" customHeight="1">
      <x:c r="A6" s="4" t="inlineStr">
        <x:is>
          <x:t xml:space="preserve">Storage</x:t>
        </x:is>
      </x:c>
      <x:c r="B6" s="18" t="n">
        <x:f>SUMIF('Cleaned_Data'!$F$2:$F$1276,A6,'Cleaned_Data'!$H$2:$H$1276)</x:f>
        <x:v>501</x:v>
      </x:c>
      <x:c r="C6" s="18" t="n">
        <x:v>216</x:v>
      </x:c>
      <x:c r="D6" s="19" t="n">
        <x:f>SUMIF('Cleaned_Data'!$F$2:$F$1276,A6,'Cleaned_Data'!$L$2:$L$1276)</x:f>
        <x:v>42360.42000000001</x:v>
      </x:c>
      <x:c r="E6" s="19" t="n">
        <x:f>SUMIF('Cleaned_Data'!$F$2:$F$1276,A6,'Cleaned_Data'!$M$2:$M$1276)</x:f>
        <x:v>2132.53</x:v>
      </x:c>
      <x:c r="F6" s="19" t="n">
        <x:f>SUMIF('Cleaned_Data'!$F$2:$F$1276,A6,'Cleaned_Data'!$N$2:$N$1276)</x:f>
        <x:v>40227.89</x:v>
      </x:c>
      <x:c r="G6" s="19" t="n">
        <x:f>F6/C6</x:f>
        <x:v>186.2402314814815</x:v>
      </x:c>
      <x:c r="H6" s="20" t="n">
        <x:f>F6/SUM($F$2:$F$6)</x:f>
        <x:v>0.09366384956447517</x:v>
      </x:c>
    </x:row>
  </x:sheetData>
  <x:conditionalFormatting sqref="F2:F6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{0BCE8FA6-EFCC-57F7-7FAF-A1DE0660E63E}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BCE8FA6-EFCC-57F7-7FAF-A1DE0660E63E}">
            <x14:dataBar gradient="1">
              <x14:cfvo type="min"/>
              <x14:cfvo type="max"/>
              <x14:fillColor rgb="FF14B8A6"/>
            </x14:dataBar>
          </x14:cfRule>
          <xm:sqref>F2:F6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7" hidden="0" customWidth="1"/>
  </x:cols>
  <x:sheetData>
    <x:row r="1" ht="34" customHeight="1">
      <x:c r="A1" s="14" t="inlineStr">
        <x:is>
          <x:t xml:space="preserve">City</x:t>
        </x:is>
      </x:c>
      <x:c r="B1" s="15" t="inlineStr">
        <x:is>
          <x:t xml:space="preserve">Units_Sold</x:t>
        </x:is>
      </x:c>
      <x:c r="C1" s="15" t="inlineStr">
        <x:is>
          <x:t xml:space="preserve">Orders</x:t>
        </x:is>
      </x:c>
      <x:c r="D1" s="15" t="inlineStr">
        <x:is>
          <x:t xml:space="preserve">Gross_Sales_USD</x:t>
        </x:is>
      </x:c>
      <x:c r="E1" s="15" t="inlineStr">
        <x:is>
          <x:t xml:space="preserve">Discount_Amount_USD</x:t>
        </x:is>
      </x:c>
      <x:c r="F1" s="15" t="inlineStr">
        <x:is>
          <x:t xml:space="preserve">Net_Revenue_USD</x:t>
        </x:is>
      </x:c>
      <x:c r="G1" s="15" t="inlineStr">
        <x:is>
          <x:t xml:space="preserve">Average_Order_Value_USD</x:t>
        </x:is>
      </x:c>
      <x:c r="H1" s="16" t="inlineStr">
        <x:is>
          <x:t xml:space="preserve">Revenue_Share_Pct</x:t>
        </x:is>
      </x:c>
    </x:row>
    <x:row r="2" ht="20" customHeight="1">
      <x:c r="A2" s="4" t="inlineStr">
        <x:is>
          <x:t xml:space="preserve">San Francisco</x:t>
        </x:is>
      </x:c>
      <x:c r="B2" s="18" t="n">
        <x:f>SUMIF('Cleaned_Data'!$G$2:$G$1276,A2,'Cleaned_Data'!$H$2:$H$1276)</x:f>
        <x:v>469</x:v>
      </x:c>
      <x:c r="C2" s="18" t="n">
        <x:v>135</x:v>
      </x:c>
      <x:c r="D2" s="19" t="n">
        <x:f>SUMIF('Cleaned_Data'!$G$2:$G$1276,A2,'Cleaned_Data'!$L$2:$L$1276)</x:f>
        <x:v>85441.65000000001</x:v>
      </x:c>
      <x:c r="E2" s="19" t="n">
        <x:f>SUMIF('Cleaned_Data'!$G$2:$G$1276,A2,'Cleaned_Data'!$M$2:$M$1276)</x:f>
        <x:v>4574.160000000003</x:v>
      </x:c>
      <x:c r="F2" s="19" t="n">
        <x:f>SUMIF('Cleaned_Data'!$G$2:$G$1276,A2,'Cleaned_Data'!$N$2:$N$1276)</x:f>
        <x:v>80867.48999999999</x:v>
      </x:c>
      <x:c r="G2" s="19" t="n">
        <x:f>F2/C2</x:f>
        <x:v>599.0184444444444</x:v>
      </x:c>
      <x:c r="H2" s="20" t="n">
        <x:f>F2/SUM($F$2:$F$8)</x:f>
        <x:v>0.1882862963485458</x:v>
      </x:c>
    </x:row>
    <x:row r="3" ht="20" customHeight="1">
      <x:c r="A3" s="4" t="inlineStr">
        <x:is>
          <x:t xml:space="preserve">Chicago</x:t>
        </x:is>
      </x:c>
      <x:c r="B3" s="18" t="n">
        <x:f>SUMIF('Cleaned_Data'!$G$2:$G$1276,A3,'Cleaned_Data'!$H$2:$H$1276)</x:f>
        <x:v>459</x:v>
      </x:c>
      <x:c r="C3" s="18" t="n">
        <x:v>132</x:v>
      </x:c>
      <x:c r="D3" s="19" t="n">
        <x:f>SUMIF('Cleaned_Data'!$G$2:$G$1276,A3,'Cleaned_Data'!$L$2:$L$1276)</x:f>
        <x:v>81766.90000000001</x:v>
      </x:c>
      <x:c r="E3" s="19" t="n">
        <x:f>SUMIF('Cleaned_Data'!$G$2:$G$1276,A3,'Cleaned_Data'!$M$2:$M$1276)</x:f>
        <x:v>4086.1399999999994</x:v>
      </x:c>
      <x:c r="F3" s="19" t="n">
        <x:f>SUMIF('Cleaned_Data'!$G$2:$G$1276,A3,'Cleaned_Data'!$N$2:$N$1276)</x:f>
        <x:v>77680.76000000004</x:v>
      </x:c>
      <x:c r="G3" s="19" t="n">
        <x:f>F3/C3</x:f>
        <x:v>588.4906060606063</x:v>
      </x:c>
      <x:c r="H3" s="20" t="n">
        <x:f>F3/SUM($F$2:$F$8)</x:f>
        <x:v>0.18086653360875019</x:v>
      </x:c>
    </x:row>
    <x:row r="4" ht="20" customHeight="1">
      <x:c r="A4" s="4" t="inlineStr">
        <x:is>
          <x:t xml:space="preserve">Seattle</x:t>
        </x:is>
      </x:c>
      <x:c r="B4" s="18" t="n">
        <x:f>SUMIF('Cleaned_Data'!$G$2:$G$1276,A4,'Cleaned_Data'!$H$2:$H$1276)</x:f>
        <x:v>447</x:v>
      </x:c>
      <x:c r="C4" s="18" t="n">
        <x:v>139</x:v>
      </x:c>
      <x:c r="D4" s="19" t="n">
        <x:f>SUMIF('Cleaned_Data'!$G$2:$G$1276,A4,'Cleaned_Data'!$L$2:$L$1276)</x:f>
        <x:v>82035.09999999998</x:v>
      </x:c>
      <x:c r="E4" s="19" t="n">
        <x:f>SUMIF('Cleaned_Data'!$G$2:$G$1276,A4,'Cleaned_Data'!$M$2:$M$1276)</x:f>
        <x:v>5026.000000000003</x:v>
      </x:c>
      <x:c r="F4" s="19" t="n">
        <x:f>SUMIF('Cleaned_Data'!$G$2:$G$1276,A4,'Cleaned_Data'!$N$2:$N$1276)</x:f>
        <x:v>77009.09999999993</x:v>
      </x:c>
      <x:c r="G4" s="19" t="n">
        <x:f>F4/C4</x:f>
        <x:v>554.0223021582729</x:v>
      </x:c>
      <x:c r="H4" s="20" t="n">
        <x:f>F4/SUM($F$2:$F$8)</x:f>
        <x:v>0.17930268670555727</x:v>
      </x:c>
    </x:row>
    <x:row r="5" ht="20" customHeight="1">
      <x:c r="A5" s="4" t="inlineStr">
        <x:is>
          <x:t xml:space="preserve">Austin</x:t>
        </x:is>
      </x:c>
      <x:c r="B5" s="18" t="n">
        <x:f>SUMIF('Cleaned_Data'!$G$2:$G$1276,A5,'Cleaned_Data'!$H$2:$H$1276)</x:f>
        <x:v>483</x:v>
      </x:c>
      <x:c r="C5" s="18" t="n">
        <x:v>148</x:v>
      </x:c>
      <x:c r="D5" s="19" t="n">
        <x:f>SUMIF('Cleaned_Data'!$G$2:$G$1276,A5,'Cleaned_Data'!$L$2:$L$1276)</x:f>
        <x:v>73126.84999999999</x:v>
      </x:c>
      <x:c r="E5" s="19" t="n">
        <x:f>SUMIF('Cleaned_Data'!$G$2:$G$1276,A5,'Cleaned_Data'!$M$2:$M$1276)</x:f>
        <x:v>3332.5600000000018</x:v>
      </x:c>
      <x:c r="F5" s="19" t="n">
        <x:f>SUMIF('Cleaned_Data'!$G$2:$G$1276,A5,'Cleaned_Data'!$N$2:$N$1276)</x:f>
        <x:v>69794.28999999996</x:v>
      </x:c>
      <x:c r="G5" s="19" t="n">
        <x:f>F5/C5</x:f>
        <x:v>471.5830405405403</x:v>
      </x:c>
      <x:c r="H5" s="20" t="n">
        <x:f>F5/SUM($F$2:$F$8)</x:f>
        <x:v>0.16250421980917598</x:v>
      </x:c>
    </x:row>
    <x:row r="6" ht="20" customHeight="1">
      <x:c r="A6" s="4" t="inlineStr">
        <x:is>
          <x:t xml:space="preserve">Boston</x:t>
        </x:is>
      </x:c>
      <x:c r="B6" s="18" t="n">
        <x:f>SUMIF('Cleaned_Data'!$G$2:$G$1276,A6,'Cleaned_Data'!$H$2:$H$1276)</x:f>
        <x:v>441</x:v>
      </x:c>
      <x:c r="C6" s="18" t="n">
        <x:v>121</x:v>
      </x:c>
      <x:c r="D6" s="19" t="n">
        <x:f>SUMIF('Cleaned_Data'!$G$2:$G$1276,A6,'Cleaned_Data'!$L$2:$L$1276)</x:f>
        <x:v>70136.84999999996</x:v>
      </x:c>
      <x:c r="E6" s="19" t="n">
        <x:f>SUMIF('Cleaned_Data'!$G$2:$G$1276,A6,'Cleaned_Data'!$M$2:$M$1276)</x:f>
        <x:v>3102.609999999997</x:v>
      </x:c>
      <x:c r="F6" s="19" t="n">
        <x:f>SUMIF('Cleaned_Data'!$G$2:$G$1276,A6,'Cleaned_Data'!$N$2:$N$1276)</x:f>
        <x:v>67034.23999999999</x:v>
      </x:c>
      <x:c r="G6" s="19" t="n">
        <x:f>F6/C6</x:f>
        <x:v>554.0019834710743</x:v>
      </x:c>
      <x:c r="H6" s="20" t="n">
        <x:f>F6/SUM($F$2:$F$8)</x:f>
        <x:v>0.15607790940635774</x:v>
      </x:c>
    </x:row>
    <x:row r="7" ht="20" customHeight="1">
      <x:c r="A7" s="4" t="inlineStr">
        <x:is>
          <x:t xml:space="preserve">New York</x:t>
        </x:is>
      </x:c>
      <x:c r="B7" s="18" t="n">
        <x:f>SUMIF('Cleaned_Data'!$G$2:$G$1276,A7,'Cleaned_Data'!$H$2:$H$1276)</x:f>
        <x:v>397</x:v>
      </x:c>
      <x:c r="C7" s="18" t="n">
        <x:v>119</x:v>
      </x:c>
      <x:c r="D7" s="19" t="n">
        <x:f>SUMIF('Cleaned_Data'!$G$2:$G$1276,A7,'Cleaned_Data'!$L$2:$L$1276)</x:f>
        <x:v>59539.95999999998</x:v>
      </x:c>
      <x:c r="E7" s="19" t="n">
        <x:f>SUMIF('Cleaned_Data'!$G$2:$G$1276,A7,'Cleaned_Data'!$M$2:$M$1276)</x:f>
        <x:v>3637.02</x:v>
      </x:c>
      <x:c r="F7" s="19" t="n">
        <x:f>SUMIF('Cleaned_Data'!$G$2:$G$1276,A7,'Cleaned_Data'!$N$2:$N$1276)</x:f>
        <x:v>55902.93999999999</x:v>
      </x:c>
      <x:c r="G7" s="19" t="n">
        <x:f>F7/C7</x:f>
        <x:v>469.7726050420167</x:v>
      </x:c>
      <x:c r="H7" s="20" t="n">
        <x:f>F7/SUM($F$2:$F$8)</x:f>
        <x:v>0.1301605568269149</x:v>
      </x:c>
    </x:row>
    <x:row r="8" ht="20" customHeight="1">
      <x:c r="A8" s="4" t="inlineStr">
        <x:is>
          <x:t xml:space="preserve">Unknown</x:t>
        </x:is>
      </x:c>
      <x:c r="B8" s="18" t="n">
        <x:f>SUMIF('Cleaned_Data'!$G$2:$G$1276,A8,'Cleaned_Data'!$H$2:$H$1276)</x:f>
        <x:v>7</x:v>
      </x:c>
      <x:c r="C8" s="18" t="n">
        <x:v>3</x:v>
      </x:c>
      <x:c r="D8" s="19" t="n">
        <x:f>SUMIF('Cleaned_Data'!$G$2:$G$1276,A8,'Cleaned_Data'!$L$2:$L$1276)</x:f>
        <x:v>1311.9099999999999</x:v>
      </x:c>
      <x:c r="E8" s="19" t="n">
        <x:f>SUMIF('Cleaned_Data'!$G$2:$G$1276,A8,'Cleaned_Data'!$M$2:$M$1276)</x:f>
        <x:v>108.56</x:v>
      </x:c>
      <x:c r="F8" s="19" t="n">
        <x:f>SUMIF('Cleaned_Data'!$G$2:$G$1276,A8,'Cleaned_Data'!$N$2:$N$1276)</x:f>
        <x:v>1203.35</x:v>
      </x:c>
      <x:c r="G8" s="19" t="n">
        <x:f>F8/C8</x:f>
        <x:v>401.1166666666666</x:v>
      </x:c>
      <x:c r="H8" s="20" t="n">
        <x:f>F8/SUM($F$2:$F$8)</x:f>
        <x:v>0.002801797294698062</x:v>
      </x:c>
    </x:row>
  </x:sheetData>
  <x:conditionalFormatting sqref="F2:F8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{5177880E-756E-D38E-FDE1-C07985685A9E}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77880E-756E-D38E-FDE1-C07985685A9E}">
            <x14:dataBar gradient="1">
              <x14:cfvo type="min"/>
              <x14:cfvo type="max"/>
              <x14:fillColor rgb="FF14B8A6"/>
            </x14:dataBar>
          </x14:cfRule>
          <xm:sqref>F2:F8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7" hidden="0" customWidth="1"/>
  </x:cols>
  <x:sheetData>
    <x:row r="1" ht="34" customHeight="1">
      <x:c r="A1" s="14" t="inlineStr">
        <x:is>
          <x:t xml:space="preserve">Payment_Method</x:t>
        </x:is>
      </x:c>
      <x:c r="B1" s="15" t="inlineStr">
        <x:is>
          <x:t xml:space="preserve">Units_Sold</x:t>
        </x:is>
      </x:c>
      <x:c r="C1" s="15" t="inlineStr">
        <x:is>
          <x:t xml:space="preserve">Orders</x:t>
        </x:is>
      </x:c>
      <x:c r="D1" s="15" t="inlineStr">
        <x:is>
          <x:t xml:space="preserve">Gross_Sales_USD</x:t>
        </x:is>
      </x:c>
      <x:c r="E1" s="15" t="inlineStr">
        <x:is>
          <x:t xml:space="preserve">Discount_Amount_USD</x:t>
        </x:is>
      </x:c>
      <x:c r="F1" s="15" t="inlineStr">
        <x:is>
          <x:t xml:space="preserve">Net_Revenue_USD</x:t>
        </x:is>
      </x:c>
      <x:c r="G1" s="15" t="inlineStr">
        <x:is>
          <x:t xml:space="preserve">Average_Order_Value_USD</x:t>
        </x:is>
      </x:c>
      <x:c r="H1" s="16" t="inlineStr">
        <x:is>
          <x:t xml:space="preserve">Revenue_Share_Pct</x:t>
        </x:is>
      </x:c>
    </x:row>
    <x:row r="2" ht="20" customHeight="1">
      <x:c r="A2" s="4" t="inlineStr">
        <x:is>
          <x:t xml:space="preserve">Bank Transfer</x:t>
        </x:is>
      </x:c>
      <x:c r="B2" s="18" t="n">
        <x:f>SUMIF('Cleaned_Data'!$K$2:$K$1276,A2,'Cleaned_Data'!$H$2:$H$1276)</x:f>
        <x:v>658</x:v>
      </x:c>
      <x:c r="C2" s="18" t="n">
        <x:v>204</x:v>
      </x:c>
      <x:c r="D2" s="19" t="n">
        <x:f>SUMIF('Cleaned_Data'!$K$2:$K$1276,A2,'Cleaned_Data'!$L$2:$L$1276)</x:f>
        <x:v>127467.08999999991</x:v>
      </x:c>
      <x:c r="E2" s="19" t="n">
        <x:f>SUMIF('Cleaned_Data'!$K$2:$K$1276,A2,'Cleaned_Data'!$M$2:$M$1276)</x:f>
        <x:v>7166.570000000001</x:v>
      </x:c>
      <x:c r="F2" s="19" t="n">
        <x:f>SUMIF('Cleaned_Data'!$K$2:$K$1276,A2,'Cleaned_Data'!$N$2:$N$1276)</x:f>
        <x:v>120300.52</x:v>
      </x:c>
      <x:c r="G2" s="19" t="n">
        <x:f>F2/C2</x:f>
        <x:v>589.7084313725491</x:v>
      </x:c>
      <x:c r="H2" s="20" t="n">
        <x:f>F2/SUM($F$2:$F$6)</x:f>
        <x:v>0.28009944861160097</x:v>
      </x:c>
    </x:row>
    <x:row r="3" ht="20" customHeight="1">
      <x:c r="A3" s="4" t="inlineStr">
        <x:is>
          <x:t xml:space="preserve">Debit Card</x:t>
        </x:is>
      </x:c>
      <x:c r="B3" s="18" t="n">
        <x:f>SUMIF('Cleaned_Data'!$K$2:$K$1276,A3,'Cleaned_Data'!$H$2:$H$1276)</x:f>
        <x:v>663</x:v>
      </x:c>
      <x:c r="C3" s="18" t="n">
        <x:v>187</x:v>
      </x:c>
      <x:c r="D3" s="19" t="n">
        <x:f>SUMIF('Cleaned_Data'!$K$2:$K$1276,A3,'Cleaned_Data'!$L$2:$L$1276)</x:f>
        <x:v>111182.68999999999</x:v>
      </x:c>
      <x:c r="E3" s="19" t="n">
        <x:f>SUMIF('Cleaned_Data'!$K$2:$K$1276,A3,'Cleaned_Data'!$M$2:$M$1276)</x:f>
        <x:v>5339.520000000002</x:v>
      </x:c>
      <x:c r="F3" s="19" t="n">
        <x:f>SUMIF('Cleaned_Data'!$K$2:$K$1276,A3,'Cleaned_Data'!$N$2:$N$1276)</x:f>
        <x:v>105843.17000000001</x:v>
      </x:c>
      <x:c r="G3" s="19" t="n">
        <x:f>F3/C3</x:f>
        <x:v>566.0062566844921</x:v>
      </x:c>
      <x:c r="H3" s="20" t="n">
        <x:f>F3/SUM($F$2:$F$6)</x:f>
        <x:v>0.24643795019592557</x:v>
      </x:c>
    </x:row>
    <x:row r="4" ht="20" customHeight="1">
      <x:c r="A4" s="4" t="inlineStr">
        <x:is>
          <x:t xml:space="preserve">Credit Card</x:t>
        </x:is>
      </x:c>
      <x:c r="B4" s="18" t="n">
        <x:f>SUMIF('Cleaned_Data'!$K$2:$K$1276,A4,'Cleaned_Data'!$H$2:$H$1276)</x:f>
        <x:v>678</x:v>
      </x:c>
      <x:c r="C4" s="18" t="n">
        <x:v>198</x:v>
      </x:c>
      <x:c r="D4" s="19" t="n">
        <x:f>SUMIF('Cleaned_Data'!$K$2:$K$1276,A4,'Cleaned_Data'!$L$2:$L$1276)</x:f>
        <x:v>108159.06999999998</x:v>
      </x:c>
      <x:c r="E4" s="19" t="n">
        <x:f>SUMIF('Cleaned_Data'!$K$2:$K$1276,A4,'Cleaned_Data'!$M$2:$M$1276)</x:f>
        <x:v>5558.000000000003</x:v>
      </x:c>
      <x:c r="F4" s="19" t="n">
        <x:f>SUMIF('Cleaned_Data'!$K$2:$K$1276,A4,'Cleaned_Data'!$N$2:$N$1276)</x:f>
        <x:v>102601.07000000005</x:v>
      </x:c>
      <x:c r="G4" s="19" t="n">
        <x:f>F4/C4</x:f>
        <x:v>518.1872222222224</x:v>
      </x:c>
      <x:c r="H4" s="20" t="n">
        <x:f>F4/SUM($F$2:$F$6)</x:f>
        <x:v>0.2388892677601085</x:v>
      </x:c>
    </x:row>
    <x:row r="5" ht="20" customHeight="1">
      <x:c r="A5" s="4" t="inlineStr">
        <x:is>
          <x:t xml:space="preserve">PayPal</x:t>
        </x:is>
      </x:c>
      <x:c r="B5" s="18" t="n">
        <x:f>SUMIF('Cleaned_Data'!$K$2:$K$1276,A5,'Cleaned_Data'!$H$2:$H$1276)</x:f>
        <x:v>695</x:v>
      </x:c>
      <x:c r="C5" s="18" t="n">
        <x:v>204</x:v>
      </x:c>
      <x:c r="D5" s="19" t="n">
        <x:f>SUMIF('Cleaned_Data'!$K$2:$K$1276,A5,'Cleaned_Data'!$L$2:$L$1276)</x:f>
        <x:v>104794.46999999999</x:v>
      </x:c>
      <x:c r="E5" s="19" t="n">
        <x:f>SUMIF('Cleaned_Data'!$K$2:$K$1276,A5,'Cleaned_Data'!$M$2:$M$1276)</x:f>
        <x:v>5625.290000000001</x:v>
      </x:c>
      <x:c r="F5" s="19" t="n">
        <x:f>SUMIF('Cleaned_Data'!$K$2:$K$1276,A5,'Cleaned_Data'!$N$2:$N$1276)</x:f>
        <x:v>99169.18000000002</x:v>
      </x:c>
      <x:c r="G5" s="19" t="n">
        <x:f>F5/C5</x:f>
        <x:v>486.12343137254913</x:v>
      </x:c>
      <x:c r="H5" s="20" t="n">
        <x:f>F5/SUM($F$2:$F$6)</x:f>
        <x:v>0.23089869135448968</x:v>
      </x:c>
    </x:row>
    <x:row r="6" ht="20" customHeight="1">
      <x:c r="A6" s="4" t="inlineStr">
        <x:is>
          <x:t xml:space="preserve">Unknown</x:t>
        </x:is>
      </x:c>
      <x:c r="B6" s="18" t="n">
        <x:f>SUMIF('Cleaned_Data'!$K$2:$K$1276,A6,'Cleaned_Data'!$H$2:$H$1276)</x:f>
        <x:v>9</x:v>
      </x:c>
      <x:c r="C6" s="18" t="n">
        <x:v>4</x:v>
      </x:c>
      <x:c r="D6" s="19" t="n">
        <x:f>SUMIF('Cleaned_Data'!$K$2:$K$1276,A6,'Cleaned_Data'!$L$2:$L$1276)</x:f>
        <x:v>1755.8999999999999</x:v>
      </x:c>
      <x:c r="E6" s="19" t="n">
        <x:f>SUMIF('Cleaned_Data'!$K$2:$K$1276,A6,'Cleaned_Data'!$M$2:$M$1276)</x:f>
        <x:v>177.67000000000002</x:v>
      </x:c>
      <x:c r="F6" s="19" t="n">
        <x:f>SUMIF('Cleaned_Data'!$K$2:$K$1276,A6,'Cleaned_Data'!$N$2:$N$1276)</x:f>
        <x:v>1578.2299999999998</x:v>
      </x:c>
      <x:c r="G6" s="19" t="n">
        <x:f>F6/C6</x:f>
        <x:v>394.55749999999995</x:v>
      </x:c>
      <x:c r="H6" s="20" t="n">
        <x:f>F6/SUM($F$2:$F$6)</x:f>
        <x:v>0.003674642077875365</x:v>
      </x:c>
    </x:row>
  </x:sheetData>
  <x:conditionalFormatting sqref="F2:F6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{6EFFADE2-82D8-FA97-312E-A685098A7681}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EFFADE2-82D8-FA97-312E-A685098A7681}">
            <x14:dataBar gradient="1">
              <x14:cfvo type="min"/>
              <x14:cfvo type="max"/>
              <x14:fillColor rgb="FF14B8A6"/>
            </x14:dataBar>
          </x14:cfRule>
          <xm:sqref>F2:F6</xm:sqref>
        </x14:conditionalFormatting>
      </x14:conditionalFormattings>
    </x:ext>
  </x:extLst>
</x:worksheet>
</file>